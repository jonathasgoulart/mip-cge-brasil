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MIP e CGE\data\"/>
    </mc:Choice>
  </mc:AlternateContent>
  <xr:revisionPtr revIDLastSave="0" documentId="8_{91FEE3A0-FF95-4C6A-A30B-6D7B3F76592F}" xr6:coauthVersionLast="47" xr6:coauthVersionMax="47" xr10:uidLastSave="{00000000-0000-0000-0000-000000000000}"/>
  <bookViews>
    <workbookView xWindow="-108" yWindow="-108" windowWidth="23256" windowHeight="12456" xr2:uid="{5220AE26-4792-4719-9946-6584F86558A2}"/>
  </bookViews>
  <sheets>
    <sheet name="VALOR NOMINAL - TODOS OS TRAB" sheetId="4" r:id="rId1"/>
    <sheet name="DICIONÁRIO CNAES" sheetId="5" r:id="rId2"/>
    <sheet name="DICIONÁRIO UF" sheetId="6" r:id="rId3"/>
  </sheets>
  <definedNames>
    <definedName name="_xlnm._FilterDatabase" localSheetId="0" hidden="1">'VALOR NOMINAL - TODOS OS TRAB'!$A$2:$F$2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4" l="1"/>
  <c r="D147" i="4"/>
  <c r="D146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8" i="4"/>
  <c r="D149" i="4"/>
  <c r="D150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3" i="4"/>
  <c r="I7" i="4"/>
</calcChain>
</file>

<file path=xl/sharedStrings.xml><?xml version="1.0" encoding="utf-8"?>
<sst xmlns="http://schemas.openxmlformats.org/spreadsheetml/2006/main" count="5070" uniqueCount="388">
  <si>
    <t>UF</t>
  </si>
  <si>
    <t>CNAE</t>
  </si>
  <si>
    <t>MASSA DE RENDIMENTOS</t>
  </si>
  <si>
    <t>POP. OCUPADA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</si>
  <si>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</si>
  <si>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</si>
  <si>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</si>
  <si>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</si>
  <si>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</si>
  <si>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</si>
  <si>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</si>
  <si>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</si>
  <si>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</si>
  <si>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</si>
  <si>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</si>
  <si>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</si>
  <si>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</si>
  <si>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</si>
  <si>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</si>
  <si>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</si>
  <si>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</si>
  <si>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</si>
  <si>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</si>
  <si>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</si>
  <si>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41</t>
  </si>
  <si>
    <t>42</t>
  </si>
  <si>
    <t>43</t>
  </si>
  <si>
    <t>50</t>
  </si>
  <si>
    <t>51</t>
  </si>
  <si>
    <t>52</t>
  </si>
  <si>
    <t>53</t>
  </si>
  <si>
    <t>VALOR NOMINAL - TODOS OS TRABALHOS</t>
  </si>
  <si>
    <t>Rondônia</t>
  </si>
  <si>
    <t>Classe</t>
  </si>
  <si>
    <t>Denominação</t>
  </si>
  <si>
    <t>Cultivo de arroz</t>
  </si>
  <si>
    <t>Cultivo de milho</t>
  </si>
  <si>
    <t>Cultivo de outros cereais</t>
  </si>
  <si>
    <t>Cultivo de algodão</t>
  </si>
  <si>
    <t>Cultivo de cana-de-açúcar</t>
  </si>
  <si>
    <t>Cultivo de fumo</t>
  </si>
  <si>
    <t>Cultivo de soja</t>
  </si>
  <si>
    <t>Cultivo de mandioca</t>
  </si>
  <si>
    <t>Cultivo de outras lavouras temporárias não especificadas anteriormente</t>
  </si>
  <si>
    <t>Horticultura</t>
  </si>
  <si>
    <t>Cultivo de flores e plantas ornamentais</t>
  </si>
  <si>
    <t>Cultivo de frutas cítricas</t>
  </si>
  <si>
    <t>Cultivo de café</t>
  </si>
  <si>
    <t>Cultivo de cacau</t>
  </si>
  <si>
    <t>Cultivo de uva</t>
  </si>
  <si>
    <t>Cultivo de banana</t>
  </si>
  <si>
    <t>Cultivo de outras plantas e frutas de lavoura permanente não especificadas anteriormente</t>
  </si>
  <si>
    <t>Produção de sementes e mudas certificadas</t>
  </si>
  <si>
    <t>Lavoura não especificada</t>
  </si>
  <si>
    <t>Criação de bovinos</t>
  </si>
  <si>
    <t>Criação de outros animais de grande porte não especificados anteriormente</t>
  </si>
  <si>
    <t>Criação de caprinos e ovinos</t>
  </si>
  <si>
    <t>Criação de suínos</t>
  </si>
  <si>
    <t>Criação de aves</t>
  </si>
  <si>
    <t>Apicultura</t>
  </si>
  <si>
    <t>Sericicultura</t>
  </si>
  <si>
    <t xml:space="preserve">Criação de outros animais não especificados anteriormente </t>
  </si>
  <si>
    <t>Pecuária não especificada</t>
  </si>
  <si>
    <t>Atividades de apoio à agricultura e pós-colheita</t>
  </si>
  <si>
    <t xml:space="preserve">Atividades de apoio à pecuária </t>
  </si>
  <si>
    <t>Caça e serviços relacionados</t>
  </si>
  <si>
    <t>Agropecuária</t>
  </si>
  <si>
    <t>PRODUÇÃO FLORESTAL</t>
  </si>
  <si>
    <t xml:space="preserve">Produção florestal </t>
  </si>
  <si>
    <t>PESCA E AQÜICULTURA</t>
  </si>
  <si>
    <t>Pesca</t>
  </si>
  <si>
    <t>Aqüicultura</t>
  </si>
  <si>
    <t>INDÚSTRIAS EXTRATIVAS</t>
  </si>
  <si>
    <t>EXTRAÇÃO DE CARVÃO MINERAL</t>
  </si>
  <si>
    <t>Extração de carvão mineral</t>
  </si>
  <si>
    <t>EXTRAÇÃO DE PETRÓLEO E GÁS NATURAL</t>
  </si>
  <si>
    <t xml:space="preserve">Extração de petróleo e gás natural </t>
  </si>
  <si>
    <t>EXTRAÇÃO DE MINERAIS METÁLICOS</t>
  </si>
  <si>
    <t>Extração de minérios de metais preciosos</t>
  </si>
  <si>
    <t xml:space="preserve">Extração de minerais metálicos não especificados anteriormente </t>
  </si>
  <si>
    <t>EXTRAÇÃO DE MINERAIS NÃO-METÁLICOS</t>
  </si>
  <si>
    <t>Extração de pedras, areia e argila</t>
  </si>
  <si>
    <t>Extração de gemas (pedras preciosas e semi-preciosas)</t>
  </si>
  <si>
    <t xml:space="preserve">Extração de minerais não metálicos não especificados anteriormente </t>
  </si>
  <si>
    <t>ATIVIDADES DE APOIO À EXTRAÇÃO DE MINERAIS</t>
  </si>
  <si>
    <t>Atividades de apoio à extração de minerais</t>
  </si>
  <si>
    <t>INDÚSTRIAS DE TRANSFORMAÇÃO</t>
  </si>
  <si>
    <t>FABRICAÇÃO DE PRODUTOS ALIMENTÍCIOS</t>
  </si>
  <si>
    <t xml:space="preserve">Abate e fabricação de produtos de carne e pescado </t>
  </si>
  <si>
    <t>Fabricação de conservas de frutas, legumes e outros vegetais</t>
  </si>
  <si>
    <t>Fabricação de óleos vegetais e gorduras vegetais e animais</t>
  </si>
  <si>
    <t>Laticínios</t>
  </si>
  <si>
    <t>Moagem, fabricação de produtos amiláceos e de alimentos para animais</t>
  </si>
  <si>
    <t>Fabricação e refino do açúcar</t>
  </si>
  <si>
    <t>Torrefação e moagem de café</t>
  </si>
  <si>
    <t>Fabricação de outros produtos alimentícios</t>
  </si>
  <si>
    <t>FABRICAÇÃO DE BEBIDAS</t>
  </si>
  <si>
    <t>Fabricação de bebidas</t>
  </si>
  <si>
    <t>FABRICAÇÃO DE PRODUTOS DO FUMO</t>
  </si>
  <si>
    <t>Processamento industrial e fabricação de produtos do fumo</t>
  </si>
  <si>
    <t>FABRICAÇÃO DE PRODUTOS TÊXTEIS</t>
  </si>
  <si>
    <t>Preparação de fibras, fiação e tecelagem</t>
  </si>
  <si>
    <t>Fabricação de artefatos têxteis, exceto vestuário</t>
  </si>
  <si>
    <t>CONFECÇÃO DE ARTIGOS DO VESTUÁRIO E ACESSÓRIOS</t>
  </si>
  <si>
    <t>Confecção de artigos do vestuário e acessórios, exceto sob medida</t>
  </si>
  <si>
    <t>Confecção, sob medida, de artigos do vestuário</t>
  </si>
  <si>
    <t>PREPARAÇÃO DE COUROS E FABRICAÇÃO DE ARTEFATOS DE COURO, ARTIGOS DE VIAGEM E CALÇADOS</t>
  </si>
  <si>
    <t>Curtimento e outras preparações de couro</t>
  </si>
  <si>
    <t>Fabricação de artigos de viagem e de artefatos diversos de couro</t>
  </si>
  <si>
    <t>Fabricação de calçados e partes para calçados, de qualquer material</t>
  </si>
  <si>
    <t>FABRICAÇÃO DE PRODUTOS DE MADEIRA</t>
  </si>
  <si>
    <t>Serrarias</t>
  </si>
  <si>
    <t>Fabricação de produtos de madeira, cortiça e material trançado, exceto móveis</t>
  </si>
  <si>
    <t>FABRICAÇÃO DE CELULOSE, PAPEL E PRODUTOS DE PAPEL</t>
  </si>
  <si>
    <t>Fabricação de celulose, papel, cartolina e papel-cartão</t>
  </si>
  <si>
    <t>Fabricação de embalagens e de produtos diversos de papel, cartolina, papel-cartão e papelão ondulado</t>
  </si>
  <si>
    <t>IMPRESSÃO E REPRODUÇÃO DE GRAVAÇÕES</t>
  </si>
  <si>
    <t>Impressão e reprodução de gravações</t>
  </si>
  <si>
    <t>FABRICAÇÃO DE COQUE; PRODUTOS DERIVADOS DE PETRÓLEO E DE BIOCOMBUSTÍVEIS</t>
  </si>
  <si>
    <t>Coquerias</t>
  </si>
  <si>
    <t>Fabricação de produtos derivados do petróleo</t>
  </si>
  <si>
    <t>Produção de biocombustíveis</t>
  </si>
  <si>
    <t>FABRICAÇÃO DE PRODUTOS QUÍMICOS</t>
  </si>
  <si>
    <t>Fabricação de tintas, vernizes, esmaltes, lacas e produtos afins</t>
  </si>
  <si>
    <t>Fabricação de sabões, detergentes, produtos de limpeza, cosméticos, produtos de perfumaria e de higiene pessoal</t>
  </si>
  <si>
    <t>Fabricação de outros produtos químicos não especificados anteriormente</t>
  </si>
  <si>
    <t>FABRICAÇÃO DE PRODUTOS FARMOQUÍMICOS E FARMACÊUTICOS</t>
  </si>
  <si>
    <t>Fabricação de produtos farmoquimicos e farmacêuticos</t>
  </si>
  <si>
    <t>FABRICAÇÃO DE PRODUTOS DE BORRACHA E DE MATERIAL PLÁSTICO</t>
  </si>
  <si>
    <t>Fabricação de produtos de borracha</t>
  </si>
  <si>
    <t>Fabricação de produtos de material plástico</t>
  </si>
  <si>
    <t>FABRICAÇÃO DE PRODUTOS DE MINERAIS NÃO-METÁLICOS</t>
  </si>
  <si>
    <t>Fabricação de vidro e produtos de vidro</t>
  </si>
  <si>
    <t>Fabricação de produtos cerâmicos</t>
  </si>
  <si>
    <t>Fabricação de outros produtos de minerais não-metálicos não especificados anteriormente</t>
  </si>
  <si>
    <t xml:space="preserve">METALURGIA </t>
  </si>
  <si>
    <t>Fabricação de produtos siderúrgicos</t>
  </si>
  <si>
    <t>Metalurgia dos metais não-ferrosos</t>
  </si>
  <si>
    <t>Fundição</t>
  </si>
  <si>
    <t>FABRICAÇÃO DE PRODUTOS DE METAL, EXCETO MÁQUINAS E EQUIPAMENTOS</t>
  </si>
  <si>
    <t>Fabricação de produtos de metal, exceto máquinas e equipamentos</t>
  </si>
  <si>
    <t>Forjaria, estamparia, metalurgia do pó e serviços de tratamento de metais</t>
  </si>
  <si>
    <t>FABRICAÇÃO DE EQUIPAMENTOS DE INFORMÁTICA, PRODUTOS ELETRÔNICOS E ÓPTICOS</t>
  </si>
  <si>
    <t>Fabricação de componentes eletrônicos</t>
  </si>
  <si>
    <t>Fabricação de equipamentos de informática e periféricos</t>
  </si>
  <si>
    <t>Fabricação de equipamentos de comunicação e de aparelhos de recepção, reprodução, gravação e amplificação de áudio e vídeo</t>
  </si>
  <si>
    <t>Fabricação de aparelhos e instrumentos de medida, teste e controle; cronômetros e relógios e de aparelhos eletromédicos e eletroterapêuticos</t>
  </si>
  <si>
    <t>Fabricação de equipamentos e instrumentos ópticos, fotográficos e cinematográficos e de mídias virgens, magnéticas e ópticas</t>
  </si>
  <si>
    <t>FABRICAÇÃO DE MÁQUINAS, APARELHOS E MATERIAIS ELÉTRICOS</t>
  </si>
  <si>
    <t>Fabricação de eletrodomesticos</t>
  </si>
  <si>
    <t>Fabricação de máquinas, aparelhos e materiais elétricos diversos, exceto eletrodomesticos</t>
  </si>
  <si>
    <t>FABRICAÇÃO DE MÁQUINAS E EQUIPAMENTOS</t>
  </si>
  <si>
    <t>Fabricação de máquinas e equipamentos</t>
  </si>
  <si>
    <t>FABRICAÇÃO DE VEÍCULOS AUTOMOTORES, REBOQUES E CARROCERIAS</t>
  </si>
  <si>
    <t>Fabricação e montagem de veículos automotores</t>
  </si>
  <si>
    <t>Fabricação de cabines, carrocerias, reboques e peças para veículos automotores</t>
  </si>
  <si>
    <t>Reconstrução, em fábrica, de motores de veículos automotores</t>
  </si>
  <si>
    <t>FABRICAÇÃO DE OUTROS EQUIPAMENTOS DE TRANSPORTE, EXCETO VEÍCULOS AUTOMOTORES</t>
  </si>
  <si>
    <t xml:space="preserve">Construção de embarcações </t>
  </si>
  <si>
    <t>Fabricação de veículos ferroviários</t>
  </si>
  <si>
    <t>Fabricação de aeronaves</t>
  </si>
  <si>
    <t>Fabricação de outros equipamentos de transporte não especificados anteriormente</t>
  </si>
  <si>
    <t>FABRICAÇÃO DE MÓVEIS</t>
  </si>
  <si>
    <t>Fabricação de móveis</t>
  </si>
  <si>
    <t>FABRICAÇÃO DE PRODUTOS DIVERSOS</t>
  </si>
  <si>
    <t>Fabricação de artigos de joalheria, bijuteria e semelhantes</t>
  </si>
  <si>
    <t>Fabricação de instrumentos musicais</t>
  </si>
  <si>
    <t>Fabricação de artefatos para pesca e esporte e de brinquedos e jogos recreativos</t>
  </si>
  <si>
    <t>Fabricação de produtos diversos</t>
  </si>
  <si>
    <t>MANUTENÇÃO, REPARAÇÃO E INSTALAÇÃO DE MÁQUINAS E EQUIPAMENTOS</t>
  </si>
  <si>
    <t>Manutenção e reparação de máquinas e equipamentos</t>
  </si>
  <si>
    <t>Instalação de máquinas e equipamentos</t>
  </si>
  <si>
    <t>ELETRICIDADE E GÁS</t>
  </si>
  <si>
    <t>ELETRICIDADE, GÁS E OUTRAS UTILIDADES</t>
  </si>
  <si>
    <t>Geração, transmissão e distribuição de energia elétrica</t>
  </si>
  <si>
    <t>Produção e distribuição de combustíveis gasosos por redes urbanas</t>
  </si>
  <si>
    <t>Produção e distribuição de vapor, água quente e ar condicionado</t>
  </si>
  <si>
    <t>ÁGUA, ESGOTO, ATIVIDADES DE GESTÃO DE RESÍDUOS E DESCONTAMINAÇÃO</t>
  </si>
  <si>
    <t>CAPTAÇÃO, TRATAMENTO E DISTRIBUIÇÃO DE ÁGUA</t>
  </si>
  <si>
    <t>Captação, tratamento e distribuição de água</t>
  </si>
  <si>
    <t>ESGOTO E ATIVIDADES RELACIONADAS</t>
  </si>
  <si>
    <t>Esgoto e atividades relacionadas</t>
  </si>
  <si>
    <t>COLETA, TRATAMENTO E DISPOSIÇÃO DE RESÍDUOS; RECUPERAÇÃO DE MATERIAIS</t>
  </si>
  <si>
    <t>Coleta, tratamento e disposição de resíduos; recuperação de materiais</t>
  </si>
  <si>
    <t>DESCONTAMINAÇÃO E OUTROS SERVIÇOS DE GESTÃO DE RESÍDUOS</t>
  </si>
  <si>
    <t>Descontaminação e outros serviços de gestão de resíduos</t>
  </si>
  <si>
    <t>CONSTRUÇÃO</t>
  </si>
  <si>
    <t>CONSTRUÇÃO E INCORPORAÇÃO DE EDIFÍCIOS</t>
  </si>
  <si>
    <t>Construção de edifícios</t>
  </si>
  <si>
    <t>OBRAS DE INFRA-ESTRUTURA</t>
  </si>
  <si>
    <t>Construção de obras de infra-estrutura</t>
  </si>
  <si>
    <t>SERVIÇOS ESPECIALIZADOS PARA CONSTRUÇÃO</t>
  </si>
  <si>
    <t>Serviços especializados para construção</t>
  </si>
  <si>
    <t>COMÉRCIO;REPARAÇÃO DE VEÍCULOS AUTOMOTORES E MOTOCICLETAS</t>
  </si>
  <si>
    <t>COMÉRCIO E REPARAÇÃO DE VEÍCULOS AUTOMOTORES E MOTOCICLETAS</t>
  </si>
  <si>
    <t>Comércio de veículos automotores</t>
  </si>
  <si>
    <t>Manutenção e reparação de veículos automotores</t>
  </si>
  <si>
    <t>Comércio de peças e acessórios para veículos automotores</t>
  </si>
  <si>
    <t>Comércio, manutenção e reparação de motocicletas, peças e acessórios</t>
  </si>
  <si>
    <t>COMÉRCIO, EXCETO DE VEICULOS AUTOMOTORES E MOTOCICLETAS</t>
  </si>
  <si>
    <t>Representantes comerciais e agentes do comércio, exceto de veículos automotores e motocicletas</t>
  </si>
  <si>
    <t>Comércio de matérias-primas agrícolas e animais vivos</t>
  </si>
  <si>
    <t>Comércio de produtos alimentícios, bebidas e fumo</t>
  </si>
  <si>
    <t>Comércio de tecidos, artefatos de tecidos e armarinho</t>
  </si>
  <si>
    <t>Comércio de artigos do vestuário, complementos, calçados e artigos de viagem</t>
  </si>
  <si>
    <t>Comércio de madeira, material de construção, ferragens e ferramentas</t>
  </si>
  <si>
    <t>Comércio de combustíveis para veículos automotores</t>
  </si>
  <si>
    <t>Comércio de produtos farmaceuticos, médicos, ortopédicos, odontológicos e de cosméticos e perfumaria</t>
  </si>
  <si>
    <t>Comércio de artigos de escritório e de papelaria; livros, jornais e outras publicações</t>
  </si>
  <si>
    <t>Comércio de eletrodomésticos, móveis e outros artigos de residência</t>
  </si>
  <si>
    <t>Comércio de equipamentos e produtos de tecnologias de informação e comunicação</t>
  </si>
  <si>
    <t xml:space="preserve">Comércio de máquinas, aparelhos e equipamentos, exceto eletrodomésticos </t>
  </si>
  <si>
    <t>Comércio de combustíveis sólidos, líquidos e gasosos, exceto para veículos automotores</t>
  </si>
  <si>
    <t>Comércio de produtos usados</t>
  </si>
  <si>
    <t>Comercio de residuos e sucatas</t>
  </si>
  <si>
    <t>Comércio de produtos novos não especificados anteriormente</t>
  </si>
  <si>
    <t>Supermercado e hipermercado</t>
  </si>
  <si>
    <t>Lojas de departamento e outros comércios não especializados, sem predominância de produtos alimentícios</t>
  </si>
  <si>
    <t>Comércio ambulante e feiras</t>
  </si>
  <si>
    <t>TRANSPORTE, ARMAZENAGEM E CORREIO</t>
  </si>
  <si>
    <t xml:space="preserve">TRANSPORTE TERRESTRE </t>
  </si>
  <si>
    <t>Transporte ferroviário e metroferroviário</t>
  </si>
  <si>
    <t>Transporte rodoviário de passageiros</t>
  </si>
  <si>
    <t>Transporte rodoviário de carga</t>
  </si>
  <si>
    <t>Outros transportes terrestres</t>
  </si>
  <si>
    <t>TRANSPORTE AQUAVIÁRIO</t>
  </si>
  <si>
    <t>Transporte Aquaviário</t>
  </si>
  <si>
    <t>TRANSPORTE AÉREO</t>
  </si>
  <si>
    <t>Transporte Aéreo</t>
  </si>
  <si>
    <t>ARMAZENAMENTO E ATIVIDADES AUXILIARES DOS TRANSPORTES</t>
  </si>
  <si>
    <t>Armazenamento, carga e descarga</t>
  </si>
  <si>
    <t xml:space="preserve">Atividades auxiliares dos transportes e atividades relacionadas à organização do transporte de carga </t>
  </si>
  <si>
    <t>CORREIO E OUTRAS ATIVIDADES DE ENTREGA</t>
  </si>
  <si>
    <t>Atividades de Correio</t>
  </si>
  <si>
    <t>Atividades de malote e de entrega</t>
  </si>
  <si>
    <t>ALOJAMENTO E ALIMENTAÇÃO</t>
  </si>
  <si>
    <t>ALOJAMENTO</t>
  </si>
  <si>
    <t>Alojamento</t>
  </si>
  <si>
    <t>ALIMENTAÇÃO</t>
  </si>
  <si>
    <t>Restaurantes e outros estabelecimentos de serviços de alimentação e bebidas</t>
  </si>
  <si>
    <t>Serviços de catering, bufê e outros serviços de comida preparada</t>
  </si>
  <si>
    <t>Serviços ambulantes de alimentação</t>
  </si>
  <si>
    <t>INFORMAÇÃO E COMUNICAÇÃO</t>
  </si>
  <si>
    <t>EDIÇÃO E EDIÇÃO INTEGRADA À DE IMPRESSÃO</t>
  </si>
  <si>
    <t xml:space="preserve">Edição e Edição integrada à impressão </t>
  </si>
  <si>
    <t>ATIVIDADES CINEMATOGRÁFICAS, PRODUÇÃO DE VÍDEOS E DE PROGRAMAS DE TELEVISÃO; GRAVAÇÃO DE SOM E DE MÚSICA</t>
  </si>
  <si>
    <t>Atividades cinematográficas, produção de vídeos e de programas de televisão, gravação de som e de música</t>
  </si>
  <si>
    <t>ATIVIDADES DE RÁDIO E DE TELEVISÃO</t>
  </si>
  <si>
    <t>Atividades de rádio</t>
  </si>
  <si>
    <t>Atividades de televisão</t>
  </si>
  <si>
    <t>TELECOMUNICAÇÕES</t>
  </si>
  <si>
    <t>Telecomunicações</t>
  </si>
  <si>
    <t>ATIVIDADES DOS SERVIÇOS DE TECNOLOGIA DA INFORMAÇÃO</t>
  </si>
  <si>
    <t>Atividades dos serviços de tecnologia da informação</t>
  </si>
  <si>
    <t>ATIVIDADES DE PRESTAÇÃO DE SERVIÇOS DE INFORMAÇÃO</t>
  </si>
  <si>
    <t>Atividades de prestação de serviços de informação</t>
  </si>
  <si>
    <t>ATIVIDADES FINANCEIRAS, DE SEGUROS E SERVIÇOS RELACIONADOS</t>
  </si>
  <si>
    <t>ATIVIDADES DE SERVIÇOS FINANCEIROS</t>
  </si>
  <si>
    <t>Serviços financeiros</t>
  </si>
  <si>
    <t>SEGUROS, RESSEGUROS, PREVIDÊNCIA COMPLEMENTAR E PLANOS DE SAÚDE</t>
  </si>
  <si>
    <t>Seguros e previdência privada</t>
  </si>
  <si>
    <t>ATIVIDADES AUXILIARES DOS SERVIÇOS FINANCEIROS, SEGUROS, PREVIDÊNCIA COMPLEMENTAR E PLANOS DE SAÚDE</t>
  </si>
  <si>
    <t>Atividades auxiliares dos serviços financeiros</t>
  </si>
  <si>
    <t>Atividades auxiliares dos seguros, da previdência complementar e dos planos de saúde</t>
  </si>
  <si>
    <t>ATIVIDADES IMOBILIÁRIAS</t>
  </si>
  <si>
    <t>Atividades imobiliárias</t>
  </si>
  <si>
    <t>ATIVIDADES PROFISSIONAIS, CIENTÍFICAS E TÉCNICAS</t>
  </si>
  <si>
    <t>ATIVIDADES JURÍDICAS, DE CONTABILIDADE E DE AUDITORIA</t>
  </si>
  <si>
    <t xml:space="preserve">Atividades jurídicas, de contabilidade e de auditoria </t>
  </si>
  <si>
    <t>ATIVIDADES DE CONSULTORIA EM GESTÃO EMPRESARIAL</t>
  </si>
  <si>
    <t>Atividades de consultoria em gestão empresarial</t>
  </si>
  <si>
    <t>SERVIÇOS DE ARQUITETURA E ENGENHARIA; TESTES E ANÁLISES TÉCNICAS</t>
  </si>
  <si>
    <t>Serviços de arquitetura e engenharia e atividades técnicas relacionadas; Testes e análises técnicas</t>
  </si>
  <si>
    <t>PESQUISA E DESENVOLVIMENTO CIENTÍFICO</t>
  </si>
  <si>
    <t>Pesquisa e desenvolvimento científico</t>
  </si>
  <si>
    <t>PUBLICIDADE E PESQUISAS DE MERCADO</t>
  </si>
  <si>
    <t>Publicidade</t>
  </si>
  <si>
    <t>Pesquisas de mercado e opinião pública</t>
  </si>
  <si>
    <t>OUTRAS ATIVIDADES PROFISSIONAIS, CIENTÍFICAS E TÉCNICAS</t>
  </si>
  <si>
    <t>Outras atividades profissionais, científicas e técnicas não especificadas anteriormente</t>
  </si>
  <si>
    <t>ATIVIDADES VETERINÁRIAS</t>
  </si>
  <si>
    <t>Atividades veterinárias</t>
  </si>
  <si>
    <t>ATIVIDADES ADMINISTRATIVAS E SERVIÇOS COMPLEMENTARES</t>
  </si>
  <si>
    <t>ALUGUÉIS NÃO IMOBILIÁRIOS E GESTÃO DE ATIVOS INTANGÍVEIS NÃO FINANCEIROS</t>
  </si>
  <si>
    <t>Aluguel de objetos pessoais e domésticos</t>
  </si>
  <si>
    <t>Aluguel de meios de transportes, maquinas e equipamentos sem operador e gestão de ativos intangíveis não financeiros</t>
  </si>
  <si>
    <t>SELEÇÃO, AGENCIAMENTO E LOCAÇÃO DE MÃO-DE-OBRA</t>
  </si>
  <si>
    <t>Seleção, agenciamento e locação de mão-de-obra</t>
  </si>
  <si>
    <t>AGÊNCIAS DE VIAGENS, OPERADORES TURÍSTICOS E SERVIÇOS DE RESERVAS</t>
  </si>
  <si>
    <t>Agências de viagens, operadores turísticos e serviços de reservas</t>
  </si>
  <si>
    <t>ATIVIDADES DE VIGILÂNCIA, SEGURANÇA E INVESTIGAÇÃO</t>
  </si>
  <si>
    <t>Atividades de vigilância, segurança, transporte de valores e investigação</t>
  </si>
  <si>
    <t>SERVIÇOS PARA EDIFICIOS E ATIVIDADES PAISAGISTICAS</t>
  </si>
  <si>
    <t>Serviços de limpeza e de apoio a edifícios, exceto condomínios prediais</t>
  </si>
  <si>
    <t>Condomínios prediais</t>
  </si>
  <si>
    <t>Atividades paisagísticas</t>
  </si>
  <si>
    <t>SERVIÇOS DE ESCRITÓRIO, DE APOIO ADMINISTRATIVO E OUTROS SERVIÇOS PRESTADOS A EMPRESAS</t>
  </si>
  <si>
    <t>Serviços de escritório e apoio administrativo</t>
  </si>
  <si>
    <t>Atividades de teleatendimento</t>
  </si>
  <si>
    <t>Atividades de organização de eventos, exceto culturais e esportivos</t>
  </si>
  <si>
    <t>Outras atividades de serviços prestados principalmente às empresas</t>
  </si>
  <si>
    <t>ADMINISTRAÇÃO PÚBLICA, DEFESA E SEGURIDADE SOCIAL</t>
  </si>
  <si>
    <t>Administração publica e regulação da política econômica e social - Federal</t>
  </si>
  <si>
    <t>Administração publica e regulação da política econômica e social - Estadual</t>
  </si>
  <si>
    <t>Administração publica e regulação da política econômica e social - Municipal</t>
  </si>
  <si>
    <t>Defesa</t>
  </si>
  <si>
    <t>Outros serviços coletivos prestados pela administração pública - Federal</t>
  </si>
  <si>
    <t>Outros serviços coletivos prestados pela administração pública - Estadual</t>
  </si>
  <si>
    <t>Outros serviços coletivos prestados pela administração pública - Municipal</t>
  </si>
  <si>
    <t>Seguridade social obrigatória</t>
  </si>
  <si>
    <t>EDUCAÇÃO</t>
  </si>
  <si>
    <t>Creche</t>
  </si>
  <si>
    <t>Pré-escola e ensino fundamental</t>
  </si>
  <si>
    <t>Ensino médio</t>
  </si>
  <si>
    <t>Educação superior</t>
  </si>
  <si>
    <t>Serviços auxiliares à educação</t>
  </si>
  <si>
    <t>Outras atividades de ensino</t>
  </si>
  <si>
    <t>SAÚDE HUMANA E SERVIÇOS SOCIAIS</t>
  </si>
  <si>
    <t>ATIVIDADES DE ATENÇÃO À SAÚDE HUMANA</t>
  </si>
  <si>
    <t>Atividades de atendimento hospitalar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</si>
  <si>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</si>
  <si>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</si>
  <si>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</si>
  <si>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atenção à saúde humana não especificadas anteriormente</t>
  </si>
  <si>
    <t>ATIVIDADES DE ATENÇÃO À SAÚDE HUMANA INTEGRADAS COM ASSISTÊNCIA SOCIAL, INCLUSIVE PRESTADAS EM RESIDÊNCIAS COLETIVAS E PARTICULARES</t>
  </si>
  <si>
    <t>Atividades de assistência à saude humana integradas com assistencia social, inclusive prestadas em residencias</t>
  </si>
  <si>
    <t>SERVIÇOS DE ASSISTÊNCIA SOCIAL SEM ALOJAMENTO</t>
  </si>
  <si>
    <t>Serviços de assistência social sem alojamento</t>
  </si>
  <si>
    <t>ARTES, CULTURA, ESPORTE E RECREAÇÃO</t>
  </si>
  <si>
    <t>ATIVIDADES ARTÍSTICAS, CRIATIVAS E DE ESPETÁCULOS</t>
  </si>
  <si>
    <t>Atividades artísticas, criativas e de espetáculos</t>
  </si>
  <si>
    <t>ATIVIDADES LIGADAS AO PATRIMÔNIO CULTURAL E AMBIENTAL</t>
  </si>
  <si>
    <t>Atividades ligadas ao patrimônio cultural e ambiental</t>
  </si>
  <si>
    <t>ATIVIDADES DE EXPLORAÇÃO DE JOGOS DE AZAR E APOSTAS</t>
  </si>
  <si>
    <t>Atividades de exploração de jogos de azar e apostas</t>
  </si>
  <si>
    <t>ATIVIDADES ESPORTIVAS E DE RECREAÇÃO E LAZER</t>
  </si>
  <si>
    <t>Atividades esportivas</t>
  </si>
  <si>
    <t>Atividades de condicionamento físico</t>
  </si>
  <si>
    <t>Atividades de recreação e lazer</t>
  </si>
  <si>
    <t>OUTRAS ATIVIDADES DE SERVIÇOS</t>
  </si>
  <si>
    <t>ATIVIDADES DE ORGANIZAÇÕES ASSOCIATIVAS</t>
  </si>
  <si>
    <t>Atividades de organizações associativas patronais, empresariais e profissionais</t>
  </si>
  <si>
    <t>Atividades de organizações sindicais</t>
  </si>
  <si>
    <t>Atividades de organizações religiosas e filosóficas</t>
  </si>
  <si>
    <t xml:space="preserve">Outras atividades associativas não especificadas anteriormente </t>
  </si>
  <si>
    <t>REPARAÇÃO E MANUTENÇÃO DE EQUIPAMENTOS DE INFORMATICA E COMUNICAÇÃO E DE OBJETOS PESSOAIS E DOMÉSTICOS</t>
  </si>
  <si>
    <t>Reparação e manutenção de equipamentos de informática e comunicação</t>
  </si>
  <si>
    <t>Reparação e manutenção de objetos e equipamentos pessoais e domésticos</t>
  </si>
  <si>
    <t>OUTRAS ATIVIDADES DE SERVIÇOS PESSOAIS</t>
  </si>
  <si>
    <t>Lavanderias, tinturarias e toalheiros</t>
  </si>
  <si>
    <t>Cabeleireiros e outras atividades de tratamento de beleza</t>
  </si>
  <si>
    <t xml:space="preserve">Atividades funerárias e serviços relacionados </t>
  </si>
  <si>
    <t>Outras atividades de serviços pessoais</t>
  </si>
  <si>
    <t>SERVIÇOS DOMÉSTICOS</t>
  </si>
  <si>
    <t>Serviços domésticos</t>
  </si>
  <si>
    <t>ORGANISMOS INTERNACIONAIS E OUTRAS INSTITUIÇÕES EXTRATERRITORIAIS</t>
  </si>
  <si>
    <t>Organismos internacionais e outras instituições extraterritoriais</t>
  </si>
  <si>
    <t>ATIVIDADES MAL DEFINIDAS</t>
  </si>
  <si>
    <t xml:space="preserve">Atividades mal definidas 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</si>
  <si>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</si>
  <si>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</si>
  <si>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</si>
  <si>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</si>
  <si>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</si>
  <si>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</si>
  <si>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</si>
  <si>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</si>
  <si>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</si>
  <si>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</si>
  <si>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</si>
  <si>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</si>
  <si>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</si>
  <si>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</si>
  <si>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</si>
  <si>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</si>
  <si>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</si>
  <si>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</si>
  <si>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</si>
  <si>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</si>
  <si>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</si>
  <si>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</si>
  <si>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</si>
  <si>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</si>
  <si>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</si>
  <si>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</si>
  <si>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Tipo</t>
  </si>
  <si>
    <t>Descrição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</si>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</sst>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left" vertical="top"/>
    </xf>
    <xf numFmtId="49" fontId="5" fillId="0" borderId="1" xfId="0" applyNumberFormat="1" applyFont="1" applyBorder="1" applyAlignment="1" applyProtection="1">
      <alignment horizontal="center" vertical="top"/>
      <protection locked="0"/>
    </xf>
    <xf numFmtId="49" fontId="5" fillId="0" borderId="1" xfId="0" applyNumberFormat="1" applyFont="1" applyBorder="1" applyAlignment="1" applyProtection="1">
      <alignment horizontal="left" vertical="top"/>
      <protection locked="0"/>
    </xf>
    <xf numFmtId="49" fontId="5" fillId="2" borderId="1" xfId="0" applyNumberFormat="1" applyFont="1" applyFill="1" applyBorder="1" applyAlignment="1" applyProtection="1">
      <alignment horizontal="center" vertical="top"/>
      <protection locked="0"/>
    </xf>
    <xf numFmtId="49" fontId="5" fillId="2" borderId="1" xfId="0" applyNumberFormat="1" applyFont="1" applyFill="1" applyBorder="1" applyAlignment="1" applyProtection="1">
      <alignment horizontal="left" vertical="top"/>
      <protection locked="0"/>
    </xf>
    <xf numFmtId="0" fontId="6" fillId="0" borderId="1" xfId="0" applyFont="1" applyBorder="1" applyAlignment="1" applyProtection="1">
      <alignment horizontal="center" vertical="top"/>
      <protection locked="0"/>
    </xf>
    <xf numFmtId="49" fontId="6" fillId="0" borderId="1" xfId="0" applyNumberFormat="1" applyFont="1" applyBorder="1" applyAlignment="1" applyProtection="1">
      <alignment horizontal="left" vertical="top"/>
      <protection locked="0"/>
    </xf>
    <xf numFmtId="49" fontId="6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49" fontId="5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A7EC-0359-4065-B5B6-F4B30BCEFA49}">
  <dimension ref="A1:I4705"/>
  <sheetViews>
    <sheetView tabSelected="1" workbookViewId="0">
      <selection activeCell="D2" sqref="D2"/>
    </sheetView>
  </sheetViews>
  <sheetFormatPr defaultRowHeight="14.4" x14ac:dyDescent="0.3"/>
  <cols>
    <col min="1" max="1" width="7.6640625" bestFit="1" customWidth="1"/>
    <col min="2" max="2" width="17.6640625" style="6" bestFit="1" customWidth="1"/>
    <col min="4" max="4" width="29.77734375" customWidth="1"/>
    <col min="5" max="5" width="18.88671875" customWidth="1"/>
    <col min="6" max="6" width="22.21875" bestFit="1" customWidth="1"/>
  </cols>
  <sheetData>
    <row r="1" spans="1:9" x14ac:dyDescent="0.3">
      <c r="E1" s="29" t="s">
        <v>31</v>
      </c>
      <c r="F1" s="29"/>
    </row>
    <row r="2" spans="1:9" x14ac:dyDescent="0.3">
      <c r="A2" s="1" t="s">
        <v>0</v>
      </c>
      <c r="B2" s="1" t="s">
        <v>387</v>
      </c>
      <c r="C2" s="1" t="s">
        <v>1</v>
      </c>
      <c r="D2" s="2" t="s">
        <v>387</v>
      </c>
      <c r="E2" s="2" t="s">
        <v>3</v>
      </c>
      <c r="F2" s="1" t="s">
        <v>2</v>
      </c>
    </row>
    <row r="3" spans="1:9" x14ac:dyDescent="0.3">
      <c r="A3" s="3" t="s">
        <v>4</v>
      </c>
      <c r="B3" s="7" t="str">
        <f>VLOOKUP(VALUE(A3), 'DICIONÁRIO UF'!$A:$B, 2, FALSE)</f>
        <v>Rondônia</v>
      </c>
      <c r="C3" s="3">
        <v>0</v>
      </c>
      <c r="D3" s="5" t="str">
        <f>VLOOKUP(C3, 'DICIONÁRIO CNAES'!$A:$B, 2, FALSE)</f>
        <v xml:space="preserve">Atividades mal definidas </v>
      </c>
      <c r="E3" s="4">
        <v>1457.3456016600001</v>
      </c>
      <c r="F3" s="4">
        <v>1395917.0165540001</v>
      </c>
    </row>
    <row r="4" spans="1:9" x14ac:dyDescent="0.3">
      <c r="A4" s="3" t="s">
        <v>4</v>
      </c>
      <c r="B4" s="7" t="str">
        <f>VLOOKUP(VALUE(A4), 'DICIONÁRIO UF'!$A:$B, 2, FALSE)</f>
        <v>Rondônia</v>
      </c>
      <c r="C4" s="3">
        <v>1101</v>
      </c>
      <c r="D4" s="5" t="str">
        <f>VLOOKUP(C4, 'DICIONÁRIO CNAES'!$A:$B, 2, FALSE)</f>
        <v>Cultivo de arroz</v>
      </c>
      <c r="E4" s="4">
        <v>340.24150625999999</v>
      </c>
      <c r="F4" s="4">
        <v>563043.81972000003</v>
      </c>
    </row>
    <row r="5" spans="1:9" x14ac:dyDescent="0.3">
      <c r="A5" s="3">
        <v>11</v>
      </c>
      <c r="B5" s="7" t="str">
        <f>VLOOKUP(VALUE(A5), 'DICIONÁRIO UF'!$A:$B, 2, FALSE)</f>
        <v>Rondônia</v>
      </c>
      <c r="C5" s="3">
        <v>1102</v>
      </c>
      <c r="D5" s="5" t="str">
        <f>VLOOKUP(C5, 'DICIONÁRIO CNAES'!$A:$B, 2, FALSE)</f>
        <v>Cultivo de milho</v>
      </c>
      <c r="E5" s="4">
        <v>701.56981873999996</v>
      </c>
      <c r="F5" s="4">
        <v>902293.84544784005</v>
      </c>
    </row>
    <row r="6" spans="1:9" x14ac:dyDescent="0.3">
      <c r="A6" s="3" t="s">
        <v>4</v>
      </c>
      <c r="B6" s="7" t="str">
        <f>VLOOKUP(VALUE(A6), 'DICIONÁRIO UF'!$A:$B, 2, FALSE)</f>
        <v>Rondônia</v>
      </c>
      <c r="C6" s="3">
        <v>1105</v>
      </c>
      <c r="D6" s="5" t="str">
        <f>VLOOKUP(C6, 'DICIONÁRIO CNAES'!$A:$B, 2, FALSE)</f>
        <v>Cultivo de cana-de-açúcar</v>
      </c>
      <c r="E6" s="4">
        <v>315.787082</v>
      </c>
      <c r="F6" s="4">
        <v>126314.8328</v>
      </c>
    </row>
    <row r="7" spans="1:9" x14ac:dyDescent="0.3">
      <c r="A7" s="3" t="s">
        <v>4</v>
      </c>
      <c r="B7" s="7" t="str">
        <f>VLOOKUP(VALUE(A7), 'DICIONÁRIO UF'!$A:$B, 2, FALSE)</f>
        <v>Rondônia</v>
      </c>
      <c r="C7" s="3">
        <v>1107</v>
      </c>
      <c r="D7" s="5" t="str">
        <f>VLOOKUP(C7, 'DICIONÁRIO CNAES'!$A:$B, 2, FALSE)</f>
        <v>Cultivo de soja</v>
      </c>
      <c r="E7" s="4">
        <v>5764.1757799300003</v>
      </c>
      <c r="F7" s="4">
        <v>15306267.771698</v>
      </c>
      <c r="I7" t="str">
        <f>IFERROR(VLOOKUP(A3, 'DICIONÁRIO UF'!A:B, 2, FALSE), "")</f>
        <v/>
      </c>
    </row>
    <row r="8" spans="1:9" x14ac:dyDescent="0.3">
      <c r="A8" s="3" t="s">
        <v>4</v>
      </c>
      <c r="B8" s="7" t="str">
        <f>VLOOKUP(VALUE(A8), 'DICIONÁRIO UF'!$A:$B, 2, FALSE)</f>
        <v>Rondônia</v>
      </c>
      <c r="C8" s="3">
        <v>1108</v>
      </c>
      <c r="D8" s="5" t="str">
        <f>VLOOKUP(C8, 'DICIONÁRIO CNAES'!$A:$B, 2, FALSE)</f>
        <v>Cultivo de mandioca</v>
      </c>
      <c r="E8" s="4">
        <v>4053.75742541</v>
      </c>
      <c r="F8" s="4">
        <v>3675132.4109419999</v>
      </c>
    </row>
    <row r="9" spans="1:9" x14ac:dyDescent="0.3">
      <c r="A9" s="3" t="s">
        <v>4</v>
      </c>
      <c r="B9" s="7" t="str">
        <f>VLOOKUP(VALUE(A9), 'DICIONÁRIO UF'!$A:$B, 2, FALSE)</f>
        <v>Rondônia</v>
      </c>
      <c r="C9" s="3">
        <v>1109</v>
      </c>
      <c r="D9" s="5" t="str">
        <f>VLOOKUP(C9, 'DICIONÁRIO CNAES'!$A:$B, 2, FALSE)</f>
        <v>Cultivo de outras lavouras temporárias não especificadas anteriormente</v>
      </c>
      <c r="E9" s="4">
        <v>3188.64040264</v>
      </c>
      <c r="F9" s="4">
        <v>2291344.1740325</v>
      </c>
    </row>
    <row r="10" spans="1:9" x14ac:dyDescent="0.3">
      <c r="A10" s="3" t="s">
        <v>4</v>
      </c>
      <c r="B10" s="7" t="str">
        <f>VLOOKUP(VALUE(A10), 'DICIONÁRIO UF'!$A:$B, 2, FALSE)</f>
        <v>Rondônia</v>
      </c>
      <c r="C10" s="3">
        <v>1110</v>
      </c>
      <c r="D10" s="5" t="str">
        <f>VLOOKUP(C10, 'DICIONÁRIO CNAES'!$A:$B, 2, FALSE)</f>
        <v>Horticultura</v>
      </c>
      <c r="E10" s="4">
        <v>3724.95214106</v>
      </c>
      <c r="F10" s="4">
        <v>3816529.4128104998</v>
      </c>
    </row>
    <row r="11" spans="1:9" x14ac:dyDescent="0.3">
      <c r="A11" s="3" t="s">
        <v>4</v>
      </c>
      <c r="B11" s="7" t="str">
        <f>VLOOKUP(VALUE(A11), 'DICIONÁRIO UF'!$A:$B, 2, FALSE)</f>
        <v>Rondônia</v>
      </c>
      <c r="C11" s="3">
        <v>1111</v>
      </c>
      <c r="D11" s="5" t="str">
        <f>VLOOKUP(C11, 'DICIONÁRIO CNAES'!$A:$B, 2, FALSE)</f>
        <v>Cultivo de flores e plantas ornamentais</v>
      </c>
      <c r="E11" s="4">
        <v>96.27340676</v>
      </c>
      <c r="F11" s="4">
        <v>4813.6703379999999</v>
      </c>
    </row>
    <row r="12" spans="1:9" x14ac:dyDescent="0.3">
      <c r="A12" s="3" t="s">
        <v>4</v>
      </c>
      <c r="B12" s="7" t="str">
        <f>VLOOKUP(VALUE(A12), 'DICIONÁRIO UF'!$A:$B, 2, FALSE)</f>
        <v>Rondônia</v>
      </c>
      <c r="C12" s="3">
        <v>1112</v>
      </c>
      <c r="D12" s="5" t="str">
        <f>VLOOKUP(C12, 'DICIONÁRIO CNAES'!$A:$B, 2, FALSE)</f>
        <v>Cultivo de frutas cítricas</v>
      </c>
      <c r="E12" s="4">
        <v>464.41331093000002</v>
      </c>
      <c r="F12" s="4">
        <v>1219981.2501558401</v>
      </c>
    </row>
    <row r="13" spans="1:9" x14ac:dyDescent="0.3">
      <c r="A13" s="3" t="s">
        <v>4</v>
      </c>
      <c r="B13" s="7" t="str">
        <f>VLOOKUP(VALUE(A13), 'DICIONÁRIO UF'!$A:$B, 2, FALSE)</f>
        <v>Rondônia</v>
      </c>
      <c r="C13" s="3">
        <v>1113</v>
      </c>
      <c r="D13" s="5" t="str">
        <f>VLOOKUP(C13, 'DICIONÁRIO CNAES'!$A:$B, 2, FALSE)</f>
        <v>Cultivo de café</v>
      </c>
      <c r="E13" s="4">
        <v>19669.69612895</v>
      </c>
      <c r="F13" s="4">
        <v>19802477.191147331</v>
      </c>
    </row>
    <row r="14" spans="1:9" x14ac:dyDescent="0.3">
      <c r="A14" s="3" t="s">
        <v>4</v>
      </c>
      <c r="B14" s="7" t="str">
        <f>VLOOKUP(VALUE(A14), 'DICIONÁRIO UF'!$A:$B, 2, FALSE)</f>
        <v>Rondônia</v>
      </c>
      <c r="C14" s="3">
        <v>1114</v>
      </c>
      <c r="D14" s="5" t="str">
        <f>VLOOKUP(C14, 'DICIONÁRIO CNAES'!$A:$B, 2, FALSE)</f>
        <v>Cultivo de cacau</v>
      </c>
      <c r="E14" s="4">
        <v>1308.35768315</v>
      </c>
      <c r="F14" s="4">
        <v>1745646.482208</v>
      </c>
    </row>
    <row r="15" spans="1:9" x14ac:dyDescent="0.3">
      <c r="A15" s="3" t="s">
        <v>4</v>
      </c>
      <c r="B15" s="7" t="str">
        <f>VLOOKUP(VALUE(A15), 'DICIONÁRIO UF'!$A:$B, 2, FALSE)</f>
        <v>Rondônia</v>
      </c>
      <c r="C15" s="3">
        <v>1116</v>
      </c>
      <c r="D15" s="5" t="str">
        <f>VLOOKUP(C15, 'DICIONÁRIO CNAES'!$A:$B, 2, FALSE)</f>
        <v>Cultivo de banana</v>
      </c>
      <c r="E15" s="4">
        <v>1339.8327041</v>
      </c>
      <c r="F15" s="4">
        <v>1403484.7866481</v>
      </c>
    </row>
    <row r="16" spans="1:9" x14ac:dyDescent="0.3">
      <c r="A16" s="3" t="s">
        <v>4</v>
      </c>
      <c r="B16" s="7" t="str">
        <f>VLOOKUP(VALUE(A16), 'DICIONÁRIO UF'!$A:$B, 2, FALSE)</f>
        <v>Rondônia</v>
      </c>
      <c r="C16" s="3">
        <v>1117</v>
      </c>
      <c r="D16" s="5" t="str">
        <f>VLOOKUP(C16, 'DICIONÁRIO CNAES'!$A:$B, 2, FALSE)</f>
        <v>Cultivo de outras plantas e frutas de lavoura permanente não especificadas anteriormente</v>
      </c>
      <c r="E16" s="4">
        <v>2728.0979544000002</v>
      </c>
      <c r="F16" s="4">
        <v>2973239.6929020002</v>
      </c>
    </row>
    <row r="17" spans="1:6" x14ac:dyDescent="0.3">
      <c r="A17" s="3" t="s">
        <v>4</v>
      </c>
      <c r="B17" s="7" t="str">
        <f>VLOOKUP(VALUE(A17), 'DICIONÁRIO UF'!$A:$B, 2, FALSE)</f>
        <v>Rondônia</v>
      </c>
      <c r="C17" s="3">
        <v>1119</v>
      </c>
      <c r="D17" s="5" t="str">
        <f>VLOOKUP(C17, 'DICIONÁRIO CNAES'!$A:$B, 2, FALSE)</f>
        <v>Lavoura não especificada</v>
      </c>
      <c r="E17" s="4">
        <v>1809.24501457</v>
      </c>
      <c r="F17" s="4">
        <v>3228301.5063590002</v>
      </c>
    </row>
    <row r="18" spans="1:6" x14ac:dyDescent="0.3">
      <c r="A18" s="3" t="s">
        <v>4</v>
      </c>
      <c r="B18" s="7" t="str">
        <f>VLOOKUP(VALUE(A18), 'DICIONÁRIO UF'!$A:$B, 2, FALSE)</f>
        <v>Rondônia</v>
      </c>
      <c r="C18" s="3">
        <v>1201</v>
      </c>
      <c r="D18" s="5" t="str">
        <f>VLOOKUP(C18, 'DICIONÁRIO CNAES'!$A:$B, 2, FALSE)</f>
        <v>Criação de bovinos</v>
      </c>
      <c r="E18" s="4">
        <v>90907.799551069998</v>
      </c>
      <c r="F18" s="4">
        <v>165240174.4055689</v>
      </c>
    </row>
    <row r="19" spans="1:6" x14ac:dyDescent="0.3">
      <c r="A19" s="3" t="s">
        <v>4</v>
      </c>
      <c r="B19" s="7" t="str">
        <f>VLOOKUP(VALUE(A19), 'DICIONÁRIO UF'!$A:$B, 2, FALSE)</f>
        <v>Rondônia</v>
      </c>
      <c r="C19" s="3">
        <v>1202</v>
      </c>
      <c r="D19" s="5" t="str">
        <f>VLOOKUP(C19, 'DICIONÁRIO CNAES'!$A:$B, 2, FALSE)</f>
        <v>Criação de outros animais de grande porte não especificados anteriormente</v>
      </c>
      <c r="E19" s="4">
        <v>178.32158218000001</v>
      </c>
      <c r="F19" s="4">
        <v>196153.74039799999</v>
      </c>
    </row>
    <row r="20" spans="1:6" x14ac:dyDescent="0.3">
      <c r="A20" s="3" t="s">
        <v>4</v>
      </c>
      <c r="B20" s="7" t="str">
        <f>VLOOKUP(VALUE(A20), 'DICIONÁRIO UF'!$A:$B, 2, FALSE)</f>
        <v>Rondônia</v>
      </c>
      <c r="C20" s="3">
        <v>1204</v>
      </c>
      <c r="D20" s="5" t="str">
        <f>VLOOKUP(C20, 'DICIONÁRIO CNAES'!$A:$B, 2, FALSE)</f>
        <v>Criação de suínos</v>
      </c>
      <c r="E20" s="4">
        <v>388.75601304000003</v>
      </c>
      <c r="F20" s="4">
        <v>293627.79653499997</v>
      </c>
    </row>
    <row r="21" spans="1:6" x14ac:dyDescent="0.3">
      <c r="A21" s="3" t="s">
        <v>4</v>
      </c>
      <c r="B21" s="7" t="str">
        <f>VLOOKUP(VALUE(A21), 'DICIONÁRIO UF'!$A:$B, 2, FALSE)</f>
        <v>Rondônia</v>
      </c>
      <c r="C21" s="3">
        <v>1205</v>
      </c>
      <c r="D21" s="5" t="str">
        <f>VLOOKUP(C21, 'DICIONÁRIO CNAES'!$A:$B, 2, FALSE)</f>
        <v>Criação de aves</v>
      </c>
      <c r="E21" s="4">
        <v>612.24982539000007</v>
      </c>
      <c r="F21" s="4">
        <v>2208239.3415689999</v>
      </c>
    </row>
    <row r="22" spans="1:6" x14ac:dyDescent="0.3">
      <c r="A22" s="3" t="s">
        <v>4</v>
      </c>
      <c r="B22" s="7" t="str">
        <f>VLOOKUP(VALUE(A22), 'DICIONÁRIO UF'!$A:$B, 2, FALSE)</f>
        <v>Rondônia</v>
      </c>
      <c r="C22" s="3">
        <v>1209</v>
      </c>
      <c r="D22" s="5" t="str">
        <f>VLOOKUP(C22, 'DICIONÁRIO CNAES'!$A:$B, 2, FALSE)</f>
        <v>Pecuária não especificada</v>
      </c>
      <c r="E22" s="4">
        <v>108.21124698</v>
      </c>
      <c r="F22" s="4">
        <v>216422.49395999999</v>
      </c>
    </row>
    <row r="23" spans="1:6" x14ac:dyDescent="0.3">
      <c r="A23" s="3" t="s">
        <v>4</v>
      </c>
      <c r="B23" s="7" t="str">
        <f>VLOOKUP(VALUE(A23), 'DICIONÁRIO UF'!$A:$B, 2, FALSE)</f>
        <v>Rondônia</v>
      </c>
      <c r="C23" s="3">
        <v>1401</v>
      </c>
      <c r="D23" s="5" t="str">
        <f>VLOOKUP(C23, 'DICIONÁRIO CNAES'!$A:$B, 2, FALSE)</f>
        <v>Atividades de apoio à agricultura e pós-colheita</v>
      </c>
      <c r="E23" s="4">
        <v>1716.3045242400001</v>
      </c>
      <c r="F23" s="4">
        <v>1723480.2914169999</v>
      </c>
    </row>
    <row r="24" spans="1:6" x14ac:dyDescent="0.3">
      <c r="A24" s="3" t="s">
        <v>4</v>
      </c>
      <c r="B24" s="7" t="str">
        <f>VLOOKUP(VALUE(A24), 'DICIONÁRIO UF'!$A:$B, 2, FALSE)</f>
        <v>Rondônia</v>
      </c>
      <c r="C24" s="3">
        <v>1402</v>
      </c>
      <c r="D24" s="5" t="str">
        <f>VLOOKUP(C24, 'DICIONÁRIO CNAES'!$A:$B, 2, FALSE)</f>
        <v xml:space="preserve">Atividades de apoio à pecuária </v>
      </c>
      <c r="E24" s="4">
        <v>1428.95367244</v>
      </c>
      <c r="F24" s="4">
        <v>2915793.5521269999</v>
      </c>
    </row>
    <row r="25" spans="1:6" x14ac:dyDescent="0.3">
      <c r="A25" s="3" t="s">
        <v>4</v>
      </c>
      <c r="B25" s="7" t="str">
        <f>VLOOKUP(VALUE(A25), 'DICIONÁRIO UF'!$A:$B, 2, FALSE)</f>
        <v>Rondônia</v>
      </c>
      <c r="C25" s="3">
        <v>1999</v>
      </c>
      <c r="D25" s="5" t="str">
        <f>VLOOKUP(C25, 'DICIONÁRIO CNAES'!$A:$B, 2, FALSE)</f>
        <v>Agropecuária</v>
      </c>
      <c r="E25" s="4">
        <v>2418.9915104199999</v>
      </c>
      <c r="F25" s="4">
        <v>174467.6673</v>
      </c>
    </row>
    <row r="26" spans="1:6" x14ac:dyDescent="0.3">
      <c r="A26" s="3" t="s">
        <v>4</v>
      </c>
      <c r="B26" s="7" t="str">
        <f>VLOOKUP(VALUE(A26), 'DICIONÁRIO UF'!$A:$B, 2, FALSE)</f>
        <v>Rondônia</v>
      </c>
      <c r="C26" s="3">
        <v>2000</v>
      </c>
      <c r="D26" s="5" t="str">
        <f>VLOOKUP(C26, 'DICIONÁRIO CNAES'!$A:$B, 2, FALSE)</f>
        <v xml:space="preserve">Produção florestal </v>
      </c>
      <c r="E26" s="4">
        <v>942.65258016999996</v>
      </c>
      <c r="F26" s="4">
        <v>2521845.6130530001</v>
      </c>
    </row>
    <row r="27" spans="1:6" x14ac:dyDescent="0.3">
      <c r="A27" s="3" t="s">
        <v>4</v>
      </c>
      <c r="B27" s="7" t="str">
        <f>VLOOKUP(VALUE(A27), 'DICIONÁRIO UF'!$A:$B, 2, FALSE)</f>
        <v>Rondônia</v>
      </c>
      <c r="C27" s="3">
        <v>3001</v>
      </c>
      <c r="D27" s="5" t="str">
        <f>VLOOKUP(C27, 'DICIONÁRIO CNAES'!$A:$B, 2, FALSE)</f>
        <v>Pesca</v>
      </c>
      <c r="E27" s="4">
        <v>606.55976094999994</v>
      </c>
      <c r="F27" s="4">
        <v>735646.48515599989</v>
      </c>
    </row>
    <row r="28" spans="1:6" x14ac:dyDescent="0.3">
      <c r="A28" s="3" t="s">
        <v>4</v>
      </c>
      <c r="B28" s="7" t="str">
        <f>VLOOKUP(VALUE(A28), 'DICIONÁRIO UF'!$A:$B, 2, FALSE)</f>
        <v>Rondônia</v>
      </c>
      <c r="C28" s="3">
        <v>3002</v>
      </c>
      <c r="D28" s="5" t="str">
        <f>VLOOKUP(C28, 'DICIONÁRIO CNAES'!$A:$B, 2, FALSE)</f>
        <v>Aqüicultura</v>
      </c>
      <c r="E28" s="4">
        <v>1239.53495419</v>
      </c>
      <c r="F28" s="4">
        <v>2521224.6199920001</v>
      </c>
    </row>
    <row r="29" spans="1:6" x14ac:dyDescent="0.3">
      <c r="A29" s="3" t="s">
        <v>4</v>
      </c>
      <c r="B29" s="7" t="str">
        <f>VLOOKUP(VALUE(A29), 'DICIONÁRIO UF'!$A:$B, 2, FALSE)</f>
        <v>Rondônia</v>
      </c>
      <c r="C29" s="3">
        <v>7001</v>
      </c>
      <c r="D29" s="5" t="str">
        <f>VLOOKUP(C29, 'DICIONÁRIO CNAES'!$A:$B, 2, FALSE)</f>
        <v>Extração de minérios de metais preciosos</v>
      </c>
      <c r="E29" s="4">
        <v>920.31200508000006</v>
      </c>
      <c r="F29" s="4">
        <v>2334403.3634879999</v>
      </c>
    </row>
    <row r="30" spans="1:6" x14ac:dyDescent="0.3">
      <c r="A30" s="3" t="s">
        <v>4</v>
      </c>
      <c r="B30" s="7" t="str">
        <f>VLOOKUP(VALUE(A30), 'DICIONÁRIO UF'!$A:$B, 2, FALSE)</f>
        <v>Rondônia</v>
      </c>
      <c r="C30" s="3">
        <v>7002</v>
      </c>
      <c r="D30" s="5" t="str">
        <f>VLOOKUP(C30, 'DICIONÁRIO CNAES'!$A:$B, 2, FALSE)</f>
        <v xml:space="preserve">Extração de minerais metálicos não especificados anteriormente </v>
      </c>
      <c r="E30" s="4">
        <v>2887.4895259499999</v>
      </c>
      <c r="F30" s="4">
        <v>9172575.0404199995</v>
      </c>
    </row>
    <row r="31" spans="1:6" x14ac:dyDescent="0.3">
      <c r="A31" s="3" t="s">
        <v>4</v>
      </c>
      <c r="B31" s="7" t="str">
        <f>VLOOKUP(VALUE(A31), 'DICIONÁRIO UF'!$A:$B, 2, FALSE)</f>
        <v>Rondônia</v>
      </c>
      <c r="C31" s="3">
        <v>8001</v>
      </c>
      <c r="D31" s="5" t="str">
        <f>VLOOKUP(C31, 'DICIONÁRIO CNAES'!$A:$B, 2, FALSE)</f>
        <v>Extração de pedras, areia e argila</v>
      </c>
      <c r="E31" s="4">
        <v>1085.4976154799999</v>
      </c>
      <c r="F31" s="4">
        <v>2203887.2162739998</v>
      </c>
    </row>
    <row r="32" spans="1:6" x14ac:dyDescent="0.3">
      <c r="A32" s="3" t="s">
        <v>4</v>
      </c>
      <c r="B32" s="7" t="str">
        <f>VLOOKUP(VALUE(A32), 'DICIONÁRIO UF'!$A:$B, 2, FALSE)</f>
        <v>Rondônia</v>
      </c>
      <c r="C32" s="3">
        <v>10010</v>
      </c>
      <c r="D32" s="5" t="str">
        <f>VLOOKUP(C32, 'DICIONÁRIO CNAES'!$A:$B, 2, FALSE)</f>
        <v xml:space="preserve">Abate e fabricação de produtos de carne e pescado </v>
      </c>
      <c r="E32" s="4">
        <v>11340.7093451</v>
      </c>
      <c r="F32" s="4">
        <v>18239347.558641382</v>
      </c>
    </row>
    <row r="33" spans="1:6" x14ac:dyDescent="0.3">
      <c r="A33" s="3" t="s">
        <v>4</v>
      </c>
      <c r="B33" s="7" t="str">
        <f>VLOOKUP(VALUE(A33), 'DICIONÁRIO UF'!$A:$B, 2, FALSE)</f>
        <v>Rondônia</v>
      </c>
      <c r="C33" s="3">
        <v>10030</v>
      </c>
      <c r="D33" s="5" t="str">
        <f>VLOOKUP(C33, 'DICIONÁRIO CNAES'!$A:$B, 2, FALSE)</f>
        <v>Laticínios</v>
      </c>
      <c r="E33" s="4">
        <v>5577.0537395599986</v>
      </c>
      <c r="F33" s="4">
        <v>10497185.2156545</v>
      </c>
    </row>
    <row r="34" spans="1:6" x14ac:dyDescent="0.3">
      <c r="A34" s="3" t="s">
        <v>4</v>
      </c>
      <c r="B34" s="7" t="str">
        <f>VLOOKUP(VALUE(A34), 'DICIONÁRIO UF'!$A:$B, 2, FALSE)</f>
        <v>Rondônia</v>
      </c>
      <c r="C34" s="3">
        <v>10091</v>
      </c>
      <c r="D34" s="5" t="str">
        <f>VLOOKUP(C34, 'DICIONÁRIO CNAES'!$A:$B, 2, FALSE)</f>
        <v>Moagem, fabricação de produtos amiláceos e de alimentos para animais</v>
      </c>
      <c r="E34" s="4">
        <v>1988.9549689600001</v>
      </c>
      <c r="F34" s="4">
        <v>3301312.8321151999</v>
      </c>
    </row>
    <row r="35" spans="1:6" x14ac:dyDescent="0.3">
      <c r="A35" s="3" t="s">
        <v>4</v>
      </c>
      <c r="B35" s="7" t="str">
        <f>VLOOKUP(VALUE(A35), 'DICIONÁRIO UF'!$A:$B, 2, FALSE)</f>
        <v>Rondônia</v>
      </c>
      <c r="C35" s="3">
        <v>10093</v>
      </c>
      <c r="D35" s="5" t="str">
        <f>VLOOKUP(C35, 'DICIONÁRIO CNAES'!$A:$B, 2, FALSE)</f>
        <v>Torrefação e moagem de café</v>
      </c>
      <c r="E35" s="4">
        <v>499.89055263</v>
      </c>
      <c r="F35" s="4">
        <v>916466.01315500005</v>
      </c>
    </row>
    <row r="36" spans="1:6" x14ac:dyDescent="0.3">
      <c r="A36" s="3" t="s">
        <v>4</v>
      </c>
      <c r="B36" s="7" t="str">
        <f>VLOOKUP(VALUE(A36), 'DICIONÁRIO UF'!$A:$B, 2, FALSE)</f>
        <v>Rondônia</v>
      </c>
      <c r="C36" s="3">
        <v>10099</v>
      </c>
      <c r="D36" s="5" t="str">
        <f>VLOOKUP(C36, 'DICIONÁRIO CNAES'!$A:$B, 2, FALSE)</f>
        <v>Fabricação de outros produtos alimentícios</v>
      </c>
      <c r="E36" s="4">
        <v>1428.50792871</v>
      </c>
      <c r="F36" s="4">
        <v>2600884.9460359998</v>
      </c>
    </row>
    <row r="37" spans="1:6" x14ac:dyDescent="0.3">
      <c r="A37" s="3" t="s">
        <v>4</v>
      </c>
      <c r="B37" s="7" t="str">
        <f>VLOOKUP(VALUE(A37), 'DICIONÁRIO UF'!$A:$B, 2, FALSE)</f>
        <v>Rondônia</v>
      </c>
      <c r="C37" s="3">
        <v>11000</v>
      </c>
      <c r="D37" s="5" t="str">
        <f>VLOOKUP(C37, 'DICIONÁRIO CNAES'!$A:$B, 2, FALSE)</f>
        <v>Fabricação de bebidas</v>
      </c>
      <c r="E37" s="4">
        <v>732.09549906000007</v>
      </c>
      <c r="F37" s="4">
        <v>1725219.5385420001</v>
      </c>
    </row>
    <row r="38" spans="1:6" x14ac:dyDescent="0.3">
      <c r="A38" s="3" t="s">
        <v>4</v>
      </c>
      <c r="B38" s="7" t="str">
        <f>VLOOKUP(VALUE(A38), 'DICIONÁRIO UF'!$A:$B, 2, FALSE)</f>
        <v>Rondônia</v>
      </c>
      <c r="C38" s="3">
        <v>13001</v>
      </c>
      <c r="D38" s="5" t="str">
        <f>VLOOKUP(C38, 'DICIONÁRIO CNAES'!$A:$B, 2, FALSE)</f>
        <v>Preparação de fibras, fiação e tecelagem</v>
      </c>
      <c r="E38" s="4">
        <v>124.98302526000001</v>
      </c>
      <c r="F38" s="4">
        <v>62491.512629999997</v>
      </c>
    </row>
    <row r="39" spans="1:6" x14ac:dyDescent="0.3">
      <c r="A39" s="3" t="s">
        <v>4</v>
      </c>
      <c r="B39" s="7" t="str">
        <f>VLOOKUP(VALUE(A39), 'DICIONÁRIO UF'!$A:$B, 2, FALSE)</f>
        <v>Rondônia</v>
      </c>
      <c r="C39" s="3">
        <v>13002</v>
      </c>
      <c r="D39" s="5" t="str">
        <f>VLOOKUP(C39, 'DICIONÁRIO CNAES'!$A:$B, 2, FALSE)</f>
        <v>Fabricação de artefatos têxteis, exceto vestuário</v>
      </c>
      <c r="E39" s="4">
        <v>906.73644211999999</v>
      </c>
      <c r="F39" s="4">
        <v>1244644.4464716001</v>
      </c>
    </row>
    <row r="40" spans="1:6" x14ac:dyDescent="0.3">
      <c r="A40" s="3" t="s">
        <v>4</v>
      </c>
      <c r="B40" s="7" t="str">
        <f>VLOOKUP(VALUE(A40), 'DICIONÁRIO UF'!$A:$B, 2, FALSE)</f>
        <v>Rondônia</v>
      </c>
      <c r="C40" s="3">
        <v>14001</v>
      </c>
      <c r="D40" s="5" t="str">
        <f>VLOOKUP(C40, 'DICIONÁRIO CNAES'!$A:$B, 2, FALSE)</f>
        <v>Confecção de artigos do vestuário e acessórios, exceto sob medida</v>
      </c>
      <c r="E40" s="4">
        <v>3005.5072037099999</v>
      </c>
      <c r="F40" s="4">
        <v>3812063.5799090001</v>
      </c>
    </row>
    <row r="41" spans="1:6" x14ac:dyDescent="0.3">
      <c r="A41" s="3" t="s">
        <v>4</v>
      </c>
      <c r="B41" s="7" t="str">
        <f>VLOOKUP(VALUE(A41), 'DICIONÁRIO UF'!$A:$B, 2, FALSE)</f>
        <v>Rondônia</v>
      </c>
      <c r="C41" s="3">
        <v>14002</v>
      </c>
      <c r="D41" s="5" t="str">
        <f>VLOOKUP(C41, 'DICIONÁRIO CNAES'!$A:$B, 2, FALSE)</f>
        <v>Confecção, sob medida, de artigos do vestuário</v>
      </c>
      <c r="E41" s="4">
        <v>4221.5688402100004</v>
      </c>
      <c r="F41" s="4">
        <v>3279017.90702075</v>
      </c>
    </row>
    <row r="42" spans="1:6" x14ac:dyDescent="0.3">
      <c r="A42" s="3" t="s">
        <v>4</v>
      </c>
      <c r="B42" s="7" t="str">
        <f>VLOOKUP(VALUE(A42), 'DICIONÁRIO UF'!$A:$B, 2, FALSE)</f>
        <v>Rondônia</v>
      </c>
      <c r="C42" s="3">
        <v>15011</v>
      </c>
      <c r="D42" s="5" t="str">
        <f>VLOOKUP(C42, 'DICIONÁRIO CNAES'!$A:$B, 2, FALSE)</f>
        <v>Curtimento e outras preparações de couro</v>
      </c>
      <c r="E42" s="4">
        <v>207.2253207</v>
      </c>
      <c r="F42" s="4">
        <v>321199.24708499998</v>
      </c>
    </row>
    <row r="43" spans="1:6" x14ac:dyDescent="0.3">
      <c r="A43" s="3" t="s">
        <v>4</v>
      </c>
      <c r="B43" s="7" t="str">
        <f>VLOOKUP(VALUE(A43), 'DICIONÁRIO UF'!$A:$B, 2, FALSE)</f>
        <v>Rondônia</v>
      </c>
      <c r="C43" s="3">
        <v>15012</v>
      </c>
      <c r="D43" s="5" t="str">
        <f>VLOOKUP(C43, 'DICIONÁRIO CNAES'!$A:$B, 2, FALSE)</f>
        <v>Fabricação de artigos de viagem e de artefatos diversos de couro</v>
      </c>
      <c r="E43" s="4">
        <v>499.11573872999998</v>
      </c>
      <c r="F43" s="4">
        <v>1349207.9699810001</v>
      </c>
    </row>
    <row r="44" spans="1:6" x14ac:dyDescent="0.3">
      <c r="A44" s="3" t="s">
        <v>4</v>
      </c>
      <c r="B44" s="7" t="str">
        <f>VLOOKUP(VALUE(A44), 'DICIONÁRIO UF'!$A:$B, 2, FALSE)</f>
        <v>Rondônia</v>
      </c>
      <c r="C44" s="3">
        <v>16001</v>
      </c>
      <c r="D44" s="5" t="str">
        <f>VLOOKUP(C44, 'DICIONÁRIO CNAES'!$A:$B, 2, FALSE)</f>
        <v>Serrarias</v>
      </c>
      <c r="E44" s="4">
        <v>4804.6259027599999</v>
      </c>
      <c r="F44" s="4">
        <v>8147344.0759279998</v>
      </c>
    </row>
    <row r="45" spans="1:6" x14ac:dyDescent="0.3">
      <c r="A45" s="3" t="s">
        <v>4</v>
      </c>
      <c r="B45" s="7" t="str">
        <f>VLOOKUP(VALUE(A45), 'DICIONÁRIO UF'!$A:$B, 2, FALSE)</f>
        <v>Rondônia</v>
      </c>
      <c r="C45" s="3">
        <v>16002</v>
      </c>
      <c r="D45" s="5" t="str">
        <f>VLOOKUP(C45, 'DICIONÁRIO CNAES'!$A:$B, 2, FALSE)</f>
        <v>Fabricação de produtos de madeira, cortiça e material trançado, exceto móveis</v>
      </c>
      <c r="E45" s="4">
        <v>4413.9364660000001</v>
      </c>
      <c r="F45" s="4">
        <v>8140677.074763</v>
      </c>
    </row>
    <row r="46" spans="1:6" x14ac:dyDescent="0.3">
      <c r="A46" s="3" t="s">
        <v>4</v>
      </c>
      <c r="B46" s="7" t="str">
        <f>VLOOKUP(VALUE(A46), 'DICIONÁRIO UF'!$A:$B, 2, FALSE)</f>
        <v>Rondônia</v>
      </c>
      <c r="C46" s="3">
        <v>18000</v>
      </c>
      <c r="D46" s="5" t="str">
        <f>VLOOKUP(C46, 'DICIONÁRIO CNAES'!$A:$B, 2, FALSE)</f>
        <v>Impressão e reprodução de gravações</v>
      </c>
      <c r="E46" s="4">
        <v>2081.3017182100002</v>
      </c>
      <c r="F46" s="4">
        <v>5341166.7169339992</v>
      </c>
    </row>
    <row r="47" spans="1:6" x14ac:dyDescent="0.3">
      <c r="A47" s="3" t="s">
        <v>4</v>
      </c>
      <c r="B47" s="7" t="str">
        <f>VLOOKUP(VALUE(A47), 'DICIONÁRIO UF'!$A:$B, 2, FALSE)</f>
        <v>Rondônia</v>
      </c>
      <c r="C47" s="3">
        <v>19020</v>
      </c>
      <c r="D47" s="5" t="str">
        <f>VLOOKUP(C47, 'DICIONÁRIO CNAES'!$A:$B, 2, FALSE)</f>
        <v>Fabricação de produtos derivados do petróleo</v>
      </c>
      <c r="E47" s="4">
        <v>100.77667959999999</v>
      </c>
      <c r="F47" s="4">
        <v>241864.03104</v>
      </c>
    </row>
    <row r="48" spans="1:6" x14ac:dyDescent="0.3">
      <c r="A48" s="3" t="s">
        <v>4</v>
      </c>
      <c r="B48" s="7" t="str">
        <f>VLOOKUP(VALUE(A48), 'DICIONÁRIO UF'!$A:$B, 2, FALSE)</f>
        <v>Rondônia</v>
      </c>
      <c r="C48" s="3">
        <v>19030</v>
      </c>
      <c r="D48" s="5" t="str">
        <f>VLOOKUP(C48, 'DICIONÁRIO CNAES'!$A:$B, 2, FALSE)</f>
        <v>Produção de biocombustíveis</v>
      </c>
      <c r="E48" s="4">
        <v>265.45801220999999</v>
      </c>
      <c r="F48" s="4">
        <v>519943.95139499998</v>
      </c>
    </row>
    <row r="49" spans="1:6" x14ac:dyDescent="0.3">
      <c r="A49" s="3" t="s">
        <v>4</v>
      </c>
      <c r="B49" s="7" t="str">
        <f>VLOOKUP(VALUE(A49), 'DICIONÁRIO UF'!$A:$B, 2, FALSE)</f>
        <v>Rondônia</v>
      </c>
      <c r="C49" s="3">
        <v>20020</v>
      </c>
      <c r="D49" s="5" t="str">
        <f>VLOOKUP(C49, 'DICIONÁRIO CNAES'!$A:$B, 2, FALSE)</f>
        <v>Fabricação de sabões, detergentes, produtos de limpeza, cosméticos, produtos de perfumaria e de higiene pessoal</v>
      </c>
      <c r="E49" s="4">
        <v>590.33163881999997</v>
      </c>
      <c r="F49" s="4">
        <v>649364.80270200002</v>
      </c>
    </row>
    <row r="50" spans="1:6" x14ac:dyDescent="0.3">
      <c r="A50" s="3" t="s">
        <v>4</v>
      </c>
      <c r="B50" s="7" t="str">
        <f>VLOOKUP(VALUE(A50), 'DICIONÁRIO UF'!$A:$B, 2, FALSE)</f>
        <v>Rondônia</v>
      </c>
      <c r="C50" s="3">
        <v>20090</v>
      </c>
      <c r="D50" s="5" t="str">
        <f>VLOOKUP(C50, 'DICIONÁRIO CNAES'!$A:$B, 2, FALSE)</f>
        <v>Fabricação de outros produtos químicos não especificados anteriormente</v>
      </c>
      <c r="E50" s="4">
        <v>528.17133788000001</v>
      </c>
      <c r="F50" s="4">
        <v>913077.13656899997</v>
      </c>
    </row>
    <row r="51" spans="1:6" x14ac:dyDescent="0.3">
      <c r="A51" s="3" t="s">
        <v>4</v>
      </c>
      <c r="B51" s="7" t="str">
        <f>VLOOKUP(VALUE(A51), 'DICIONÁRIO UF'!$A:$B, 2, FALSE)</f>
        <v>Rondônia</v>
      </c>
      <c r="C51" s="3">
        <v>22020</v>
      </c>
      <c r="D51" s="5" t="str">
        <f>VLOOKUP(C51, 'DICIONÁRIO CNAES'!$A:$B, 2, FALSE)</f>
        <v>Fabricação de produtos de material plástico</v>
      </c>
      <c r="E51" s="4">
        <v>1327.0435786800001</v>
      </c>
      <c r="F51" s="4">
        <v>3581521.3954699999</v>
      </c>
    </row>
    <row r="52" spans="1:6" x14ac:dyDescent="0.3">
      <c r="A52" s="3" t="s">
        <v>4</v>
      </c>
      <c r="B52" s="7" t="str">
        <f>VLOOKUP(VALUE(A52), 'DICIONÁRIO UF'!$A:$B, 2, FALSE)</f>
        <v>Rondônia</v>
      </c>
      <c r="C52" s="3">
        <v>23010</v>
      </c>
      <c r="D52" s="5" t="str">
        <f>VLOOKUP(C52, 'DICIONÁRIO CNAES'!$A:$B, 2, FALSE)</f>
        <v>Fabricação de vidro e produtos de vidro</v>
      </c>
      <c r="E52" s="4">
        <v>245.28947142000001</v>
      </c>
      <c r="F52" s="4">
        <v>269818.41856199998</v>
      </c>
    </row>
    <row r="53" spans="1:6" x14ac:dyDescent="0.3">
      <c r="A53" s="3" t="s">
        <v>4</v>
      </c>
      <c r="B53" s="7" t="str">
        <f>VLOOKUP(VALUE(A53), 'DICIONÁRIO UF'!$A:$B, 2, FALSE)</f>
        <v>Rondônia</v>
      </c>
      <c r="C53" s="3">
        <v>23091</v>
      </c>
      <c r="D53" s="5" t="str">
        <f>VLOOKUP(C53, 'DICIONÁRIO CNAES'!$A:$B, 2, FALSE)</f>
        <v>Fabricação de produtos cerâmicos</v>
      </c>
      <c r="E53" s="4">
        <v>2538.2260123900001</v>
      </c>
      <c r="F53" s="4">
        <v>2978778.8530839998</v>
      </c>
    </row>
    <row r="54" spans="1:6" x14ac:dyDescent="0.3">
      <c r="A54" s="3" t="s">
        <v>4</v>
      </c>
      <c r="B54" s="7" t="str">
        <f>VLOOKUP(VALUE(A54), 'DICIONÁRIO UF'!$A:$B, 2, FALSE)</f>
        <v>Rondônia</v>
      </c>
      <c r="C54" s="3">
        <v>23099</v>
      </c>
      <c r="D54" s="5" t="str">
        <f>VLOOKUP(C54, 'DICIONÁRIO CNAES'!$A:$B, 2, FALSE)</f>
        <v>Fabricação de outros produtos de minerais não-metálicos não especificados anteriormente</v>
      </c>
      <c r="E54" s="4">
        <v>1889.17198377</v>
      </c>
      <c r="F54" s="4">
        <v>3851711.5691245501</v>
      </c>
    </row>
    <row r="55" spans="1:6" x14ac:dyDescent="0.3">
      <c r="A55" s="3" t="s">
        <v>4</v>
      </c>
      <c r="B55" s="7" t="str">
        <f>VLOOKUP(VALUE(A55), 'DICIONÁRIO UF'!$A:$B, 2, FALSE)</f>
        <v>Rondônia</v>
      </c>
      <c r="C55" s="3">
        <v>24001</v>
      </c>
      <c r="D55" s="5" t="str">
        <f>VLOOKUP(C55, 'DICIONÁRIO CNAES'!$A:$B, 2, FALSE)</f>
        <v>Fabricação de produtos siderúrgicos</v>
      </c>
      <c r="E55" s="4">
        <v>152.7064282</v>
      </c>
      <c r="F55" s="4">
        <v>198518.35665999999</v>
      </c>
    </row>
    <row r="56" spans="1:6" x14ac:dyDescent="0.3">
      <c r="A56" s="3" t="s">
        <v>4</v>
      </c>
      <c r="B56" s="7" t="str">
        <f>VLOOKUP(VALUE(A56), 'DICIONÁRIO UF'!$A:$B, 2, FALSE)</f>
        <v>Rondônia</v>
      </c>
      <c r="C56" s="3">
        <v>25001</v>
      </c>
      <c r="D56" s="5" t="str">
        <f>VLOOKUP(C56, 'DICIONÁRIO CNAES'!$A:$B, 2, FALSE)</f>
        <v>Fabricação de produtos de metal, exceto máquinas e equipamentos</v>
      </c>
      <c r="E56" s="4">
        <v>2545.9616352100002</v>
      </c>
      <c r="F56" s="4">
        <v>5551503.1852789996</v>
      </c>
    </row>
    <row r="57" spans="1:6" x14ac:dyDescent="0.3">
      <c r="A57" s="3" t="s">
        <v>4</v>
      </c>
      <c r="B57" s="7" t="str">
        <f>VLOOKUP(VALUE(A57), 'DICIONÁRIO UF'!$A:$B, 2, FALSE)</f>
        <v>Rondônia</v>
      </c>
      <c r="C57" s="3">
        <v>25002</v>
      </c>
      <c r="D57" s="5" t="str">
        <f>VLOOKUP(C57, 'DICIONÁRIO CNAES'!$A:$B, 2, FALSE)</f>
        <v>Forjaria, estamparia, metalurgia do pó e serviços de tratamento de metais</v>
      </c>
      <c r="E57" s="4">
        <v>1192.0487822</v>
      </c>
      <c r="F57" s="4">
        <v>1615222.592745</v>
      </c>
    </row>
    <row r="58" spans="1:6" x14ac:dyDescent="0.3">
      <c r="A58" s="3" t="s">
        <v>4</v>
      </c>
      <c r="B58" s="7" t="str">
        <f>VLOOKUP(VALUE(A58), 'DICIONÁRIO UF'!$A:$B, 2, FALSE)</f>
        <v>Rondônia</v>
      </c>
      <c r="C58" s="3">
        <v>26010</v>
      </c>
      <c r="D58" s="5" t="str">
        <f>VLOOKUP(C58, 'DICIONÁRIO CNAES'!$A:$B, 2, FALSE)</f>
        <v>Fabricação de componentes eletrônicos</v>
      </c>
      <c r="E58" s="4">
        <v>260.02476388999997</v>
      </c>
      <c r="F58" s="4">
        <v>910086.67361499986</v>
      </c>
    </row>
    <row r="59" spans="1:6" x14ac:dyDescent="0.3">
      <c r="A59" s="3" t="s">
        <v>4</v>
      </c>
      <c r="B59" s="7" t="str">
        <f>VLOOKUP(VALUE(A59), 'DICIONÁRIO UF'!$A:$B, 2, FALSE)</f>
        <v>Rondônia</v>
      </c>
      <c r="C59" s="3">
        <v>28000</v>
      </c>
      <c r="D59" s="5" t="str">
        <f>VLOOKUP(C59, 'DICIONÁRIO CNAES'!$A:$B, 2, FALSE)</f>
        <v>Fabricação de máquinas e equipamentos</v>
      </c>
      <c r="E59" s="4">
        <v>193.38837108000001</v>
      </c>
      <c r="F59" s="4">
        <v>270743.71951199998</v>
      </c>
    </row>
    <row r="60" spans="1:6" x14ac:dyDescent="0.3">
      <c r="A60" s="3" t="s">
        <v>4</v>
      </c>
      <c r="B60" s="7" t="str">
        <f>VLOOKUP(VALUE(A60), 'DICIONÁRIO UF'!$A:$B, 2, FALSE)</f>
        <v>Rondônia</v>
      </c>
      <c r="C60" s="3">
        <v>29002</v>
      </c>
      <c r="D60" s="5" t="str">
        <f>VLOOKUP(C60, 'DICIONÁRIO CNAES'!$A:$B, 2, FALSE)</f>
        <v>Fabricação de cabines, carrocerias, reboques e peças para veículos automotores</v>
      </c>
      <c r="E60" s="4">
        <v>247.87888276999999</v>
      </c>
      <c r="F60" s="4">
        <v>545333.54209400003</v>
      </c>
    </row>
    <row r="61" spans="1:6" x14ac:dyDescent="0.3">
      <c r="A61" s="3" t="s">
        <v>4</v>
      </c>
      <c r="B61" s="7" t="str">
        <f>VLOOKUP(VALUE(A61), 'DICIONÁRIO UF'!$A:$B, 2, FALSE)</f>
        <v>Rondônia</v>
      </c>
      <c r="C61" s="3">
        <v>30010</v>
      </c>
      <c r="D61" s="5" t="str">
        <f>VLOOKUP(C61, 'DICIONÁRIO CNAES'!$A:$B, 2, FALSE)</f>
        <v xml:space="preserve">Construção de embarcações </v>
      </c>
      <c r="E61" s="4">
        <v>119.83145725999999</v>
      </c>
      <c r="F61" s="4">
        <v>155780.89443799999</v>
      </c>
    </row>
    <row r="62" spans="1:6" x14ac:dyDescent="0.3">
      <c r="A62" s="3" t="s">
        <v>4</v>
      </c>
      <c r="B62" s="7" t="str">
        <f>VLOOKUP(VALUE(A62), 'DICIONÁRIO UF'!$A:$B, 2, FALSE)</f>
        <v>Rondônia</v>
      </c>
      <c r="C62" s="3">
        <v>30090</v>
      </c>
      <c r="D62" s="5" t="str">
        <f>VLOOKUP(C62, 'DICIONÁRIO CNAES'!$A:$B, 2, FALSE)</f>
        <v>Fabricação de outros equipamentos de transporte não especificados anteriormente</v>
      </c>
      <c r="E62" s="4">
        <v>1686.4388802799999</v>
      </c>
      <c r="F62" s="4">
        <v>3271302.8390850001</v>
      </c>
    </row>
    <row r="63" spans="1:6" x14ac:dyDescent="0.3">
      <c r="A63" s="3" t="s">
        <v>4</v>
      </c>
      <c r="B63" s="7" t="str">
        <f>VLOOKUP(VALUE(A63), 'DICIONÁRIO UF'!$A:$B, 2, FALSE)</f>
        <v>Rondônia</v>
      </c>
      <c r="C63" s="3">
        <v>31000</v>
      </c>
      <c r="D63" s="5" t="str">
        <f>VLOOKUP(C63, 'DICIONÁRIO CNAES'!$A:$B, 2, FALSE)</f>
        <v>Fabricação de móveis</v>
      </c>
      <c r="E63" s="4">
        <v>3326.3920964700001</v>
      </c>
      <c r="F63" s="4">
        <v>6282097.5860829996</v>
      </c>
    </row>
    <row r="64" spans="1:6" x14ac:dyDescent="0.3">
      <c r="A64" s="3" t="s">
        <v>4</v>
      </c>
      <c r="B64" s="7" t="str">
        <f>VLOOKUP(VALUE(A64), 'DICIONÁRIO UF'!$A:$B, 2, FALSE)</f>
        <v>Rondônia</v>
      </c>
      <c r="C64" s="3">
        <v>32009</v>
      </c>
      <c r="D64" s="5" t="str">
        <f>VLOOKUP(C64, 'DICIONÁRIO CNAES'!$A:$B, 2, FALSE)</f>
        <v>Fabricação de produtos diversos</v>
      </c>
      <c r="E64" s="4">
        <v>1458.8961217599999</v>
      </c>
      <c r="F64" s="4">
        <v>3803092.5262560002</v>
      </c>
    </row>
    <row r="65" spans="1:6" x14ac:dyDescent="0.3">
      <c r="A65" s="3" t="s">
        <v>4</v>
      </c>
      <c r="B65" s="7" t="str">
        <f>VLOOKUP(VALUE(A65), 'DICIONÁRIO UF'!$A:$B, 2, FALSE)</f>
        <v>Rondônia</v>
      </c>
      <c r="C65" s="3">
        <v>33001</v>
      </c>
      <c r="D65" s="5" t="str">
        <f>VLOOKUP(C65, 'DICIONÁRIO CNAES'!$A:$B, 2, FALSE)</f>
        <v>Manutenção e reparação de máquinas e equipamentos</v>
      </c>
      <c r="E65" s="4">
        <v>2270.9319409200002</v>
      </c>
      <c r="F65" s="4">
        <v>5264190.0066679996</v>
      </c>
    </row>
    <row r="66" spans="1:6" x14ac:dyDescent="0.3">
      <c r="A66" s="3" t="s">
        <v>4</v>
      </c>
      <c r="B66" s="7" t="str">
        <f>VLOOKUP(VALUE(A66), 'DICIONÁRIO UF'!$A:$B, 2, FALSE)</f>
        <v>Rondônia</v>
      </c>
      <c r="C66" s="3">
        <v>35010</v>
      </c>
      <c r="D66" s="5" t="str">
        <f>VLOOKUP(C66, 'DICIONÁRIO CNAES'!$A:$B, 2, FALSE)</f>
        <v>Geração, transmissão e distribuição de energia elétrica</v>
      </c>
      <c r="E66" s="4">
        <v>2567.2569761899999</v>
      </c>
      <c r="F66" s="4">
        <v>6067145.2813745001</v>
      </c>
    </row>
    <row r="67" spans="1:6" x14ac:dyDescent="0.3">
      <c r="A67" s="3" t="s">
        <v>4</v>
      </c>
      <c r="B67" s="7" t="str">
        <f>VLOOKUP(VALUE(A67), 'DICIONÁRIO UF'!$A:$B, 2, FALSE)</f>
        <v>Rondônia</v>
      </c>
      <c r="C67" s="3">
        <v>36000</v>
      </c>
      <c r="D67" s="5" t="str">
        <f>VLOOKUP(C67, 'DICIONÁRIO CNAES'!$A:$B, 2, FALSE)</f>
        <v>Captação, tratamento e distribuição de água</v>
      </c>
      <c r="E67" s="4">
        <v>716.73687028000006</v>
      </c>
      <c r="F67" s="4">
        <v>1636054.1585899999</v>
      </c>
    </row>
    <row r="68" spans="1:6" x14ac:dyDescent="0.3">
      <c r="A68" s="3" t="s">
        <v>4</v>
      </c>
      <c r="B68" s="7" t="str">
        <f>VLOOKUP(VALUE(A68), 'DICIONÁRIO UF'!$A:$B, 2, FALSE)</f>
        <v>Rondônia</v>
      </c>
      <c r="C68" s="3">
        <v>38000</v>
      </c>
      <c r="D68" s="5" t="str">
        <f>VLOOKUP(C68, 'DICIONÁRIO CNAES'!$A:$B, 2, FALSE)</f>
        <v>Coleta, tratamento e disposição de resíduos; recuperação de materiais</v>
      </c>
      <c r="E68" s="4">
        <v>6478.9614654300003</v>
      </c>
      <c r="F68" s="4">
        <v>11415065.13518085</v>
      </c>
    </row>
    <row r="69" spans="1:6" x14ac:dyDescent="0.3">
      <c r="A69" s="3" t="s">
        <v>4</v>
      </c>
      <c r="B69" s="7" t="str">
        <f>VLOOKUP(VALUE(A69), 'DICIONÁRIO UF'!$A:$B, 2, FALSE)</f>
        <v>Rondônia</v>
      </c>
      <c r="C69" s="3">
        <v>41000</v>
      </c>
      <c r="D69" s="5" t="str">
        <f>VLOOKUP(C69, 'DICIONÁRIO CNAES'!$A:$B, 2, FALSE)</f>
        <v>Construção de edifícios</v>
      </c>
      <c r="E69" s="4">
        <v>40929.878352129999</v>
      </c>
      <c r="F69" s="4">
        <v>67190495.497909397</v>
      </c>
    </row>
    <row r="70" spans="1:6" x14ac:dyDescent="0.3">
      <c r="A70" s="3" t="s">
        <v>4</v>
      </c>
      <c r="B70" s="7" t="str">
        <f>VLOOKUP(VALUE(A70), 'DICIONÁRIO UF'!$A:$B, 2, FALSE)</f>
        <v>Rondônia</v>
      </c>
      <c r="C70" s="3">
        <v>42000</v>
      </c>
      <c r="D70" s="5" t="str">
        <f>VLOOKUP(C70, 'DICIONÁRIO CNAES'!$A:$B, 2, FALSE)</f>
        <v>Construção de obras de infra-estrutura</v>
      </c>
      <c r="E70" s="4">
        <v>5593.7402328300004</v>
      </c>
      <c r="F70" s="4">
        <v>12070854.446141001</v>
      </c>
    </row>
    <row r="71" spans="1:6" x14ac:dyDescent="0.3">
      <c r="A71" s="3" t="s">
        <v>4</v>
      </c>
      <c r="B71" s="7" t="str">
        <f>VLOOKUP(VALUE(A71), 'DICIONÁRIO UF'!$A:$B, 2, FALSE)</f>
        <v>Rondônia</v>
      </c>
      <c r="C71" s="3">
        <v>43000</v>
      </c>
      <c r="D71" s="5" t="str">
        <f>VLOOKUP(C71, 'DICIONÁRIO CNAES'!$A:$B, 2, FALSE)</f>
        <v>Serviços especializados para construção</v>
      </c>
      <c r="E71" s="4">
        <v>12170.84067584</v>
      </c>
      <c r="F71" s="4">
        <v>19870492.14699012</v>
      </c>
    </row>
    <row r="72" spans="1:6" x14ac:dyDescent="0.3">
      <c r="A72" s="3" t="s">
        <v>4</v>
      </c>
      <c r="B72" s="7" t="str">
        <f>VLOOKUP(VALUE(A72), 'DICIONÁRIO UF'!$A:$B, 2, FALSE)</f>
        <v>Rondônia</v>
      </c>
      <c r="C72" s="3">
        <v>45010</v>
      </c>
      <c r="D72" s="5" t="str">
        <f>VLOOKUP(C72, 'DICIONÁRIO CNAES'!$A:$B, 2, FALSE)</f>
        <v>Comércio de veículos automotores</v>
      </c>
      <c r="E72" s="4">
        <v>4403.2324329599996</v>
      </c>
      <c r="F72" s="4">
        <v>11039284.510061501</v>
      </c>
    </row>
    <row r="73" spans="1:6" x14ac:dyDescent="0.3">
      <c r="A73" s="3" t="s">
        <v>4</v>
      </c>
      <c r="B73" s="7" t="str">
        <f>VLOOKUP(VALUE(A73), 'DICIONÁRIO UF'!$A:$B, 2, FALSE)</f>
        <v>Rondônia</v>
      </c>
      <c r="C73" s="3">
        <v>45020</v>
      </c>
      <c r="D73" s="5" t="str">
        <f>VLOOKUP(C73, 'DICIONÁRIO CNAES'!$A:$B, 2, FALSE)</f>
        <v>Manutenção e reparação de veículos automotores</v>
      </c>
      <c r="E73" s="4">
        <v>20174.737267379998</v>
      </c>
      <c r="F73" s="4">
        <v>38554490.738723762</v>
      </c>
    </row>
    <row r="74" spans="1:6" x14ac:dyDescent="0.3">
      <c r="A74" s="3" t="s">
        <v>4</v>
      </c>
      <c r="B74" s="7" t="str">
        <f>VLOOKUP(VALUE(A74), 'DICIONÁRIO UF'!$A:$B, 2, FALSE)</f>
        <v>Rondônia</v>
      </c>
      <c r="C74" s="3">
        <v>45030</v>
      </c>
      <c r="D74" s="5" t="str">
        <f>VLOOKUP(C74, 'DICIONÁRIO CNAES'!$A:$B, 2, FALSE)</f>
        <v>Comércio de peças e acessórios para veículos automotores</v>
      </c>
      <c r="E74" s="4">
        <v>2138.4280742199999</v>
      </c>
      <c r="F74" s="4">
        <v>3363339.5418199999</v>
      </c>
    </row>
    <row r="75" spans="1:6" x14ac:dyDescent="0.3">
      <c r="A75" s="3" t="s">
        <v>4</v>
      </c>
      <c r="B75" s="7" t="str">
        <f>VLOOKUP(VALUE(A75), 'DICIONÁRIO UF'!$A:$B, 2, FALSE)</f>
        <v>Rondônia</v>
      </c>
      <c r="C75" s="3">
        <v>45040</v>
      </c>
      <c r="D75" s="5" t="str">
        <f>VLOOKUP(C75, 'DICIONÁRIO CNAES'!$A:$B, 2, FALSE)</f>
        <v>Comércio, manutenção e reparação de motocicletas, peças e acessórios</v>
      </c>
      <c r="E75" s="4">
        <v>4730.6823393300001</v>
      </c>
      <c r="F75" s="4">
        <v>9629064.0050415006</v>
      </c>
    </row>
    <row r="76" spans="1:6" x14ac:dyDescent="0.3">
      <c r="A76" s="3" t="s">
        <v>4</v>
      </c>
      <c r="B76" s="7" t="str">
        <f>VLOOKUP(VALUE(A76), 'DICIONÁRIO UF'!$A:$B, 2, FALSE)</f>
        <v>Rondônia</v>
      </c>
      <c r="C76" s="3">
        <v>48010</v>
      </c>
      <c r="D76" s="5" t="str">
        <f>VLOOKUP(C76, 'DICIONÁRIO CNAES'!$A:$B, 2, FALSE)</f>
        <v>Representantes comerciais e agentes do comércio, exceto de veículos automotores e motocicletas</v>
      </c>
      <c r="E76" s="4">
        <v>570.00033841999993</v>
      </c>
      <c r="F76" s="4">
        <v>606060.61762099992</v>
      </c>
    </row>
    <row r="77" spans="1:6" x14ac:dyDescent="0.3">
      <c r="A77" s="3" t="s">
        <v>4</v>
      </c>
      <c r="B77" s="7" t="str">
        <f>VLOOKUP(VALUE(A77), 'DICIONÁRIO UF'!$A:$B, 2, FALSE)</f>
        <v>Rondônia</v>
      </c>
      <c r="C77" s="3">
        <v>48020</v>
      </c>
      <c r="D77" s="5" t="str">
        <f>VLOOKUP(C77, 'DICIONÁRIO CNAES'!$A:$B, 2, FALSE)</f>
        <v>Comércio de matérias-primas agrícolas e animais vivos</v>
      </c>
      <c r="E77" s="4">
        <v>5536.6738173000003</v>
      </c>
      <c r="F77" s="4">
        <v>9003436.6190177798</v>
      </c>
    </row>
    <row r="78" spans="1:6" x14ac:dyDescent="0.3">
      <c r="A78" s="3" t="s">
        <v>4</v>
      </c>
      <c r="B78" s="7" t="str">
        <f>VLOOKUP(VALUE(A78), 'DICIONÁRIO UF'!$A:$B, 2, FALSE)</f>
        <v>Rondônia</v>
      </c>
      <c r="C78" s="3">
        <v>48030</v>
      </c>
      <c r="D78" s="5" t="str">
        <f>VLOOKUP(C78, 'DICIONÁRIO CNAES'!$A:$B, 2, FALSE)</f>
        <v>Comércio de produtos alimentícios, bebidas e fumo</v>
      </c>
      <c r="E78" s="4">
        <v>33009.484325910002</v>
      </c>
      <c r="F78" s="4">
        <v>63870843.770967901</v>
      </c>
    </row>
    <row r="79" spans="1:6" x14ac:dyDescent="0.3">
      <c r="A79" s="3" t="s">
        <v>4</v>
      </c>
      <c r="B79" s="7" t="str">
        <f>VLOOKUP(VALUE(A79), 'DICIONÁRIO UF'!$A:$B, 2, FALSE)</f>
        <v>Rondônia</v>
      </c>
      <c r="C79" s="3">
        <v>48041</v>
      </c>
      <c r="D79" s="5" t="str">
        <f>VLOOKUP(C79, 'DICIONÁRIO CNAES'!$A:$B, 2, FALSE)</f>
        <v>Comércio de tecidos, artefatos de tecidos e armarinho</v>
      </c>
      <c r="E79" s="4">
        <v>2085.46035906</v>
      </c>
      <c r="F79" s="4">
        <v>2378694.6390920002</v>
      </c>
    </row>
    <row r="80" spans="1:6" x14ac:dyDescent="0.3">
      <c r="A80" s="3" t="s">
        <v>4</v>
      </c>
      <c r="B80" s="7" t="str">
        <f>VLOOKUP(VALUE(A80), 'DICIONÁRIO UF'!$A:$B, 2, FALSE)</f>
        <v>Rondônia</v>
      </c>
      <c r="C80" s="3">
        <v>48042</v>
      </c>
      <c r="D80" s="5" t="str">
        <f>VLOOKUP(C80, 'DICIONÁRIO CNAES'!$A:$B, 2, FALSE)</f>
        <v>Comércio de artigos do vestuário, complementos, calçados e artigos de viagem</v>
      </c>
      <c r="E80" s="4">
        <v>19021.089151740001</v>
      </c>
      <c r="F80" s="4">
        <v>33847904.643880658</v>
      </c>
    </row>
    <row r="81" spans="1:6" x14ac:dyDescent="0.3">
      <c r="A81" s="3" t="s">
        <v>4</v>
      </c>
      <c r="B81" s="7" t="str">
        <f>VLOOKUP(VALUE(A81), 'DICIONÁRIO UF'!$A:$B, 2, FALSE)</f>
        <v>Rondônia</v>
      </c>
      <c r="C81" s="3">
        <v>48050</v>
      </c>
      <c r="D81" s="5" t="str">
        <f>VLOOKUP(C81, 'DICIONÁRIO CNAES'!$A:$B, 2, FALSE)</f>
        <v>Comércio de madeira, material de construção, ferragens e ferramentas</v>
      </c>
      <c r="E81" s="4">
        <v>11038.24690405</v>
      </c>
      <c r="F81" s="4">
        <v>27991453.972565439</v>
      </c>
    </row>
    <row r="82" spans="1:6" x14ac:dyDescent="0.3">
      <c r="A82" s="3" t="s">
        <v>4</v>
      </c>
      <c r="B82" s="7" t="str">
        <f>VLOOKUP(VALUE(A82), 'DICIONÁRIO UF'!$A:$B, 2, FALSE)</f>
        <v>Rondônia</v>
      </c>
      <c r="C82" s="3">
        <v>48060</v>
      </c>
      <c r="D82" s="5" t="str">
        <f>VLOOKUP(C82, 'DICIONÁRIO CNAES'!$A:$B, 2, FALSE)</f>
        <v>Comércio de combustíveis para veículos automotores</v>
      </c>
      <c r="E82" s="4">
        <v>4797.3281131000003</v>
      </c>
      <c r="F82" s="4">
        <v>7484811.7174934996</v>
      </c>
    </row>
    <row r="83" spans="1:6" x14ac:dyDescent="0.3">
      <c r="A83" s="3" t="s">
        <v>4</v>
      </c>
      <c r="B83" s="7" t="str">
        <f>VLOOKUP(VALUE(A83), 'DICIONÁRIO UF'!$A:$B, 2, FALSE)</f>
        <v>Rondônia</v>
      </c>
      <c r="C83" s="3">
        <v>48071</v>
      </c>
      <c r="D83" s="5" t="str">
        <f>VLOOKUP(C83, 'DICIONÁRIO CNAES'!$A:$B, 2, FALSE)</f>
        <v>Comércio de produtos farmaceuticos, médicos, ortopédicos, odontológicos e de cosméticos e perfumaria</v>
      </c>
      <c r="E83" s="4">
        <v>12057.41540983</v>
      </c>
      <c r="F83" s="4">
        <v>26924692.80240465</v>
      </c>
    </row>
    <row r="84" spans="1:6" x14ac:dyDescent="0.3">
      <c r="A84" s="3" t="s">
        <v>4</v>
      </c>
      <c r="B84" s="7" t="str">
        <f>VLOOKUP(VALUE(A84), 'DICIONÁRIO UF'!$A:$B, 2, FALSE)</f>
        <v>Rondônia</v>
      </c>
      <c r="C84" s="3">
        <v>48072</v>
      </c>
      <c r="D84" s="5" t="str">
        <f>VLOOKUP(C84, 'DICIONÁRIO CNAES'!$A:$B, 2, FALSE)</f>
        <v>Comércio de artigos de escritório e de papelaria; livros, jornais e outras publicações</v>
      </c>
      <c r="E84" s="4">
        <v>1289.9553764</v>
      </c>
      <c r="F84" s="4">
        <v>3339198.488562</v>
      </c>
    </row>
    <row r="85" spans="1:6" x14ac:dyDescent="0.3">
      <c r="A85" s="3" t="s">
        <v>4</v>
      </c>
      <c r="B85" s="7" t="str">
        <f>VLOOKUP(VALUE(A85), 'DICIONÁRIO UF'!$A:$B, 2, FALSE)</f>
        <v>Rondônia</v>
      </c>
      <c r="C85" s="3">
        <v>48073</v>
      </c>
      <c r="D85" s="5" t="str">
        <f>VLOOKUP(C85, 'DICIONÁRIO CNAES'!$A:$B, 2, FALSE)</f>
        <v>Comércio de eletrodomésticos, móveis e outros artigos de residência</v>
      </c>
      <c r="E85" s="4">
        <v>4497.1663731099998</v>
      </c>
      <c r="F85" s="4">
        <v>6552090.3202745002</v>
      </c>
    </row>
    <row r="86" spans="1:6" x14ac:dyDescent="0.3">
      <c r="A86" s="3" t="s">
        <v>4</v>
      </c>
      <c r="B86" s="7" t="str">
        <f>VLOOKUP(VALUE(A86), 'DICIONÁRIO UF'!$A:$B, 2, FALSE)</f>
        <v>Rondônia</v>
      </c>
      <c r="C86" s="3">
        <v>48074</v>
      </c>
      <c r="D86" s="5" t="str">
        <f>VLOOKUP(C86, 'DICIONÁRIO CNAES'!$A:$B, 2, FALSE)</f>
        <v>Comércio de equipamentos e produtos de tecnologias de informação e comunicação</v>
      </c>
      <c r="E86" s="4">
        <v>1383.0847481400001</v>
      </c>
      <c r="F86" s="4">
        <v>2433415.6714452002</v>
      </c>
    </row>
    <row r="87" spans="1:6" x14ac:dyDescent="0.3">
      <c r="A87" s="3" t="s">
        <v>4</v>
      </c>
      <c r="B87" s="7" t="str">
        <f>VLOOKUP(VALUE(A87), 'DICIONÁRIO UF'!$A:$B, 2, FALSE)</f>
        <v>Rondônia</v>
      </c>
      <c r="C87" s="3">
        <v>48075</v>
      </c>
      <c r="D87" s="5" t="str">
        <f>VLOOKUP(C87, 'DICIONÁRIO CNAES'!$A:$B, 2, FALSE)</f>
        <v xml:space="preserve">Comércio de máquinas, aparelhos e equipamentos, exceto eletrodomésticos </v>
      </c>
      <c r="E87" s="4">
        <v>938.44331420000003</v>
      </c>
      <c r="F87" s="4">
        <v>1632143.97016995</v>
      </c>
    </row>
    <row r="88" spans="1:6" x14ac:dyDescent="0.3">
      <c r="A88" s="3" t="s">
        <v>4</v>
      </c>
      <c r="B88" s="7" t="str">
        <f>VLOOKUP(VALUE(A88), 'DICIONÁRIO UF'!$A:$B, 2, FALSE)</f>
        <v>Rondônia</v>
      </c>
      <c r="C88" s="3">
        <v>48076</v>
      </c>
      <c r="D88" s="5" t="str">
        <f>VLOOKUP(C88, 'DICIONÁRIO CNAES'!$A:$B, 2, FALSE)</f>
        <v>Comércio de combustíveis sólidos, líquidos e gasosos, exceto para veículos automotores</v>
      </c>
      <c r="E88" s="4">
        <v>381.32319860000001</v>
      </c>
      <c r="F88" s="4">
        <v>522892.40041</v>
      </c>
    </row>
    <row r="89" spans="1:6" x14ac:dyDescent="0.3">
      <c r="A89" s="3" t="s">
        <v>4</v>
      </c>
      <c r="B89" s="7" t="str">
        <f>VLOOKUP(VALUE(A89), 'DICIONÁRIO UF'!$A:$B, 2, FALSE)</f>
        <v>Rondônia</v>
      </c>
      <c r="C89" s="3">
        <v>48077</v>
      </c>
      <c r="D89" s="5" t="str">
        <f>VLOOKUP(C89, 'DICIONÁRIO CNAES'!$A:$B, 2, FALSE)</f>
        <v>Comércio de produtos usados</v>
      </c>
      <c r="E89" s="4">
        <v>191.45554568</v>
      </c>
      <c r="F89" s="4">
        <v>156884.86021000001</v>
      </c>
    </row>
    <row r="90" spans="1:6" x14ac:dyDescent="0.3">
      <c r="A90" s="3" t="s">
        <v>4</v>
      </c>
      <c r="B90" s="7" t="str">
        <f>VLOOKUP(VALUE(A90), 'DICIONÁRIO UF'!$A:$B, 2, FALSE)</f>
        <v>Rondônia</v>
      </c>
      <c r="C90" s="3">
        <v>48078</v>
      </c>
      <c r="D90" s="5" t="str">
        <f>VLOOKUP(C90, 'DICIONÁRIO CNAES'!$A:$B, 2, FALSE)</f>
        <v>Comercio de residuos e sucatas</v>
      </c>
      <c r="E90" s="4">
        <v>2345.7978075000001</v>
      </c>
      <c r="F90" s="4">
        <v>1555080.1022564999</v>
      </c>
    </row>
    <row r="91" spans="1:6" x14ac:dyDescent="0.3">
      <c r="A91" s="3" t="s">
        <v>4</v>
      </c>
      <c r="B91" s="7" t="str">
        <f>VLOOKUP(VALUE(A91), 'DICIONÁRIO UF'!$A:$B, 2, FALSE)</f>
        <v>Rondônia</v>
      </c>
      <c r="C91" s="3">
        <v>48079</v>
      </c>
      <c r="D91" s="5" t="str">
        <f>VLOOKUP(C91, 'DICIONÁRIO CNAES'!$A:$B, 2, FALSE)</f>
        <v>Comércio de produtos novos não especificados anteriormente</v>
      </c>
      <c r="E91" s="4">
        <v>6734.97981316</v>
      </c>
      <c r="F91" s="4">
        <v>14920771.69936258</v>
      </c>
    </row>
    <row r="92" spans="1:6" x14ac:dyDescent="0.3">
      <c r="A92" s="3" t="s">
        <v>4</v>
      </c>
      <c r="B92" s="7" t="str">
        <f>VLOOKUP(VALUE(A92), 'DICIONÁRIO UF'!$A:$B, 2, FALSE)</f>
        <v>Rondônia</v>
      </c>
      <c r="C92" s="3">
        <v>48080</v>
      </c>
      <c r="D92" s="5" t="str">
        <f>VLOOKUP(C92, 'DICIONÁRIO CNAES'!$A:$B, 2, FALSE)</f>
        <v>Supermercado e hipermercado</v>
      </c>
      <c r="E92" s="4">
        <v>24492.94665627</v>
      </c>
      <c r="F92" s="4">
        <v>44997084.616514906</v>
      </c>
    </row>
    <row r="93" spans="1:6" x14ac:dyDescent="0.3">
      <c r="A93" s="3" t="s">
        <v>4</v>
      </c>
      <c r="B93" s="7" t="str">
        <f>VLOOKUP(VALUE(A93), 'DICIONÁRIO UF'!$A:$B, 2, FALSE)</f>
        <v>Rondônia</v>
      </c>
      <c r="C93" s="3">
        <v>48090</v>
      </c>
      <c r="D93" s="5" t="str">
        <f>VLOOKUP(C93, 'DICIONÁRIO CNAES'!$A:$B, 2, FALSE)</f>
        <v>Lojas de departamento e outros comércios não especializados, sem predominância de produtos alimentícios</v>
      </c>
      <c r="E93" s="4">
        <v>1537.03953742</v>
      </c>
      <c r="F93" s="4">
        <v>2013604.635182</v>
      </c>
    </row>
    <row r="94" spans="1:6" x14ac:dyDescent="0.3">
      <c r="A94" s="3" t="s">
        <v>4</v>
      </c>
      <c r="B94" s="7" t="str">
        <f>VLOOKUP(VALUE(A94), 'DICIONÁRIO UF'!$A:$B, 2, FALSE)</f>
        <v>Rondônia</v>
      </c>
      <c r="C94" s="3">
        <v>48100</v>
      </c>
      <c r="D94" s="5" t="str">
        <f>VLOOKUP(C94, 'DICIONÁRIO CNAES'!$A:$B, 2, FALSE)</f>
        <v>Comércio ambulante e feiras</v>
      </c>
      <c r="E94" s="4">
        <v>11117.14425191</v>
      </c>
      <c r="F94" s="4">
        <v>18577247.527449999</v>
      </c>
    </row>
    <row r="95" spans="1:6" x14ac:dyDescent="0.3">
      <c r="A95" s="3" t="s">
        <v>4</v>
      </c>
      <c r="B95" s="7" t="str">
        <f>VLOOKUP(VALUE(A95), 'DICIONÁRIO UF'!$A:$B, 2, FALSE)</f>
        <v>Rondônia</v>
      </c>
      <c r="C95" s="3">
        <v>49030</v>
      </c>
      <c r="D95" s="5" t="str">
        <f>VLOOKUP(C95, 'DICIONÁRIO CNAES'!$A:$B, 2, FALSE)</f>
        <v>Transporte rodoviário de passageiros</v>
      </c>
      <c r="E95" s="4">
        <v>10409.194702410001</v>
      </c>
      <c r="F95" s="4">
        <v>22234605.416606121</v>
      </c>
    </row>
    <row r="96" spans="1:6" x14ac:dyDescent="0.3">
      <c r="A96" s="3" t="s">
        <v>4</v>
      </c>
      <c r="B96" s="7" t="str">
        <f>VLOOKUP(VALUE(A96), 'DICIONÁRIO UF'!$A:$B, 2, FALSE)</f>
        <v>Rondônia</v>
      </c>
      <c r="C96" s="3">
        <v>49040</v>
      </c>
      <c r="D96" s="5" t="str">
        <f>VLOOKUP(C96, 'DICIONÁRIO CNAES'!$A:$B, 2, FALSE)</f>
        <v>Transporte rodoviário de carga</v>
      </c>
      <c r="E96" s="4">
        <v>21728.97305271</v>
      </c>
      <c r="F96" s="4">
        <v>57517565.008894853</v>
      </c>
    </row>
    <row r="97" spans="1:6" x14ac:dyDescent="0.3">
      <c r="A97" s="3" t="s">
        <v>4</v>
      </c>
      <c r="B97" s="7" t="str">
        <f>VLOOKUP(VALUE(A97), 'DICIONÁRIO UF'!$A:$B, 2, FALSE)</f>
        <v>Rondônia</v>
      </c>
      <c r="C97" s="3">
        <v>50000</v>
      </c>
      <c r="D97" s="5" t="str">
        <f>VLOOKUP(C97, 'DICIONÁRIO CNAES'!$A:$B, 2, FALSE)</f>
        <v>Transporte Aquaviário</v>
      </c>
      <c r="E97" s="4">
        <v>447.40417352999998</v>
      </c>
      <c r="F97" s="4">
        <v>876818.86552699993</v>
      </c>
    </row>
    <row r="98" spans="1:6" x14ac:dyDescent="0.3">
      <c r="A98" s="3" t="s">
        <v>4</v>
      </c>
      <c r="B98" s="7" t="str">
        <f>VLOOKUP(VALUE(A98), 'DICIONÁRIO UF'!$A:$B, 2, FALSE)</f>
        <v>Rondônia</v>
      </c>
      <c r="C98" s="3">
        <v>51000</v>
      </c>
      <c r="D98" s="5" t="str">
        <f>VLOOKUP(C98, 'DICIONÁRIO CNAES'!$A:$B, 2, FALSE)</f>
        <v>Transporte Aéreo</v>
      </c>
      <c r="E98" s="4">
        <v>577.45051548000004</v>
      </c>
      <c r="F98" s="4">
        <v>977276.42445599998</v>
      </c>
    </row>
    <row r="99" spans="1:6" x14ac:dyDescent="0.3">
      <c r="A99" s="3" t="s">
        <v>4</v>
      </c>
      <c r="B99" s="7" t="str">
        <f>VLOOKUP(VALUE(A99), 'DICIONÁRIO UF'!$A:$B, 2, FALSE)</f>
        <v>Rondônia</v>
      </c>
      <c r="C99" s="3">
        <v>52010</v>
      </c>
      <c r="D99" s="5" t="str">
        <f>VLOOKUP(C99, 'DICIONÁRIO CNAES'!$A:$B, 2, FALSE)</f>
        <v>Armazenamento, carga e descarga</v>
      </c>
      <c r="E99" s="4">
        <v>1346.3086587099999</v>
      </c>
      <c r="F99" s="4">
        <v>2045657.4789450001</v>
      </c>
    </row>
    <row r="100" spans="1:6" x14ac:dyDescent="0.3">
      <c r="A100" s="3" t="s">
        <v>4</v>
      </c>
      <c r="B100" s="7" t="str">
        <f>VLOOKUP(VALUE(A100), 'DICIONÁRIO UF'!$A:$B, 2, FALSE)</f>
        <v>Rondônia</v>
      </c>
      <c r="C100" s="3">
        <v>52020</v>
      </c>
      <c r="D100" s="5" t="str">
        <f>VLOOKUP(C100, 'DICIONÁRIO CNAES'!$A:$B, 2, FALSE)</f>
        <v xml:space="preserve">Atividades auxiliares dos transportes e atividades relacionadas à organização do transporte de carga </v>
      </c>
      <c r="E100" s="4">
        <v>2273.1844300399998</v>
      </c>
      <c r="F100" s="4">
        <v>5962406.4952609995</v>
      </c>
    </row>
    <row r="101" spans="1:6" x14ac:dyDescent="0.3">
      <c r="A101" s="3" t="s">
        <v>4</v>
      </c>
      <c r="B101" s="7" t="str">
        <f>VLOOKUP(VALUE(A101), 'DICIONÁRIO UF'!$A:$B, 2, FALSE)</f>
        <v>Rondônia</v>
      </c>
      <c r="C101" s="3">
        <v>53002</v>
      </c>
      <c r="D101" s="5" t="str">
        <f>VLOOKUP(C101, 'DICIONÁRIO CNAES'!$A:$B, 2, FALSE)</f>
        <v>Atividades de malote e de entrega</v>
      </c>
      <c r="E101" s="4">
        <v>3838.60682593</v>
      </c>
      <c r="F101" s="4">
        <v>5439080.5011101998</v>
      </c>
    </row>
    <row r="102" spans="1:6" x14ac:dyDescent="0.3">
      <c r="A102" s="3" t="s">
        <v>4</v>
      </c>
      <c r="B102" s="7" t="str">
        <f>VLOOKUP(VALUE(A102), 'DICIONÁRIO UF'!$A:$B, 2, FALSE)</f>
        <v>Rondônia</v>
      </c>
      <c r="C102" s="3">
        <v>55000</v>
      </c>
      <c r="D102" s="5" t="str">
        <f>VLOOKUP(C102, 'DICIONÁRIO CNAES'!$A:$B, 2, FALSE)</f>
        <v>Alojamento</v>
      </c>
      <c r="E102" s="4">
        <v>1860.56640442</v>
      </c>
      <c r="F102" s="4">
        <v>2896931.78548748</v>
      </c>
    </row>
    <row r="103" spans="1:6" x14ac:dyDescent="0.3">
      <c r="A103" s="3" t="s">
        <v>4</v>
      </c>
      <c r="B103" s="7" t="str">
        <f>VLOOKUP(VALUE(A103), 'DICIONÁRIO UF'!$A:$B, 2, FALSE)</f>
        <v>Rondônia</v>
      </c>
      <c r="C103" s="3">
        <v>56011</v>
      </c>
      <c r="D103" s="5" t="str">
        <f>VLOOKUP(C103, 'DICIONÁRIO CNAES'!$A:$B, 2, FALSE)</f>
        <v>Restaurantes e outros estabelecimentos de serviços de alimentação e bebidas</v>
      </c>
      <c r="E103" s="4">
        <v>28076.50632189</v>
      </c>
      <c r="F103" s="4">
        <v>44528879.443670958</v>
      </c>
    </row>
    <row r="104" spans="1:6" x14ac:dyDescent="0.3">
      <c r="A104" s="3" t="s">
        <v>4</v>
      </c>
      <c r="B104" s="7" t="str">
        <f>VLOOKUP(VALUE(A104), 'DICIONÁRIO UF'!$A:$B, 2, FALSE)</f>
        <v>Rondônia</v>
      </c>
      <c r="C104" s="3">
        <v>56012</v>
      </c>
      <c r="D104" s="5" t="str">
        <f>VLOOKUP(C104, 'DICIONÁRIO CNAES'!$A:$B, 2, FALSE)</f>
        <v>Serviços de catering, bufê e outros serviços de comida preparada</v>
      </c>
      <c r="E104" s="4">
        <v>5262.0313814000001</v>
      </c>
      <c r="F104" s="4">
        <v>5255276.4741784995</v>
      </c>
    </row>
    <row r="105" spans="1:6" x14ac:dyDescent="0.3">
      <c r="A105" s="3" t="s">
        <v>4</v>
      </c>
      <c r="B105" s="7" t="str">
        <f>VLOOKUP(VALUE(A105), 'DICIONÁRIO UF'!$A:$B, 2, FALSE)</f>
        <v>Rondônia</v>
      </c>
      <c r="C105" s="3">
        <v>56020</v>
      </c>
      <c r="D105" s="5" t="str">
        <f>VLOOKUP(C105, 'DICIONÁRIO CNAES'!$A:$B, 2, FALSE)</f>
        <v>Serviços ambulantes de alimentação</v>
      </c>
      <c r="E105" s="4">
        <v>4490.3541782800003</v>
      </c>
      <c r="F105" s="4">
        <v>4609445.4562739395</v>
      </c>
    </row>
    <row r="106" spans="1:6" x14ac:dyDescent="0.3">
      <c r="A106" s="3" t="s">
        <v>4</v>
      </c>
      <c r="B106" s="7" t="str">
        <f>VLOOKUP(VALUE(A106), 'DICIONÁRIO UF'!$A:$B, 2, FALSE)</f>
        <v>Rondônia</v>
      </c>
      <c r="C106" s="3">
        <v>58000</v>
      </c>
      <c r="D106" s="5" t="str">
        <f>VLOOKUP(C106, 'DICIONÁRIO CNAES'!$A:$B, 2, FALSE)</f>
        <v xml:space="preserve">Edição e Edição integrada à impressão </v>
      </c>
      <c r="E106" s="4">
        <v>193.40220658000001</v>
      </c>
      <c r="F106" s="4">
        <v>232082.64789600001</v>
      </c>
    </row>
    <row r="107" spans="1:6" x14ac:dyDescent="0.3">
      <c r="A107" s="3" t="s">
        <v>4</v>
      </c>
      <c r="B107" s="7" t="str">
        <f>VLOOKUP(VALUE(A107), 'DICIONÁRIO UF'!$A:$B, 2, FALSE)</f>
        <v>Rondônia</v>
      </c>
      <c r="C107" s="3">
        <v>60002</v>
      </c>
      <c r="D107" s="5" t="str">
        <f>VLOOKUP(C107, 'DICIONÁRIO CNAES'!$A:$B, 2, FALSE)</f>
        <v>Atividades de televisão</v>
      </c>
      <c r="E107" s="4">
        <v>257.57777655000001</v>
      </c>
      <c r="F107" s="4">
        <v>437882.22013500001</v>
      </c>
    </row>
    <row r="108" spans="1:6" x14ac:dyDescent="0.3">
      <c r="A108" s="3" t="s">
        <v>4</v>
      </c>
      <c r="B108" s="7" t="str">
        <f>VLOOKUP(VALUE(A108), 'DICIONÁRIO UF'!$A:$B, 2, FALSE)</f>
        <v>Rondônia</v>
      </c>
      <c r="C108" s="3">
        <v>61000</v>
      </c>
      <c r="D108" s="5" t="str">
        <f>VLOOKUP(C108, 'DICIONÁRIO CNAES'!$A:$B, 2, FALSE)</f>
        <v>Telecomunicações</v>
      </c>
      <c r="E108" s="4">
        <v>2580.5821919199998</v>
      </c>
      <c r="F108" s="4">
        <v>4897132.330263</v>
      </c>
    </row>
    <row r="109" spans="1:6" x14ac:dyDescent="0.3">
      <c r="A109" s="3" t="s">
        <v>4</v>
      </c>
      <c r="B109" s="7" t="str">
        <f>VLOOKUP(VALUE(A109), 'DICIONÁRIO UF'!$A:$B, 2, FALSE)</f>
        <v>Rondônia</v>
      </c>
      <c r="C109" s="3">
        <v>62000</v>
      </c>
      <c r="D109" s="5" t="str">
        <f>VLOOKUP(C109, 'DICIONÁRIO CNAES'!$A:$B, 2, FALSE)</f>
        <v>Atividades dos serviços de tecnologia da informação</v>
      </c>
      <c r="E109" s="4">
        <v>2639.2154629199999</v>
      </c>
      <c r="F109" s="4">
        <v>3604902.7887419998</v>
      </c>
    </row>
    <row r="110" spans="1:6" x14ac:dyDescent="0.3">
      <c r="A110" s="3" t="s">
        <v>4</v>
      </c>
      <c r="B110" s="7" t="str">
        <f>VLOOKUP(VALUE(A110), 'DICIONÁRIO UF'!$A:$B, 2, FALSE)</f>
        <v>Rondônia</v>
      </c>
      <c r="C110" s="3">
        <v>63000</v>
      </c>
      <c r="D110" s="5" t="str">
        <f>VLOOKUP(C110, 'DICIONÁRIO CNAES'!$A:$B, 2, FALSE)</f>
        <v>Atividades de prestação de serviços de informação</v>
      </c>
      <c r="E110" s="4">
        <v>498.30675622000001</v>
      </c>
      <c r="F110" s="4">
        <v>1544750.944282</v>
      </c>
    </row>
    <row r="111" spans="1:6" x14ac:dyDescent="0.3">
      <c r="A111" s="3" t="s">
        <v>4</v>
      </c>
      <c r="B111" s="7" t="str">
        <f>VLOOKUP(VALUE(A111), 'DICIONÁRIO UF'!$A:$B, 2, FALSE)</f>
        <v>Rondônia</v>
      </c>
      <c r="C111" s="3">
        <v>64000</v>
      </c>
      <c r="D111" s="5" t="str">
        <f>VLOOKUP(C111, 'DICIONÁRIO CNAES'!$A:$B, 2, FALSE)</f>
        <v>Serviços financeiros</v>
      </c>
      <c r="E111" s="4">
        <v>8332.96665158</v>
      </c>
      <c r="F111" s="4">
        <v>23731399.227060001</v>
      </c>
    </row>
    <row r="112" spans="1:6" x14ac:dyDescent="0.3">
      <c r="A112" s="3" t="s">
        <v>4</v>
      </c>
      <c r="B112" s="7" t="str">
        <f>VLOOKUP(VALUE(A112), 'DICIONÁRIO UF'!$A:$B, 2, FALSE)</f>
        <v>Rondônia</v>
      </c>
      <c r="C112" s="3">
        <v>65000</v>
      </c>
      <c r="D112" s="5" t="str">
        <f>VLOOKUP(C112, 'DICIONÁRIO CNAES'!$A:$B, 2, FALSE)</f>
        <v>Seguros e previdência privada</v>
      </c>
      <c r="E112" s="4">
        <v>791.47647404000008</v>
      </c>
      <c r="F112" s="4">
        <v>1204073.1793500001</v>
      </c>
    </row>
    <row r="113" spans="1:6" x14ac:dyDescent="0.3">
      <c r="A113" s="3" t="s">
        <v>4</v>
      </c>
      <c r="B113" s="7" t="str">
        <f>VLOOKUP(VALUE(A113), 'DICIONÁRIO UF'!$A:$B, 2, FALSE)</f>
        <v>Rondônia</v>
      </c>
      <c r="C113" s="3">
        <v>66001</v>
      </c>
      <c r="D113" s="5" t="str">
        <f>VLOOKUP(C113, 'DICIONÁRIO CNAES'!$A:$B, 2, FALSE)</f>
        <v>Atividades auxiliares dos serviços financeiros</v>
      </c>
      <c r="E113" s="4">
        <v>123.86443765</v>
      </c>
      <c r="F113" s="4">
        <v>222955.98777000001</v>
      </c>
    </row>
    <row r="114" spans="1:6" x14ac:dyDescent="0.3">
      <c r="A114" s="3" t="s">
        <v>4</v>
      </c>
      <c r="B114" s="7" t="str">
        <f>VLOOKUP(VALUE(A114), 'DICIONÁRIO UF'!$A:$B, 2, FALSE)</f>
        <v>Rondônia</v>
      </c>
      <c r="C114" s="3">
        <v>66002</v>
      </c>
      <c r="D114" s="5" t="str">
        <f>VLOOKUP(C114, 'DICIONÁRIO CNAES'!$A:$B, 2, FALSE)</f>
        <v>Atividades auxiliares dos seguros, da previdência complementar e dos planos de saúde</v>
      </c>
      <c r="E114" s="4">
        <v>267.42888678000003</v>
      </c>
      <c r="F114" s="4">
        <v>320914.66413599998</v>
      </c>
    </row>
    <row r="115" spans="1:6" x14ac:dyDescent="0.3">
      <c r="A115" s="3" t="s">
        <v>4</v>
      </c>
      <c r="B115" s="7" t="str">
        <f>VLOOKUP(VALUE(A115), 'DICIONÁRIO UF'!$A:$B, 2, FALSE)</f>
        <v>Rondônia</v>
      </c>
      <c r="C115" s="3">
        <v>68000</v>
      </c>
      <c r="D115" s="5" t="str">
        <f>VLOOKUP(C115, 'DICIONÁRIO CNAES'!$A:$B, 2, FALSE)</f>
        <v>Atividades imobiliárias</v>
      </c>
      <c r="E115" s="4">
        <v>3022.8275808899998</v>
      </c>
      <c r="F115" s="4">
        <v>7765985.3692413997</v>
      </c>
    </row>
    <row r="116" spans="1:6" x14ac:dyDescent="0.3">
      <c r="A116" s="3" t="s">
        <v>4</v>
      </c>
      <c r="B116" s="7" t="str">
        <f>VLOOKUP(VALUE(A116), 'DICIONÁRIO UF'!$A:$B, 2, FALSE)</f>
        <v>Rondônia</v>
      </c>
      <c r="C116" s="3">
        <v>69000</v>
      </c>
      <c r="D116" s="5" t="str">
        <f>VLOOKUP(C116, 'DICIONÁRIO CNAES'!$A:$B, 2, FALSE)</f>
        <v xml:space="preserve">Atividades jurídicas, de contabilidade e de auditoria </v>
      </c>
      <c r="E116" s="4">
        <v>13740.7012844</v>
      </c>
      <c r="F116" s="4">
        <v>67250729.046191588</v>
      </c>
    </row>
    <row r="117" spans="1:6" x14ac:dyDescent="0.3">
      <c r="A117" s="3" t="s">
        <v>4</v>
      </c>
      <c r="B117" s="7" t="str">
        <f>VLOOKUP(VALUE(A117), 'DICIONÁRIO UF'!$A:$B, 2, FALSE)</f>
        <v>Rondônia</v>
      </c>
      <c r="C117" s="3">
        <v>70000</v>
      </c>
      <c r="D117" s="5" t="str">
        <f>VLOOKUP(C117, 'DICIONÁRIO CNAES'!$A:$B, 2, FALSE)</f>
        <v>Atividades de consultoria em gestão empresarial</v>
      </c>
      <c r="E117" s="4">
        <v>550.28269130000001</v>
      </c>
      <c r="F117" s="4">
        <v>6382578.660956</v>
      </c>
    </row>
    <row r="118" spans="1:6" x14ac:dyDescent="0.3">
      <c r="A118" s="3" t="s">
        <v>4</v>
      </c>
      <c r="B118" s="7" t="str">
        <f>VLOOKUP(VALUE(A118), 'DICIONÁRIO UF'!$A:$B, 2, FALSE)</f>
        <v>Rondônia</v>
      </c>
      <c r="C118" s="3">
        <v>71000</v>
      </c>
      <c r="D118" s="5" t="str">
        <f>VLOOKUP(C118, 'DICIONÁRIO CNAES'!$A:$B, 2, FALSE)</f>
        <v>Serviços de arquitetura e engenharia e atividades técnicas relacionadas; Testes e análises técnicas</v>
      </c>
      <c r="E118" s="4">
        <v>5265.88158948</v>
      </c>
      <c r="F118" s="4">
        <v>15642206.520856</v>
      </c>
    </row>
    <row r="119" spans="1:6" x14ac:dyDescent="0.3">
      <c r="A119" s="3" t="s">
        <v>4</v>
      </c>
      <c r="B119" s="7" t="str">
        <f>VLOOKUP(VALUE(A119), 'DICIONÁRIO UF'!$A:$B, 2, FALSE)</f>
        <v>Rondônia</v>
      </c>
      <c r="C119" s="3">
        <v>73010</v>
      </c>
      <c r="D119" s="5" t="str">
        <f>VLOOKUP(C119, 'DICIONÁRIO CNAES'!$A:$B, 2, FALSE)</f>
        <v>Publicidade</v>
      </c>
      <c r="E119" s="4">
        <v>869.43285389000005</v>
      </c>
      <c r="F119" s="4">
        <v>1871803.206035</v>
      </c>
    </row>
    <row r="120" spans="1:6" x14ac:dyDescent="0.3">
      <c r="A120" s="3" t="s">
        <v>4</v>
      </c>
      <c r="B120" s="7" t="str">
        <f>VLOOKUP(VALUE(A120), 'DICIONÁRIO UF'!$A:$B, 2, FALSE)</f>
        <v>Rondônia</v>
      </c>
      <c r="C120" s="3">
        <v>74000</v>
      </c>
      <c r="D120" s="5" t="str">
        <f>VLOOKUP(C120, 'DICIONÁRIO CNAES'!$A:$B, 2, FALSE)</f>
        <v>Outras atividades profissionais, científicas e técnicas não especificadas anteriormente</v>
      </c>
      <c r="E120" s="4">
        <v>2406.69209869</v>
      </c>
      <c r="F120" s="4">
        <v>10061031.2130975</v>
      </c>
    </row>
    <row r="121" spans="1:6" x14ac:dyDescent="0.3">
      <c r="A121" s="3" t="s">
        <v>4</v>
      </c>
      <c r="B121" s="7" t="str">
        <f>VLOOKUP(VALUE(A121), 'DICIONÁRIO UF'!$A:$B, 2, FALSE)</f>
        <v>Rondônia</v>
      </c>
      <c r="C121" s="3">
        <v>75000</v>
      </c>
      <c r="D121" s="5" t="str">
        <f>VLOOKUP(C121, 'DICIONÁRIO CNAES'!$A:$B, 2, FALSE)</f>
        <v>Atividades veterinárias</v>
      </c>
      <c r="E121" s="4">
        <v>599.31073287999993</v>
      </c>
      <c r="F121" s="4">
        <v>3144855.2417080002</v>
      </c>
    </row>
    <row r="122" spans="1:6" x14ac:dyDescent="0.3">
      <c r="A122" s="3" t="s">
        <v>4</v>
      </c>
      <c r="B122" s="7" t="str">
        <f>VLOOKUP(VALUE(A122), 'DICIONÁRIO UF'!$A:$B, 2, FALSE)</f>
        <v>Rondônia</v>
      </c>
      <c r="C122" s="3">
        <v>77020</v>
      </c>
      <c r="D122" s="5" t="str">
        <f>VLOOKUP(C122, 'DICIONÁRIO CNAES'!$A:$B, 2, FALSE)</f>
        <v>Aluguel de meios de transportes, maquinas e equipamentos sem operador e gestão de ativos intangíveis não financeiros</v>
      </c>
      <c r="E122" s="4">
        <v>496.0641536</v>
      </c>
      <c r="F122" s="4">
        <v>572178.81472270004</v>
      </c>
    </row>
    <row r="123" spans="1:6" x14ac:dyDescent="0.3">
      <c r="A123" s="3" t="s">
        <v>4</v>
      </c>
      <c r="B123" s="7" t="str">
        <f>VLOOKUP(VALUE(A123), 'DICIONÁRIO UF'!$A:$B, 2, FALSE)</f>
        <v>Rondônia</v>
      </c>
      <c r="C123" s="3">
        <v>78000</v>
      </c>
      <c r="D123" s="5" t="str">
        <f>VLOOKUP(C123, 'DICIONÁRIO CNAES'!$A:$B, 2, FALSE)</f>
        <v>Seleção, agenciamento e locação de mão-de-obra</v>
      </c>
      <c r="E123" s="4">
        <v>730.90960204999999</v>
      </c>
      <c r="F123" s="4">
        <v>1206125.5940489999</v>
      </c>
    </row>
    <row r="124" spans="1:6" x14ac:dyDescent="0.3">
      <c r="A124" s="3" t="s">
        <v>4</v>
      </c>
      <c r="B124" s="7" t="str">
        <f>VLOOKUP(VALUE(A124), 'DICIONÁRIO UF'!$A:$B, 2, FALSE)</f>
        <v>Rondônia</v>
      </c>
      <c r="C124" s="3">
        <v>79000</v>
      </c>
      <c r="D124" s="5" t="str">
        <f>VLOOKUP(C124, 'DICIONÁRIO CNAES'!$A:$B, 2, FALSE)</f>
        <v>Agências de viagens, operadores turísticos e serviços de reservas</v>
      </c>
      <c r="E124" s="4">
        <v>1339.4753029200001</v>
      </c>
      <c r="F124" s="4">
        <v>1791712.7851110001</v>
      </c>
    </row>
    <row r="125" spans="1:6" x14ac:dyDescent="0.3">
      <c r="A125" s="3" t="s">
        <v>4</v>
      </c>
      <c r="B125" s="7" t="str">
        <f>VLOOKUP(VALUE(A125), 'DICIONÁRIO UF'!$A:$B, 2, FALSE)</f>
        <v>Rondônia</v>
      </c>
      <c r="C125" s="3">
        <v>80000</v>
      </c>
      <c r="D125" s="5" t="str">
        <f>VLOOKUP(C125, 'DICIONÁRIO CNAES'!$A:$B, 2, FALSE)</f>
        <v>Atividades de vigilância, segurança, transporte de valores e investigação</v>
      </c>
      <c r="E125" s="4">
        <v>5238.2651282500001</v>
      </c>
      <c r="F125" s="4">
        <v>11213780.46291402</v>
      </c>
    </row>
    <row r="126" spans="1:6" x14ac:dyDescent="0.3">
      <c r="A126" s="3" t="s">
        <v>4</v>
      </c>
      <c r="B126" s="7" t="str">
        <f>VLOOKUP(VALUE(A126), 'DICIONÁRIO UF'!$A:$B, 2, FALSE)</f>
        <v>Rondônia</v>
      </c>
      <c r="C126" s="3">
        <v>81011</v>
      </c>
      <c r="D126" s="5" t="str">
        <f>VLOOKUP(C126, 'DICIONÁRIO CNAES'!$A:$B, 2, FALSE)</f>
        <v>Serviços de limpeza e de apoio a edifícios, exceto condomínios prediais</v>
      </c>
      <c r="E126" s="4">
        <v>7963.2731740999998</v>
      </c>
      <c r="F126" s="4">
        <v>10853816.3760214</v>
      </c>
    </row>
    <row r="127" spans="1:6" x14ac:dyDescent="0.3">
      <c r="A127" s="3" t="s">
        <v>4</v>
      </c>
      <c r="B127" s="7" t="str">
        <f>VLOOKUP(VALUE(A127), 'DICIONÁRIO UF'!$A:$B, 2, FALSE)</f>
        <v>Rondônia</v>
      </c>
      <c r="C127" s="3">
        <v>81012</v>
      </c>
      <c r="D127" s="5" t="str">
        <f>VLOOKUP(C127, 'DICIONÁRIO CNAES'!$A:$B, 2, FALSE)</f>
        <v>Condomínios prediais</v>
      </c>
      <c r="E127" s="4">
        <v>841.27147517000003</v>
      </c>
      <c r="F127" s="4">
        <v>1311314.0959010001</v>
      </c>
    </row>
    <row r="128" spans="1:6" x14ac:dyDescent="0.3">
      <c r="A128" s="3" t="s">
        <v>4</v>
      </c>
      <c r="B128" s="7" t="str">
        <f>VLOOKUP(VALUE(A128), 'DICIONÁRIO UF'!$A:$B, 2, FALSE)</f>
        <v>Rondônia</v>
      </c>
      <c r="C128" s="3">
        <v>81020</v>
      </c>
      <c r="D128" s="5" t="str">
        <f>VLOOKUP(C128, 'DICIONÁRIO CNAES'!$A:$B, 2, FALSE)</f>
        <v>Atividades paisagísticas</v>
      </c>
      <c r="E128" s="4">
        <v>141.86340000000001</v>
      </c>
      <c r="F128" s="4">
        <v>156049.74</v>
      </c>
    </row>
    <row r="129" spans="1:6" x14ac:dyDescent="0.3">
      <c r="A129" s="3" t="s">
        <v>4</v>
      </c>
      <c r="B129" s="7" t="str">
        <f>VLOOKUP(VALUE(A129), 'DICIONÁRIO UF'!$A:$B, 2, FALSE)</f>
        <v>Rondônia</v>
      </c>
      <c r="C129" s="3">
        <v>82001</v>
      </c>
      <c r="D129" s="5" t="str">
        <f>VLOOKUP(C129, 'DICIONÁRIO CNAES'!$A:$B, 2, FALSE)</f>
        <v>Serviços de escritório e apoio administrativo</v>
      </c>
      <c r="E129" s="4">
        <v>640.41623445000005</v>
      </c>
      <c r="F129" s="4">
        <v>918971.71206699999</v>
      </c>
    </row>
    <row r="130" spans="1:6" x14ac:dyDescent="0.3">
      <c r="A130" s="3" t="s">
        <v>4</v>
      </c>
      <c r="B130" s="7" t="str">
        <f>VLOOKUP(VALUE(A130), 'DICIONÁRIO UF'!$A:$B, 2, FALSE)</f>
        <v>Rondônia</v>
      </c>
      <c r="C130" s="3">
        <v>82003</v>
      </c>
      <c r="D130" s="5" t="str">
        <f>VLOOKUP(C130, 'DICIONÁRIO CNAES'!$A:$B, 2, FALSE)</f>
        <v>Atividades de organização de eventos, exceto culturais e esportivos</v>
      </c>
      <c r="E130" s="4">
        <v>1060.50572119</v>
      </c>
      <c r="F130" s="4">
        <v>1141996.4525240001</v>
      </c>
    </row>
    <row r="131" spans="1:6" x14ac:dyDescent="0.3">
      <c r="A131" s="3" t="s">
        <v>4</v>
      </c>
      <c r="B131" s="7" t="str">
        <f>VLOOKUP(VALUE(A131), 'DICIONÁRIO UF'!$A:$B, 2, FALSE)</f>
        <v>Rondônia</v>
      </c>
      <c r="C131" s="3">
        <v>82009</v>
      </c>
      <c r="D131" s="5" t="str">
        <f>VLOOKUP(C131, 'DICIONÁRIO CNAES'!$A:$B, 2, FALSE)</f>
        <v>Outras atividades de serviços prestados principalmente às empresas</v>
      </c>
      <c r="E131" s="4">
        <v>1315.6590155599999</v>
      </c>
      <c r="F131" s="4">
        <v>1751829.915821</v>
      </c>
    </row>
    <row r="132" spans="1:6" x14ac:dyDescent="0.3">
      <c r="A132" s="3" t="s">
        <v>4</v>
      </c>
      <c r="B132" s="7" t="str">
        <f>VLOOKUP(VALUE(A132), 'DICIONÁRIO UF'!$A:$B, 2, FALSE)</f>
        <v>Rondônia</v>
      </c>
      <c r="C132" s="3">
        <v>84011</v>
      </c>
      <c r="D132" s="5" t="str">
        <f>VLOOKUP(C132, 'DICIONÁRIO CNAES'!$A:$B, 2, FALSE)</f>
        <v>Administração publica e regulação da política econômica e social - Federal</v>
      </c>
      <c r="E132" s="4">
        <v>3681.4883895500002</v>
      </c>
      <c r="F132" s="4">
        <v>11381513.061424</v>
      </c>
    </row>
    <row r="133" spans="1:6" x14ac:dyDescent="0.3">
      <c r="A133" s="3" t="s">
        <v>4</v>
      </c>
      <c r="B133" s="7" t="str">
        <f>VLOOKUP(VALUE(A133), 'DICIONÁRIO UF'!$A:$B, 2, FALSE)</f>
        <v>Rondônia</v>
      </c>
      <c r="C133" s="3">
        <v>84012</v>
      </c>
      <c r="D133" s="5" t="str">
        <f>VLOOKUP(C133, 'DICIONÁRIO CNAES'!$A:$B, 2, FALSE)</f>
        <v>Administração publica e regulação da política econômica e social - Estadual</v>
      </c>
      <c r="E133" s="4">
        <v>13329.943311049999</v>
      </c>
      <c r="F133" s="4">
        <v>52347130.526029117</v>
      </c>
    </row>
    <row r="134" spans="1:6" x14ac:dyDescent="0.3">
      <c r="A134" s="3" t="s">
        <v>4</v>
      </c>
      <c r="B134" s="7" t="str">
        <f>VLOOKUP(VALUE(A134), 'DICIONÁRIO UF'!$A:$B, 2, FALSE)</f>
        <v>Rondônia</v>
      </c>
      <c r="C134" s="3">
        <v>84013</v>
      </c>
      <c r="D134" s="5" t="str">
        <f>VLOOKUP(C134, 'DICIONÁRIO CNAES'!$A:$B, 2, FALSE)</f>
        <v>Administração publica e regulação da política econômica e social - Municipal</v>
      </c>
      <c r="E134" s="4">
        <v>28061.898362430002</v>
      </c>
      <c r="F134" s="4">
        <v>67646946.985388353</v>
      </c>
    </row>
    <row r="135" spans="1:6" x14ac:dyDescent="0.3">
      <c r="A135" s="3" t="s">
        <v>4</v>
      </c>
      <c r="B135" s="7" t="str">
        <f>VLOOKUP(VALUE(A135), 'DICIONÁRIO UF'!$A:$B, 2, FALSE)</f>
        <v>Rondônia</v>
      </c>
      <c r="C135" s="3">
        <v>84014</v>
      </c>
      <c r="D135" s="5" t="str">
        <f>VLOOKUP(C135, 'DICIONÁRIO CNAES'!$A:$B, 2, FALSE)</f>
        <v>Defesa</v>
      </c>
      <c r="E135" s="4">
        <v>2360.6577004199999</v>
      </c>
      <c r="F135" s="4">
        <v>7462480.792955</v>
      </c>
    </row>
    <row r="136" spans="1:6" x14ac:dyDescent="0.3">
      <c r="A136" s="3" t="s">
        <v>4</v>
      </c>
      <c r="B136" s="7" t="str">
        <f>VLOOKUP(VALUE(A136), 'DICIONÁRIO UF'!$A:$B, 2, FALSE)</f>
        <v>Rondônia</v>
      </c>
      <c r="C136" s="3">
        <v>84015</v>
      </c>
      <c r="D136" s="5" t="str">
        <f>VLOOKUP(C136, 'DICIONÁRIO CNAES'!$A:$B, 2, FALSE)</f>
        <v>Outros serviços coletivos prestados pela administração pública - Federal</v>
      </c>
      <c r="E136" s="4">
        <v>266.07344243</v>
      </c>
      <c r="F136" s="4">
        <v>585361.57334600005</v>
      </c>
    </row>
    <row r="137" spans="1:6" x14ac:dyDescent="0.3">
      <c r="A137" s="3" t="s">
        <v>4</v>
      </c>
      <c r="B137" s="7" t="str">
        <f>VLOOKUP(VALUE(A137), 'DICIONÁRIO UF'!$A:$B, 2, FALSE)</f>
        <v>Rondônia</v>
      </c>
      <c r="C137" s="3">
        <v>84016</v>
      </c>
      <c r="D137" s="5" t="str">
        <f>VLOOKUP(C137, 'DICIONÁRIO CNAES'!$A:$B, 2, FALSE)</f>
        <v>Outros serviços coletivos prestados pela administração pública - Estadual</v>
      </c>
      <c r="E137" s="4">
        <v>16131.892230040001</v>
      </c>
      <c r="F137" s="4">
        <v>79203897.446799248</v>
      </c>
    </row>
    <row r="138" spans="1:6" x14ac:dyDescent="0.3">
      <c r="A138" s="3" t="s">
        <v>4</v>
      </c>
      <c r="B138" s="7" t="str">
        <f>VLOOKUP(VALUE(A138), 'DICIONÁRIO UF'!$A:$B, 2, FALSE)</f>
        <v>Rondônia</v>
      </c>
      <c r="C138" s="3">
        <v>84017</v>
      </c>
      <c r="D138" s="5" t="str">
        <f>VLOOKUP(C138, 'DICIONÁRIO CNAES'!$A:$B, 2, FALSE)</f>
        <v>Outros serviços coletivos prestados pela administração pública - Municipal</v>
      </c>
      <c r="E138" s="4">
        <v>362.89016633</v>
      </c>
      <c r="F138" s="4">
        <v>1378982.6320539999</v>
      </c>
    </row>
    <row r="139" spans="1:6" x14ac:dyDescent="0.3">
      <c r="A139" s="3" t="s">
        <v>4</v>
      </c>
      <c r="B139" s="7" t="str">
        <f>VLOOKUP(VALUE(A139), 'DICIONÁRIO UF'!$A:$B, 2, FALSE)</f>
        <v>Rondônia</v>
      </c>
      <c r="C139" s="3">
        <v>84020</v>
      </c>
      <c r="D139" s="5" t="str">
        <f>VLOOKUP(C139, 'DICIONÁRIO CNAES'!$A:$B, 2, FALSE)</f>
        <v>Seguridade social obrigatória</v>
      </c>
      <c r="E139" s="4">
        <v>1377.6222135400001</v>
      </c>
      <c r="F139" s="4">
        <v>6537883.9466979997</v>
      </c>
    </row>
    <row r="140" spans="1:6" x14ac:dyDescent="0.3">
      <c r="A140" s="3" t="s">
        <v>4</v>
      </c>
      <c r="B140" s="7" t="str">
        <f>VLOOKUP(VALUE(A140), 'DICIONÁRIO UF'!$A:$B, 2, FALSE)</f>
        <v>Rondônia</v>
      </c>
      <c r="C140" s="3">
        <v>85011</v>
      </c>
      <c r="D140" s="5" t="str">
        <f>VLOOKUP(C140, 'DICIONÁRIO CNAES'!$A:$B, 2, FALSE)</f>
        <v>Creche</v>
      </c>
      <c r="E140" s="4">
        <v>1172.27541647</v>
      </c>
      <c r="F140" s="4">
        <v>1771872.0346137199</v>
      </c>
    </row>
    <row r="141" spans="1:6" x14ac:dyDescent="0.3">
      <c r="A141" s="3" t="s">
        <v>4</v>
      </c>
      <c r="B141" s="7" t="str">
        <f>VLOOKUP(VALUE(A141), 'DICIONÁRIO UF'!$A:$B, 2, FALSE)</f>
        <v>Rondônia</v>
      </c>
      <c r="C141" s="3">
        <v>85012</v>
      </c>
      <c r="D141" s="5" t="str">
        <f>VLOOKUP(C141, 'DICIONÁRIO CNAES'!$A:$B, 2, FALSE)</f>
        <v>Pré-escola e ensino fundamental</v>
      </c>
      <c r="E141" s="4">
        <v>21282.25264087</v>
      </c>
      <c r="F141" s="4">
        <v>58067251.130053781</v>
      </c>
    </row>
    <row r="142" spans="1:6" x14ac:dyDescent="0.3">
      <c r="A142" s="3" t="s">
        <v>4</v>
      </c>
      <c r="B142" s="7" t="str">
        <f>VLOOKUP(VALUE(A142), 'DICIONÁRIO UF'!$A:$B, 2, FALSE)</f>
        <v>Rondônia</v>
      </c>
      <c r="C142" s="3">
        <v>85013</v>
      </c>
      <c r="D142" s="5" t="str">
        <f>VLOOKUP(C142, 'DICIONÁRIO CNAES'!$A:$B, 2, FALSE)</f>
        <v>Ensino médio</v>
      </c>
      <c r="E142" s="4">
        <v>12597.66371092</v>
      </c>
      <c r="F142" s="4">
        <v>42553535.147418</v>
      </c>
    </row>
    <row r="143" spans="1:6" x14ac:dyDescent="0.3">
      <c r="A143" s="3" t="s">
        <v>4</v>
      </c>
      <c r="B143" s="7" t="str">
        <f>VLOOKUP(VALUE(A143), 'DICIONÁRIO UF'!$A:$B, 2, FALSE)</f>
        <v>Rondônia</v>
      </c>
      <c r="C143" s="3">
        <v>85014</v>
      </c>
      <c r="D143" s="5" t="str">
        <f>VLOOKUP(C143, 'DICIONÁRIO CNAES'!$A:$B, 2, FALSE)</f>
        <v>Educação superior</v>
      </c>
      <c r="E143" s="4">
        <v>3867.4203810499998</v>
      </c>
      <c r="F143" s="4">
        <v>14458201.678269619</v>
      </c>
    </row>
    <row r="144" spans="1:6" x14ac:dyDescent="0.3">
      <c r="A144" s="3" t="s">
        <v>4</v>
      </c>
      <c r="B144" s="7" t="str">
        <f>VLOOKUP(VALUE(A144), 'DICIONÁRIO UF'!$A:$B, 2, FALSE)</f>
        <v>Rondônia</v>
      </c>
      <c r="C144" s="3">
        <v>85021</v>
      </c>
      <c r="D144" s="5" t="str">
        <f>VLOOKUP(C144, 'DICIONÁRIO CNAES'!$A:$B, 2, FALSE)</f>
        <v>Serviços auxiliares à educação</v>
      </c>
      <c r="E144" s="4">
        <v>290.34523501000001</v>
      </c>
      <c r="F144" s="4">
        <v>582427.14340399997</v>
      </c>
    </row>
    <row r="145" spans="1:6" x14ac:dyDescent="0.3">
      <c r="A145" s="3" t="s">
        <v>4</v>
      </c>
      <c r="B145" s="7" t="str">
        <f>VLOOKUP(VALUE(A145), 'DICIONÁRIO UF'!$A:$B, 2, FALSE)</f>
        <v>Rondônia</v>
      </c>
      <c r="C145" s="3">
        <v>85029</v>
      </c>
      <c r="D145" s="5" t="str">
        <f>VLOOKUP(C145, 'DICIONÁRIO CNAES'!$A:$B, 2, FALSE)</f>
        <v>Outras atividades de ensino</v>
      </c>
      <c r="E145" s="4">
        <v>2199.2973846599998</v>
      </c>
      <c r="F145" s="4">
        <v>4139225.8163419999</v>
      </c>
    </row>
    <row r="146" spans="1:6" x14ac:dyDescent="0.3">
      <c r="A146" s="3" t="s">
        <v>4</v>
      </c>
      <c r="B146" s="7" t="str">
        <f>VLOOKUP(VALUE(A146), 'DICIONÁRIO UF'!$A:$B, 2, FALSE)</f>
        <v>Rondônia</v>
      </c>
      <c r="C146" s="3">
        <v>86001</v>
      </c>
      <c r="D146" s="5" t="str">
        <f>VLOOKUP(C146, 'DICIONÁRIO CNAES'!$A:$B, 2, FALSE)</f>
        <v>Atividades de atendimento hospitalar</v>
      </c>
      <c r="E146" s="4">
        <v>13152.04470851</v>
      </c>
      <c r="F146" s="4">
        <v>43318371.457719684</v>
      </c>
    </row>
    <row r="147" spans="1:6" x14ac:dyDescent="0.3">
      <c r="A147" s="3" t="s">
        <v>4</v>
      </c>
      <c r="B147" s="7" t="str">
        <f>VLOOKUP(VALUE(A147), 'DICIONÁRIO UF'!$A:$B, 2, FALSE)</f>
        <v>Rondônia</v>
      </c>
      <c r="C147" s="3">
        <v>86002</v>
      </c>
      <c r="D147" s="5" t="str">
        <f>VLOOKUP(C147, 'DICIONÁRIO CNAES'!$A:$B, 2, FALSE)</f>
        <v>Atividades de atenção ambulatorial executadas por médicos e odontólogos</v>
      </c>
      <c r="E147" s="4">
        <v>12221.59648953</v>
      </c>
      <c r="F147" s="4">
        <v>24416633.286484711</v>
      </c>
    </row>
    <row r="148" spans="1:6" x14ac:dyDescent="0.3">
      <c r="A148" s="3" t="s">
        <v>4</v>
      </c>
      <c r="B148" s="7" t="str">
        <f>VLOOKUP(VALUE(A148), 'DICIONÁRIO UF'!$A:$B, 2, FALSE)</f>
        <v>Rondônia</v>
      </c>
      <c r="C148" s="3">
        <v>86003</v>
      </c>
      <c r="D148" s="5" t="str">
        <f>VLOOKUP(C148, 'DICIONÁRIO CNAES'!$A:$B, 2, FALSE)</f>
        <v>Atividades de serviços de complementação diagnóstica e terapêutica</v>
      </c>
      <c r="E148" s="4">
        <v>1479.8457674799999</v>
      </c>
      <c r="F148" s="4">
        <v>2642954.010892</v>
      </c>
    </row>
    <row r="149" spans="1:6" x14ac:dyDescent="0.3">
      <c r="A149" s="3" t="s">
        <v>4</v>
      </c>
      <c r="B149" s="7" t="str">
        <f>VLOOKUP(VALUE(A149), 'DICIONÁRIO UF'!$A:$B, 2, FALSE)</f>
        <v>Rondônia</v>
      </c>
      <c r="C149" s="3">
        <v>86004</v>
      </c>
      <c r="D149" s="5" t="str">
        <f>VLOOKUP(C149, 'DICIONÁRIO CNAES'!$A:$B, 2, FALSE)</f>
        <v>Atividades de profissionais da área de saúde, exceto médicos e odontólogos</v>
      </c>
      <c r="E149" s="4">
        <v>1514.7589803599999</v>
      </c>
      <c r="F149" s="4">
        <v>6580259.3137630001</v>
      </c>
    </row>
    <row r="150" spans="1:6" x14ac:dyDescent="0.3">
      <c r="A150" s="3" t="s">
        <v>4</v>
      </c>
      <c r="B150" s="7" t="str">
        <f>VLOOKUP(VALUE(A150), 'DICIONÁRIO UF'!$A:$B, 2, FALSE)</f>
        <v>Rondônia</v>
      </c>
      <c r="C150" s="3">
        <v>86009</v>
      </c>
      <c r="D150" s="5" t="str">
        <f>VLOOKUP(C150, 'DICIONÁRIO CNAES'!$A:$B, 2, FALSE)</f>
        <v>Atividades de atenção à saúde humana não especificadas anteriormente</v>
      </c>
      <c r="E150" s="4">
        <v>521.54762025000002</v>
      </c>
      <c r="F150" s="4">
        <v>1593986.2185200001</v>
      </c>
    </row>
    <row r="151" spans="1:6" x14ac:dyDescent="0.3">
      <c r="A151" s="3" t="s">
        <v>4</v>
      </c>
      <c r="B151" s="7" t="str">
        <f>VLOOKUP(VALUE(A151), 'DICIONÁRIO UF'!$A:$B, 2, FALSE)</f>
        <v>Rondônia</v>
      </c>
      <c r="C151" s="3">
        <v>87000</v>
      </c>
      <c r="D151" s="5" t="str">
        <f>VLOOKUP(C151, 'DICIONÁRIO CNAES'!$A:$B, 2, FALSE)</f>
        <v>Atividades de assistência à saude humana integradas com assistencia social, inclusive prestadas em residencias</v>
      </c>
      <c r="E151" s="4">
        <v>323.39329013999998</v>
      </c>
      <c r="F151" s="4">
        <v>198461.83298850001</v>
      </c>
    </row>
    <row r="152" spans="1:6" x14ac:dyDescent="0.3">
      <c r="A152" s="3" t="s">
        <v>4</v>
      </c>
      <c r="B152" s="7" t="str">
        <f>VLOOKUP(VALUE(A152), 'DICIONÁRIO UF'!$A:$B, 2, FALSE)</f>
        <v>Rondônia</v>
      </c>
      <c r="C152" s="3">
        <v>90000</v>
      </c>
      <c r="D152" s="5" t="str">
        <f>VLOOKUP(C152, 'DICIONÁRIO CNAES'!$A:$B, 2, FALSE)</f>
        <v>Atividades artísticas, criativas e de espetáculos</v>
      </c>
      <c r="E152" s="4">
        <v>1050.3588403799999</v>
      </c>
      <c r="F152" s="4">
        <v>1371922.2109459999</v>
      </c>
    </row>
    <row r="153" spans="1:6" x14ac:dyDescent="0.3">
      <c r="A153" s="3" t="s">
        <v>4</v>
      </c>
      <c r="B153" s="7" t="str">
        <f>VLOOKUP(VALUE(A153), 'DICIONÁRIO UF'!$A:$B, 2, FALSE)</f>
        <v>Rondônia</v>
      </c>
      <c r="C153" s="3">
        <v>93012</v>
      </c>
      <c r="D153" s="5" t="str">
        <f>VLOOKUP(C153, 'DICIONÁRIO CNAES'!$A:$B, 2, FALSE)</f>
        <v>Atividades de condicionamento físico</v>
      </c>
      <c r="E153" s="4">
        <v>106.15791374</v>
      </c>
      <c r="F153" s="4">
        <v>318473.74122000003</v>
      </c>
    </row>
    <row r="154" spans="1:6" x14ac:dyDescent="0.3">
      <c r="A154" s="3" t="s">
        <v>4</v>
      </c>
      <c r="B154" s="7" t="str">
        <f>VLOOKUP(VALUE(A154), 'DICIONÁRIO UF'!$A:$B, 2, FALSE)</f>
        <v>Rondônia</v>
      </c>
      <c r="C154" s="3">
        <v>94010</v>
      </c>
      <c r="D154" s="5" t="str">
        <f>VLOOKUP(C154, 'DICIONÁRIO CNAES'!$A:$B, 2, FALSE)</f>
        <v>Atividades de organizações associativas patronais, empresariais e profissionais</v>
      </c>
      <c r="E154" s="4">
        <v>455.92257826999997</v>
      </c>
      <c r="F154" s="4">
        <v>3132514.4790099999</v>
      </c>
    </row>
    <row r="155" spans="1:6" x14ac:dyDescent="0.3">
      <c r="A155" s="3" t="s">
        <v>4</v>
      </c>
      <c r="B155" s="7" t="str">
        <f>VLOOKUP(VALUE(A155), 'DICIONÁRIO UF'!$A:$B, 2, FALSE)</f>
        <v>Rondônia</v>
      </c>
      <c r="C155" s="3">
        <v>94020</v>
      </c>
      <c r="D155" s="5" t="str">
        <f>VLOOKUP(C155, 'DICIONÁRIO CNAES'!$A:$B, 2, FALSE)</f>
        <v>Atividades de organizações sindicais</v>
      </c>
      <c r="E155" s="4">
        <v>147.48596666</v>
      </c>
      <c r="F155" s="4">
        <v>516200.88331</v>
      </c>
    </row>
    <row r="156" spans="1:6" x14ac:dyDescent="0.3">
      <c r="A156" s="3" t="s">
        <v>4</v>
      </c>
      <c r="B156" s="7" t="str">
        <f>VLOOKUP(VALUE(A156), 'DICIONÁRIO UF'!$A:$B, 2, FALSE)</f>
        <v>Rondônia</v>
      </c>
      <c r="C156" s="3">
        <v>94091</v>
      </c>
      <c r="D156" s="5" t="str">
        <f>VLOOKUP(C156, 'DICIONÁRIO CNAES'!$A:$B, 2, FALSE)</f>
        <v>Atividades de organizações religiosas e filosóficas</v>
      </c>
      <c r="E156" s="4">
        <v>3435.0739892699999</v>
      </c>
      <c r="F156" s="4">
        <v>8145540.7054049997</v>
      </c>
    </row>
    <row r="157" spans="1:6" x14ac:dyDescent="0.3">
      <c r="A157" s="3" t="s">
        <v>4</v>
      </c>
      <c r="B157" s="7" t="str">
        <f>VLOOKUP(VALUE(A157), 'DICIONÁRIO UF'!$A:$B, 2, FALSE)</f>
        <v>Rondônia</v>
      </c>
      <c r="C157" s="3">
        <v>95010</v>
      </c>
      <c r="D157" s="5" t="str">
        <f>VLOOKUP(C157, 'DICIONÁRIO CNAES'!$A:$B, 2, FALSE)</f>
        <v>Reparação e manutenção de equipamentos de informática e comunicação</v>
      </c>
      <c r="E157" s="4">
        <v>257.29125039000002</v>
      </c>
      <c r="F157" s="4">
        <v>283020.37542900001</v>
      </c>
    </row>
    <row r="158" spans="1:6" x14ac:dyDescent="0.3">
      <c r="A158" s="3" t="s">
        <v>4</v>
      </c>
      <c r="B158" s="7" t="str">
        <f>VLOOKUP(VALUE(A158), 'DICIONÁRIO UF'!$A:$B, 2, FALSE)</f>
        <v>Rondônia</v>
      </c>
      <c r="C158" s="3">
        <v>95030</v>
      </c>
      <c r="D158" s="5" t="str">
        <f>VLOOKUP(C158, 'DICIONÁRIO CNAES'!$A:$B, 2, FALSE)</f>
        <v>Reparação e manutenção de objetos e equipamentos pessoais e domésticos</v>
      </c>
      <c r="E158" s="4">
        <v>3900.37125191</v>
      </c>
      <c r="F158" s="4">
        <v>7313958.1301034996</v>
      </c>
    </row>
    <row r="159" spans="1:6" x14ac:dyDescent="0.3">
      <c r="A159" s="3" t="s">
        <v>4</v>
      </c>
      <c r="B159" s="7" t="str">
        <f>VLOOKUP(VALUE(A159), 'DICIONÁRIO UF'!$A:$B, 2, FALSE)</f>
        <v>Rondônia</v>
      </c>
      <c r="C159" s="3">
        <v>96010</v>
      </c>
      <c r="D159" s="5" t="str">
        <f>VLOOKUP(C159, 'DICIONÁRIO CNAES'!$A:$B, 2, FALSE)</f>
        <v>Lavanderias, tinturarias e toalheiros</v>
      </c>
      <c r="E159" s="4">
        <v>354.78140380999997</v>
      </c>
      <c r="F159" s="4">
        <v>487058.716395</v>
      </c>
    </row>
    <row r="160" spans="1:6" x14ac:dyDescent="0.3">
      <c r="A160" s="3" t="s">
        <v>4</v>
      </c>
      <c r="B160" s="7" t="str">
        <f>VLOOKUP(VALUE(A160), 'DICIONÁRIO UF'!$A:$B, 2, FALSE)</f>
        <v>Rondônia</v>
      </c>
      <c r="C160" s="3">
        <v>96020</v>
      </c>
      <c r="D160" s="5" t="str">
        <f>VLOOKUP(C160, 'DICIONÁRIO CNAES'!$A:$B, 2, FALSE)</f>
        <v>Cabeleireiros e outras atividades de tratamento de beleza</v>
      </c>
      <c r="E160" s="4">
        <v>14385.762753950001</v>
      </c>
      <c r="F160" s="4">
        <v>20683388.997587699</v>
      </c>
    </row>
    <row r="161" spans="1:6" x14ac:dyDescent="0.3">
      <c r="A161" s="3" t="s">
        <v>4</v>
      </c>
      <c r="B161" s="7" t="str">
        <f>VLOOKUP(VALUE(A161), 'DICIONÁRIO UF'!$A:$B, 2, FALSE)</f>
        <v>Rondônia</v>
      </c>
      <c r="C161" s="3">
        <v>96030</v>
      </c>
      <c r="D161" s="5" t="str">
        <f>VLOOKUP(C161, 'DICIONÁRIO CNAES'!$A:$B, 2, FALSE)</f>
        <v xml:space="preserve">Atividades funerárias e serviços relacionados </v>
      </c>
      <c r="E161" s="4">
        <v>528.82648946000006</v>
      </c>
      <c r="F161" s="4">
        <v>1371926.156134</v>
      </c>
    </row>
    <row r="162" spans="1:6" x14ac:dyDescent="0.3">
      <c r="A162" s="3" t="s">
        <v>4</v>
      </c>
      <c r="B162" s="7" t="str">
        <f>VLOOKUP(VALUE(A162), 'DICIONÁRIO UF'!$A:$B, 2, FALSE)</f>
        <v>Rondônia</v>
      </c>
      <c r="C162" s="3">
        <v>96090</v>
      </c>
      <c r="D162" s="5" t="str">
        <f>VLOOKUP(C162, 'DICIONÁRIO CNAES'!$A:$B, 2, FALSE)</f>
        <v>Outras atividades de serviços pessoais</v>
      </c>
      <c r="E162" s="4">
        <v>2610.11581256</v>
      </c>
      <c r="F162" s="4">
        <v>4955111.8082340006</v>
      </c>
    </row>
    <row r="163" spans="1:6" x14ac:dyDescent="0.3">
      <c r="A163" s="3" t="s">
        <v>4</v>
      </c>
      <c r="B163" s="7" t="str">
        <f>VLOOKUP(VALUE(A163), 'DICIONÁRIO UF'!$A:$B, 2, FALSE)</f>
        <v>Rondônia</v>
      </c>
      <c r="C163" s="3">
        <v>97000</v>
      </c>
      <c r="D163" s="5" t="str">
        <f>VLOOKUP(C163, 'DICIONÁRIO CNAES'!$A:$B, 2, FALSE)</f>
        <v>Serviços domésticos</v>
      </c>
      <c r="E163" s="4">
        <v>43311.623714349997</v>
      </c>
      <c r="F163" s="4">
        <v>34718126.033097841</v>
      </c>
    </row>
    <row r="164" spans="1:6" x14ac:dyDescent="0.3">
      <c r="A164" s="3" t="s">
        <v>5</v>
      </c>
      <c r="B164" s="7" t="str">
        <f>VLOOKUP(VALUE(A164), 'DICIONÁRIO UF'!$A:$B, 2, FALSE)</f>
        <v>Acre</v>
      </c>
      <c r="C164" s="3">
        <v>0</v>
      </c>
      <c r="D164" s="5" t="str">
        <f>VLOOKUP(C164, 'DICIONÁRIO CNAES'!$A:$B, 2, FALSE)</f>
        <v xml:space="preserve">Atividades mal definidas </v>
      </c>
      <c r="E164" s="4">
        <v>181.89781504000001</v>
      </c>
      <c r="F164" s="4">
        <v>189349.59892300001</v>
      </c>
    </row>
    <row r="165" spans="1:6" x14ac:dyDescent="0.3">
      <c r="A165" s="3" t="s">
        <v>5</v>
      </c>
      <c r="B165" s="7" t="str">
        <f>VLOOKUP(VALUE(A165), 'DICIONÁRIO UF'!$A:$B, 2, FALSE)</f>
        <v>Acre</v>
      </c>
      <c r="C165" s="3">
        <v>1101</v>
      </c>
      <c r="D165" s="5" t="str">
        <f>VLOOKUP(C165, 'DICIONÁRIO CNAES'!$A:$B, 2, FALSE)</f>
        <v>Cultivo de arroz</v>
      </c>
      <c r="E165" s="4">
        <v>112.51661892</v>
      </c>
      <c r="F165" s="4">
        <v>1875.2769820000001</v>
      </c>
    </row>
    <row r="166" spans="1:6" x14ac:dyDescent="0.3">
      <c r="A166" s="3" t="s">
        <v>5</v>
      </c>
      <c r="B166" s="7" t="str">
        <f>VLOOKUP(VALUE(A166), 'DICIONÁRIO UF'!$A:$B, 2, FALSE)</f>
        <v>Acre</v>
      </c>
      <c r="C166" s="3">
        <v>1102</v>
      </c>
      <c r="D166" s="5" t="str">
        <f>VLOOKUP(C166, 'DICIONÁRIO CNAES'!$A:$B, 2, FALSE)</f>
        <v>Cultivo de milho</v>
      </c>
      <c r="E166" s="4">
        <v>1120.6406059999999</v>
      </c>
      <c r="F166" s="4">
        <v>4977281.44172299</v>
      </c>
    </row>
    <row r="167" spans="1:6" x14ac:dyDescent="0.3">
      <c r="A167" s="3" t="s">
        <v>5</v>
      </c>
      <c r="B167" s="7" t="str">
        <f>VLOOKUP(VALUE(A167), 'DICIONÁRIO UF'!$A:$B, 2, FALSE)</f>
        <v>Acre</v>
      </c>
      <c r="C167" s="3">
        <v>1105</v>
      </c>
      <c r="D167" s="5" t="str">
        <f>VLOOKUP(C167, 'DICIONÁRIO CNAES'!$A:$B, 2, FALSE)</f>
        <v>Cultivo de cana-de-açúcar</v>
      </c>
      <c r="E167" s="4">
        <v>69.353060739999989</v>
      </c>
      <c r="F167" s="4">
        <v>72442.790059999999</v>
      </c>
    </row>
    <row r="168" spans="1:6" x14ac:dyDescent="0.3">
      <c r="A168" s="3" t="s">
        <v>5</v>
      </c>
      <c r="B168" s="7" t="str">
        <f>VLOOKUP(VALUE(A168), 'DICIONÁRIO UF'!$A:$B, 2, FALSE)</f>
        <v>Acre</v>
      </c>
      <c r="C168" s="3">
        <v>1108</v>
      </c>
      <c r="D168" s="5" t="str">
        <f>VLOOKUP(C168, 'DICIONÁRIO CNAES'!$A:$B, 2, FALSE)</f>
        <v>Cultivo de mandioca</v>
      </c>
      <c r="E168" s="4">
        <v>2758.9398829900001</v>
      </c>
      <c r="F168" s="4">
        <v>2073787.4560815</v>
      </c>
    </row>
    <row r="169" spans="1:6" x14ac:dyDescent="0.3">
      <c r="A169" s="3" t="s">
        <v>5</v>
      </c>
      <c r="B169" s="7" t="str">
        <f>VLOOKUP(VALUE(A169), 'DICIONÁRIO UF'!$A:$B, 2, FALSE)</f>
        <v>Acre</v>
      </c>
      <c r="C169" s="3">
        <v>1109</v>
      </c>
      <c r="D169" s="5" t="str">
        <f>VLOOKUP(C169, 'DICIONÁRIO CNAES'!$A:$B, 2, FALSE)</f>
        <v>Cultivo de outras lavouras temporárias não especificadas anteriormente</v>
      </c>
      <c r="E169" s="4">
        <v>412.87530194999999</v>
      </c>
      <c r="F169" s="4">
        <v>227700.74159943001</v>
      </c>
    </row>
    <row r="170" spans="1:6" x14ac:dyDescent="0.3">
      <c r="A170" s="3" t="s">
        <v>5</v>
      </c>
      <c r="B170" s="7" t="str">
        <f>VLOOKUP(VALUE(A170), 'DICIONÁRIO UF'!$A:$B, 2, FALSE)</f>
        <v>Acre</v>
      </c>
      <c r="C170" s="3">
        <v>1110</v>
      </c>
      <c r="D170" s="5" t="str">
        <f>VLOOKUP(C170, 'DICIONÁRIO CNAES'!$A:$B, 2, FALSE)</f>
        <v>Horticultura</v>
      </c>
      <c r="E170" s="4">
        <v>2102.9705050799998</v>
      </c>
      <c r="F170" s="4">
        <v>1884222.1661912799</v>
      </c>
    </row>
    <row r="171" spans="1:6" x14ac:dyDescent="0.3">
      <c r="A171" s="3" t="s">
        <v>5</v>
      </c>
      <c r="B171" s="7" t="str">
        <f>VLOOKUP(VALUE(A171), 'DICIONÁRIO UF'!$A:$B, 2, FALSE)</f>
        <v>Acre</v>
      </c>
      <c r="C171" s="3">
        <v>1112</v>
      </c>
      <c r="D171" s="5" t="str">
        <f>VLOOKUP(C171, 'DICIONÁRIO CNAES'!$A:$B, 2, FALSE)</f>
        <v>Cultivo de frutas cítricas</v>
      </c>
      <c r="E171" s="4">
        <v>222.60196482000001</v>
      </c>
      <c r="F171" s="4">
        <v>362555.97418000002</v>
      </c>
    </row>
    <row r="172" spans="1:6" x14ac:dyDescent="0.3">
      <c r="A172" s="3" t="s">
        <v>5</v>
      </c>
      <c r="B172" s="7" t="str">
        <f>VLOOKUP(VALUE(A172), 'DICIONÁRIO UF'!$A:$B, 2, FALSE)</f>
        <v>Acre</v>
      </c>
      <c r="C172" s="3">
        <v>1113</v>
      </c>
      <c r="D172" s="5" t="str">
        <f>VLOOKUP(C172, 'DICIONÁRIO CNAES'!$A:$B, 2, FALSE)</f>
        <v>Cultivo de café</v>
      </c>
      <c r="E172" s="4">
        <v>362.70708438000003</v>
      </c>
      <c r="F172" s="4">
        <v>419295.413872</v>
      </c>
    </row>
    <row r="173" spans="1:6" x14ac:dyDescent="0.3">
      <c r="A173" s="3" t="s">
        <v>5</v>
      </c>
      <c r="B173" s="7" t="str">
        <f>VLOOKUP(VALUE(A173), 'DICIONÁRIO UF'!$A:$B, 2, FALSE)</f>
        <v>Acre</v>
      </c>
      <c r="C173" s="3">
        <v>1116</v>
      </c>
      <c r="D173" s="5" t="str">
        <f>VLOOKUP(C173, 'DICIONÁRIO CNAES'!$A:$B, 2, FALSE)</f>
        <v>Cultivo de banana</v>
      </c>
      <c r="E173" s="4">
        <v>1385.60214503</v>
      </c>
      <c r="F173" s="4">
        <v>673553.93176200008</v>
      </c>
    </row>
    <row r="174" spans="1:6" x14ac:dyDescent="0.3">
      <c r="A174" s="3" t="s">
        <v>5</v>
      </c>
      <c r="B174" s="7" t="str">
        <f>VLOOKUP(VALUE(A174), 'DICIONÁRIO UF'!$A:$B, 2, FALSE)</f>
        <v>Acre</v>
      </c>
      <c r="C174" s="3">
        <v>1117</v>
      </c>
      <c r="D174" s="5" t="str">
        <f>VLOOKUP(C174, 'DICIONÁRIO CNAES'!$A:$B, 2, FALSE)</f>
        <v>Cultivo de outras plantas e frutas de lavoura permanente não especificadas anteriormente</v>
      </c>
      <c r="E174" s="4">
        <v>143.65261486</v>
      </c>
      <c r="F174" s="4">
        <v>113374.214544</v>
      </c>
    </row>
    <row r="175" spans="1:6" x14ac:dyDescent="0.3">
      <c r="A175" s="3" t="s">
        <v>5</v>
      </c>
      <c r="B175" s="7" t="str">
        <f>VLOOKUP(VALUE(A175), 'DICIONÁRIO UF'!$A:$B, 2, FALSE)</f>
        <v>Acre</v>
      </c>
      <c r="C175" s="3">
        <v>1201</v>
      </c>
      <c r="D175" s="5" t="str">
        <f>VLOOKUP(C175, 'DICIONÁRIO CNAES'!$A:$B, 2, FALSE)</f>
        <v>Criação de bovinos</v>
      </c>
      <c r="E175" s="4">
        <v>19298.58548202</v>
      </c>
      <c r="F175" s="4">
        <v>34093465.964283019</v>
      </c>
    </row>
    <row r="176" spans="1:6" x14ac:dyDescent="0.3">
      <c r="A176" s="3" t="s">
        <v>5</v>
      </c>
      <c r="B176" s="7" t="str">
        <f>VLOOKUP(VALUE(A176), 'DICIONÁRIO UF'!$A:$B, 2, FALSE)</f>
        <v>Acre</v>
      </c>
      <c r="C176" s="3">
        <v>1204</v>
      </c>
      <c r="D176" s="5" t="str">
        <f>VLOOKUP(C176, 'DICIONÁRIO CNAES'!$A:$B, 2, FALSE)</f>
        <v>Criação de suínos</v>
      </c>
      <c r="E176" s="4">
        <v>308.39986321999999</v>
      </c>
      <c r="F176" s="4">
        <v>375935.22796400002</v>
      </c>
    </row>
    <row r="177" spans="1:6" x14ac:dyDescent="0.3">
      <c r="A177" s="3" t="s">
        <v>5</v>
      </c>
      <c r="B177" s="7" t="str">
        <f>VLOOKUP(VALUE(A177), 'DICIONÁRIO UF'!$A:$B, 2, FALSE)</f>
        <v>Acre</v>
      </c>
      <c r="C177" s="3">
        <v>1205</v>
      </c>
      <c r="D177" s="5" t="str">
        <f>VLOOKUP(C177, 'DICIONÁRIO CNAES'!$A:$B, 2, FALSE)</f>
        <v>Criação de aves</v>
      </c>
      <c r="E177" s="4">
        <v>392.09323211999998</v>
      </c>
      <c r="F177" s="4">
        <v>696391.39382200001</v>
      </c>
    </row>
    <row r="178" spans="1:6" x14ac:dyDescent="0.3">
      <c r="A178" s="3" t="s">
        <v>5</v>
      </c>
      <c r="B178" s="7" t="str">
        <f>VLOOKUP(VALUE(A178), 'DICIONÁRIO UF'!$A:$B, 2, FALSE)</f>
        <v>Acre</v>
      </c>
      <c r="C178" s="3">
        <v>1401</v>
      </c>
      <c r="D178" s="5" t="str">
        <f>VLOOKUP(C178, 'DICIONÁRIO CNAES'!$A:$B, 2, FALSE)</f>
        <v>Atividades de apoio à agricultura e pós-colheita</v>
      </c>
      <c r="E178" s="4">
        <v>450.28243674999999</v>
      </c>
      <c r="F178" s="4">
        <v>703060.16155700001</v>
      </c>
    </row>
    <row r="179" spans="1:6" x14ac:dyDescent="0.3">
      <c r="A179" s="3" t="s">
        <v>5</v>
      </c>
      <c r="B179" s="7" t="str">
        <f>VLOOKUP(VALUE(A179), 'DICIONÁRIO UF'!$A:$B, 2, FALSE)</f>
        <v>Acre</v>
      </c>
      <c r="C179" s="3">
        <v>1402</v>
      </c>
      <c r="D179" s="5" t="str">
        <f>VLOOKUP(C179, 'DICIONÁRIO CNAES'!$A:$B, 2, FALSE)</f>
        <v xml:space="preserve">Atividades de apoio à pecuária </v>
      </c>
      <c r="E179" s="4">
        <v>4571.1037876099999</v>
      </c>
      <c r="F179" s="4">
        <v>3575053.2156394999</v>
      </c>
    </row>
    <row r="180" spans="1:6" x14ac:dyDescent="0.3">
      <c r="A180" s="3" t="s">
        <v>5</v>
      </c>
      <c r="B180" s="7" t="str">
        <f>VLOOKUP(VALUE(A180), 'DICIONÁRIO UF'!$A:$B, 2, FALSE)</f>
        <v>Acre</v>
      </c>
      <c r="C180" s="3">
        <v>2000</v>
      </c>
      <c r="D180" s="5" t="str">
        <f>VLOOKUP(C180, 'DICIONÁRIO CNAES'!$A:$B, 2, FALSE)</f>
        <v xml:space="preserve">Produção florestal </v>
      </c>
      <c r="E180" s="4">
        <v>3764.6019434300001</v>
      </c>
      <c r="F180" s="4">
        <v>5639049.1599714998</v>
      </c>
    </row>
    <row r="181" spans="1:6" x14ac:dyDescent="0.3">
      <c r="A181" s="3" t="s">
        <v>5</v>
      </c>
      <c r="B181" s="7" t="str">
        <f>VLOOKUP(VALUE(A181), 'DICIONÁRIO UF'!$A:$B, 2, FALSE)</f>
        <v>Acre</v>
      </c>
      <c r="C181" s="3">
        <v>3001</v>
      </c>
      <c r="D181" s="5" t="str">
        <f>VLOOKUP(C181, 'DICIONÁRIO CNAES'!$A:$B, 2, FALSE)</f>
        <v>Pesca</v>
      </c>
      <c r="E181" s="4">
        <v>1610.08547679</v>
      </c>
      <c r="F181" s="4">
        <v>828435.17533959006</v>
      </c>
    </row>
    <row r="182" spans="1:6" x14ac:dyDescent="0.3">
      <c r="A182" s="3" t="s">
        <v>5</v>
      </c>
      <c r="B182" s="7" t="str">
        <f>VLOOKUP(VALUE(A182), 'DICIONÁRIO UF'!$A:$B, 2, FALSE)</f>
        <v>Acre</v>
      </c>
      <c r="C182" s="3">
        <v>3002</v>
      </c>
      <c r="D182" s="5" t="str">
        <f>VLOOKUP(C182, 'DICIONÁRIO CNAES'!$A:$B, 2, FALSE)</f>
        <v>Aqüicultura</v>
      </c>
      <c r="E182" s="4">
        <v>53.819313149999999</v>
      </c>
      <c r="F182" s="4">
        <v>59201.244465000003</v>
      </c>
    </row>
    <row r="183" spans="1:6" x14ac:dyDescent="0.3">
      <c r="A183" s="3" t="s">
        <v>5</v>
      </c>
      <c r="B183" s="7" t="str">
        <f>VLOOKUP(VALUE(A183), 'DICIONÁRIO UF'!$A:$B, 2, FALSE)</f>
        <v>Acre</v>
      </c>
      <c r="C183" s="3">
        <v>8001</v>
      </c>
      <c r="D183" s="5" t="str">
        <f>VLOOKUP(C183, 'DICIONÁRIO CNAES'!$A:$B, 2, FALSE)</f>
        <v>Extração de pedras, areia e argila</v>
      </c>
      <c r="E183" s="4">
        <v>325.10480130000002</v>
      </c>
      <c r="F183" s="4">
        <v>340770.70742250001</v>
      </c>
    </row>
    <row r="184" spans="1:6" x14ac:dyDescent="0.3">
      <c r="A184" s="3" t="s">
        <v>5</v>
      </c>
      <c r="B184" s="7" t="str">
        <f>VLOOKUP(VALUE(A184), 'DICIONÁRIO UF'!$A:$B, 2, FALSE)</f>
        <v>Acre</v>
      </c>
      <c r="C184" s="3">
        <v>10010</v>
      </c>
      <c r="D184" s="5" t="str">
        <f>VLOOKUP(C184, 'DICIONÁRIO CNAES'!$A:$B, 2, FALSE)</f>
        <v xml:space="preserve">Abate e fabricação de produtos de carne e pescado </v>
      </c>
      <c r="E184" s="4">
        <v>1851.7557997900001</v>
      </c>
      <c r="F184" s="4">
        <v>2868418.5548470002</v>
      </c>
    </row>
    <row r="185" spans="1:6" x14ac:dyDescent="0.3">
      <c r="A185" s="3" t="s">
        <v>5</v>
      </c>
      <c r="B185" s="7" t="str">
        <f>VLOOKUP(VALUE(A185), 'DICIONÁRIO UF'!$A:$B, 2, FALSE)</f>
        <v>Acre</v>
      </c>
      <c r="C185" s="3">
        <v>10021</v>
      </c>
      <c r="D185" s="5" t="str">
        <f>VLOOKUP(C185, 'DICIONÁRIO CNAES'!$A:$B, 2, FALSE)</f>
        <v>Fabricação de conservas de frutas, legumes e outros vegetais</v>
      </c>
      <c r="E185" s="4">
        <v>126.38020706</v>
      </c>
      <c r="F185" s="4">
        <v>139018.227766</v>
      </c>
    </row>
    <row r="186" spans="1:6" x14ac:dyDescent="0.3">
      <c r="A186" s="3" t="s">
        <v>5</v>
      </c>
      <c r="B186" s="7" t="str">
        <f>VLOOKUP(VALUE(A186), 'DICIONÁRIO UF'!$A:$B, 2, FALSE)</f>
        <v>Acre</v>
      </c>
      <c r="C186" s="3">
        <v>10030</v>
      </c>
      <c r="D186" s="5" t="str">
        <f>VLOOKUP(C186, 'DICIONÁRIO CNAES'!$A:$B, 2, FALSE)</f>
        <v>Laticínios</v>
      </c>
      <c r="E186" s="4">
        <v>217.94801548999999</v>
      </c>
      <c r="F186" s="4">
        <v>504347.35553649988</v>
      </c>
    </row>
    <row r="187" spans="1:6" x14ac:dyDescent="0.3">
      <c r="A187" s="3" t="s">
        <v>5</v>
      </c>
      <c r="B187" s="7" t="str">
        <f>VLOOKUP(VALUE(A187), 'DICIONÁRIO UF'!$A:$B, 2, FALSE)</f>
        <v>Acre</v>
      </c>
      <c r="C187" s="3">
        <v>10091</v>
      </c>
      <c r="D187" s="5" t="str">
        <f>VLOOKUP(C187, 'DICIONÁRIO CNAES'!$A:$B, 2, FALSE)</f>
        <v>Moagem, fabricação de produtos amiláceos e de alimentos para animais</v>
      </c>
      <c r="E187" s="4">
        <v>11304.83349884</v>
      </c>
      <c r="F187" s="4">
        <v>2178673.0777275502</v>
      </c>
    </row>
    <row r="188" spans="1:6" x14ac:dyDescent="0.3">
      <c r="A188" s="3" t="s">
        <v>5</v>
      </c>
      <c r="B188" s="7" t="str">
        <f>VLOOKUP(VALUE(A188), 'DICIONÁRIO UF'!$A:$B, 2, FALSE)</f>
        <v>Acre</v>
      </c>
      <c r="C188" s="3">
        <v>10092</v>
      </c>
      <c r="D188" s="5" t="str">
        <f>VLOOKUP(C188, 'DICIONÁRIO CNAES'!$A:$B, 2, FALSE)</f>
        <v>Fabricação e refino do açúcar</v>
      </c>
      <c r="E188" s="4">
        <v>113.77221642000001</v>
      </c>
      <c r="F188" s="4">
        <v>27231.0200688</v>
      </c>
    </row>
    <row r="189" spans="1:6" x14ac:dyDescent="0.3">
      <c r="A189" s="3" t="s">
        <v>5</v>
      </c>
      <c r="B189" s="7" t="str">
        <f>VLOOKUP(VALUE(A189), 'DICIONÁRIO UF'!$A:$B, 2, FALSE)</f>
        <v>Acre</v>
      </c>
      <c r="C189" s="3">
        <v>10093</v>
      </c>
      <c r="D189" s="5" t="str">
        <f>VLOOKUP(C189, 'DICIONÁRIO CNAES'!$A:$B, 2, FALSE)</f>
        <v>Torrefação e moagem de café</v>
      </c>
      <c r="E189" s="4">
        <v>68.251509200000001</v>
      </c>
      <c r="F189" s="4">
        <v>341257.54599999997</v>
      </c>
    </row>
    <row r="190" spans="1:6" x14ac:dyDescent="0.3">
      <c r="A190" s="3" t="s">
        <v>5</v>
      </c>
      <c r="B190" s="7" t="str">
        <f>VLOOKUP(VALUE(A190), 'DICIONÁRIO UF'!$A:$B, 2, FALSE)</f>
        <v>Acre</v>
      </c>
      <c r="C190" s="3">
        <v>10099</v>
      </c>
      <c r="D190" s="5" t="str">
        <f>VLOOKUP(C190, 'DICIONÁRIO CNAES'!$A:$B, 2, FALSE)</f>
        <v>Fabricação de outros produtos alimentícios</v>
      </c>
      <c r="E190" s="4">
        <v>183.85602191999999</v>
      </c>
      <c r="F190" s="4">
        <v>26646.173798</v>
      </c>
    </row>
    <row r="191" spans="1:6" x14ac:dyDescent="0.3">
      <c r="A191" s="3" t="s">
        <v>5</v>
      </c>
      <c r="B191" s="7" t="str">
        <f>VLOOKUP(VALUE(A191), 'DICIONÁRIO UF'!$A:$B, 2, FALSE)</f>
        <v>Acre</v>
      </c>
      <c r="C191" s="3">
        <v>11000</v>
      </c>
      <c r="D191" s="5" t="str">
        <f>VLOOKUP(C191, 'DICIONÁRIO CNAES'!$A:$B, 2, FALSE)</f>
        <v>Fabricação de bebidas</v>
      </c>
      <c r="E191" s="4">
        <v>126.46239854</v>
      </c>
      <c r="F191" s="4">
        <v>139108.63839400001</v>
      </c>
    </row>
    <row r="192" spans="1:6" x14ac:dyDescent="0.3">
      <c r="A192" s="3" t="s">
        <v>5</v>
      </c>
      <c r="B192" s="7" t="str">
        <f>VLOOKUP(VALUE(A192), 'DICIONÁRIO UF'!$A:$B, 2, FALSE)</f>
        <v>Acre</v>
      </c>
      <c r="C192" s="3">
        <v>13002</v>
      </c>
      <c r="D192" s="5" t="str">
        <f>VLOOKUP(C192, 'DICIONÁRIO CNAES'!$A:$B, 2, FALSE)</f>
        <v>Fabricação de artefatos têxteis, exceto vestuário</v>
      </c>
      <c r="E192" s="4">
        <v>463.02144172999999</v>
      </c>
      <c r="F192" s="4">
        <v>114915.507237</v>
      </c>
    </row>
    <row r="193" spans="1:6" x14ac:dyDescent="0.3">
      <c r="A193" s="3" t="s">
        <v>5</v>
      </c>
      <c r="B193" s="7" t="str">
        <f>VLOOKUP(VALUE(A193), 'DICIONÁRIO UF'!$A:$B, 2, FALSE)</f>
        <v>Acre</v>
      </c>
      <c r="C193" s="3">
        <v>14001</v>
      </c>
      <c r="D193" s="5" t="str">
        <f>VLOOKUP(C193, 'DICIONÁRIO CNAES'!$A:$B, 2, FALSE)</f>
        <v>Confecção de artigos do vestuário e acessórios, exceto sob medida</v>
      </c>
      <c r="E193" s="4">
        <v>564.75768299000003</v>
      </c>
      <c r="F193" s="4">
        <v>485174.24619999999</v>
      </c>
    </row>
    <row r="194" spans="1:6" x14ac:dyDescent="0.3">
      <c r="A194" s="3" t="s">
        <v>5</v>
      </c>
      <c r="B194" s="7" t="str">
        <f>VLOOKUP(VALUE(A194), 'DICIONÁRIO UF'!$A:$B, 2, FALSE)</f>
        <v>Acre</v>
      </c>
      <c r="C194" s="3">
        <v>14002</v>
      </c>
      <c r="D194" s="5" t="str">
        <f>VLOOKUP(C194, 'DICIONÁRIO CNAES'!$A:$B, 2, FALSE)</f>
        <v>Confecção, sob medida, de artigos do vestuário</v>
      </c>
      <c r="E194" s="4">
        <v>992.51991903999999</v>
      </c>
      <c r="F194" s="4">
        <v>753251.085983</v>
      </c>
    </row>
    <row r="195" spans="1:6" x14ac:dyDescent="0.3">
      <c r="A195" s="3" t="s">
        <v>5</v>
      </c>
      <c r="B195" s="7" t="str">
        <f>VLOOKUP(VALUE(A195), 'DICIONÁRIO UF'!$A:$B, 2, FALSE)</f>
        <v>Acre</v>
      </c>
      <c r="C195" s="3">
        <v>15011</v>
      </c>
      <c r="D195" s="5" t="str">
        <f>VLOOKUP(C195, 'DICIONÁRIO CNAES'!$A:$B, 2, FALSE)</f>
        <v>Curtimento e outras preparações de couro</v>
      </c>
      <c r="E195" s="4">
        <v>99.038467479999994</v>
      </c>
      <c r="F195" s="4">
        <v>148557.70121999999</v>
      </c>
    </row>
    <row r="196" spans="1:6" x14ac:dyDescent="0.3">
      <c r="A196" s="3" t="s">
        <v>5</v>
      </c>
      <c r="B196" s="7" t="str">
        <f>VLOOKUP(VALUE(A196), 'DICIONÁRIO UF'!$A:$B, 2, FALSE)</f>
        <v>Acre</v>
      </c>
      <c r="C196" s="3">
        <v>16001</v>
      </c>
      <c r="D196" s="5" t="str">
        <f>VLOOKUP(C196, 'DICIONÁRIO CNAES'!$A:$B, 2, FALSE)</f>
        <v>Serrarias</v>
      </c>
      <c r="E196" s="4">
        <v>869.72739138999998</v>
      </c>
      <c r="F196" s="4">
        <v>1401092.86482816</v>
      </c>
    </row>
    <row r="197" spans="1:6" x14ac:dyDescent="0.3">
      <c r="A197" s="3" t="s">
        <v>5</v>
      </c>
      <c r="B197" s="7" t="str">
        <f>VLOOKUP(VALUE(A197), 'DICIONÁRIO UF'!$A:$B, 2, FALSE)</f>
        <v>Acre</v>
      </c>
      <c r="C197" s="3">
        <v>16002</v>
      </c>
      <c r="D197" s="5" t="str">
        <f>VLOOKUP(C197, 'DICIONÁRIO CNAES'!$A:$B, 2, FALSE)</f>
        <v>Fabricação de produtos de madeira, cortiça e material trançado, exceto móveis</v>
      </c>
      <c r="E197" s="4">
        <v>952.95225402999995</v>
      </c>
      <c r="F197" s="4">
        <v>1161986.2457514999</v>
      </c>
    </row>
    <row r="198" spans="1:6" x14ac:dyDescent="0.3">
      <c r="A198" s="3" t="s">
        <v>5</v>
      </c>
      <c r="B198" s="7" t="str">
        <f>VLOOKUP(VALUE(A198), 'DICIONÁRIO UF'!$A:$B, 2, FALSE)</f>
        <v>Acre</v>
      </c>
      <c r="C198" s="3">
        <v>17002</v>
      </c>
      <c r="D198" s="5" t="str">
        <f>VLOOKUP(C198, 'DICIONÁRIO CNAES'!$A:$B, 2, FALSE)</f>
        <v>Fabricação de embalagens e de produtos diversos de papel, cartolina, papel-cartão e papelão ondulado</v>
      </c>
      <c r="E198" s="4">
        <v>192.76899556000001</v>
      </c>
      <c r="F198" s="4">
        <v>120022.95484999999</v>
      </c>
    </row>
    <row r="199" spans="1:6" x14ac:dyDescent="0.3">
      <c r="A199" s="3" t="s">
        <v>5</v>
      </c>
      <c r="B199" s="7" t="str">
        <f>VLOOKUP(VALUE(A199), 'DICIONÁRIO UF'!$A:$B, 2, FALSE)</f>
        <v>Acre</v>
      </c>
      <c r="C199" s="3">
        <v>18000</v>
      </c>
      <c r="D199" s="5" t="str">
        <f>VLOOKUP(C199, 'DICIONÁRIO CNAES'!$A:$B, 2, FALSE)</f>
        <v>Impressão e reprodução de gravações</v>
      </c>
      <c r="E199" s="4">
        <v>264.37008896999998</v>
      </c>
      <c r="F199" s="4">
        <v>325080.11340899998</v>
      </c>
    </row>
    <row r="200" spans="1:6" x14ac:dyDescent="0.3">
      <c r="A200" s="3" t="s">
        <v>5</v>
      </c>
      <c r="B200" s="7" t="str">
        <f>VLOOKUP(VALUE(A200), 'DICIONÁRIO UF'!$A:$B, 2, FALSE)</f>
        <v>Acre</v>
      </c>
      <c r="C200" s="3">
        <v>22020</v>
      </c>
      <c r="D200" s="5" t="str">
        <f>VLOOKUP(C200, 'DICIONÁRIO CNAES'!$A:$B, 2, FALSE)</f>
        <v>Fabricação de produtos de material plástico</v>
      </c>
      <c r="E200" s="4">
        <v>453.28524777000001</v>
      </c>
      <c r="F200" s="4">
        <v>648489.70187983999</v>
      </c>
    </row>
    <row r="201" spans="1:6" x14ac:dyDescent="0.3">
      <c r="A201" s="3" t="s">
        <v>5</v>
      </c>
      <c r="B201" s="7" t="str">
        <f>VLOOKUP(VALUE(A201), 'DICIONÁRIO UF'!$A:$B, 2, FALSE)</f>
        <v>Acre</v>
      </c>
      <c r="C201" s="3">
        <v>23091</v>
      </c>
      <c r="D201" s="5" t="str">
        <f>VLOOKUP(C201, 'DICIONÁRIO CNAES'!$A:$B, 2, FALSE)</f>
        <v>Fabricação de produtos cerâmicos</v>
      </c>
      <c r="E201" s="4">
        <v>723.61607726</v>
      </c>
      <c r="F201" s="4">
        <v>764764.04222499998</v>
      </c>
    </row>
    <row r="202" spans="1:6" x14ac:dyDescent="0.3">
      <c r="A202" s="3" t="s">
        <v>5</v>
      </c>
      <c r="B202" s="7" t="str">
        <f>VLOOKUP(VALUE(A202), 'DICIONÁRIO UF'!$A:$B, 2, FALSE)</f>
        <v>Acre</v>
      </c>
      <c r="C202" s="3">
        <v>23099</v>
      </c>
      <c r="D202" s="5" t="str">
        <f>VLOOKUP(C202, 'DICIONÁRIO CNAES'!$A:$B, 2, FALSE)</f>
        <v>Fabricação de outros produtos de minerais não-metálicos não especificados anteriormente</v>
      </c>
      <c r="E202" s="4">
        <v>650.11751501999993</v>
      </c>
      <c r="F202" s="4">
        <v>634274.96747400006</v>
      </c>
    </row>
    <row r="203" spans="1:6" x14ac:dyDescent="0.3">
      <c r="A203" s="3" t="s">
        <v>5</v>
      </c>
      <c r="B203" s="7" t="str">
        <f>VLOOKUP(VALUE(A203), 'DICIONÁRIO UF'!$A:$B, 2, FALSE)</f>
        <v>Acre</v>
      </c>
      <c r="C203" s="3">
        <v>25001</v>
      </c>
      <c r="D203" s="5" t="str">
        <f>VLOOKUP(C203, 'DICIONÁRIO CNAES'!$A:$B, 2, FALSE)</f>
        <v>Fabricação de produtos de metal, exceto máquinas e equipamentos</v>
      </c>
      <c r="E203" s="4">
        <v>1876.29886738</v>
      </c>
      <c r="F203" s="4">
        <v>3148610.4043467501</v>
      </c>
    </row>
    <row r="204" spans="1:6" x14ac:dyDescent="0.3">
      <c r="A204" s="3" t="s">
        <v>5</v>
      </c>
      <c r="B204" s="7" t="str">
        <f>VLOOKUP(VALUE(A204), 'DICIONÁRIO UF'!$A:$B, 2, FALSE)</f>
        <v>Acre</v>
      </c>
      <c r="C204" s="3">
        <v>25002</v>
      </c>
      <c r="D204" s="5" t="str">
        <f>VLOOKUP(C204, 'DICIONÁRIO CNAES'!$A:$B, 2, FALSE)</f>
        <v>Forjaria, estamparia, metalurgia do pó e serviços de tratamento de metais</v>
      </c>
      <c r="E204" s="4">
        <v>231.35517067000001</v>
      </c>
      <c r="F204" s="4">
        <v>313117.35370099999</v>
      </c>
    </row>
    <row r="205" spans="1:6" x14ac:dyDescent="0.3">
      <c r="A205" s="3" t="s">
        <v>5</v>
      </c>
      <c r="B205" s="7" t="str">
        <f>VLOOKUP(VALUE(A205), 'DICIONÁRIO UF'!$A:$B, 2, FALSE)</f>
        <v>Acre</v>
      </c>
      <c r="C205" s="3">
        <v>28000</v>
      </c>
      <c r="D205" s="5" t="str">
        <f>VLOOKUP(C205, 'DICIONÁRIO CNAES'!$A:$B, 2, FALSE)</f>
        <v>Fabricação de máquinas e equipamentos</v>
      </c>
      <c r="E205" s="4">
        <v>103.4137764</v>
      </c>
      <c r="F205" s="4">
        <v>310241.32919999998</v>
      </c>
    </row>
    <row r="206" spans="1:6" x14ac:dyDescent="0.3">
      <c r="A206" s="3" t="s">
        <v>5</v>
      </c>
      <c r="B206" s="7" t="str">
        <f>VLOOKUP(VALUE(A206), 'DICIONÁRIO UF'!$A:$B, 2, FALSE)</f>
        <v>Acre</v>
      </c>
      <c r="C206" s="3">
        <v>31000</v>
      </c>
      <c r="D206" s="5" t="str">
        <f>VLOOKUP(C206, 'DICIONÁRIO CNAES'!$A:$B, 2, FALSE)</f>
        <v>Fabricação de móveis</v>
      </c>
      <c r="E206" s="4">
        <v>1750.5150661600001</v>
      </c>
      <c r="F206" s="4">
        <v>3282150.3871610002</v>
      </c>
    </row>
    <row r="207" spans="1:6" x14ac:dyDescent="0.3">
      <c r="A207" s="3" t="s">
        <v>5</v>
      </c>
      <c r="B207" s="7" t="str">
        <f>VLOOKUP(VALUE(A207), 'DICIONÁRIO UF'!$A:$B, 2, FALSE)</f>
        <v>Acre</v>
      </c>
      <c r="C207" s="3">
        <v>32002</v>
      </c>
      <c r="D207" s="5" t="str">
        <f>VLOOKUP(C207, 'DICIONÁRIO CNAES'!$A:$B, 2, FALSE)</f>
        <v>Fabricação de instrumentos musicais</v>
      </c>
      <c r="E207" s="4">
        <v>50.650744080000003</v>
      </c>
      <c r="F207" s="4">
        <v>75976.116120000006</v>
      </c>
    </row>
    <row r="208" spans="1:6" x14ac:dyDescent="0.3">
      <c r="A208" s="3" t="s">
        <v>5</v>
      </c>
      <c r="B208" s="7" t="str">
        <f>VLOOKUP(VALUE(A208), 'DICIONÁRIO UF'!$A:$B, 2, FALSE)</f>
        <v>Acre</v>
      </c>
      <c r="C208" s="3">
        <v>32009</v>
      </c>
      <c r="D208" s="5" t="str">
        <f>VLOOKUP(C208, 'DICIONÁRIO CNAES'!$A:$B, 2, FALSE)</f>
        <v>Fabricação de produtos diversos</v>
      </c>
      <c r="E208" s="4">
        <v>70.010767959999995</v>
      </c>
      <c r="F208" s="4">
        <v>24503.768786000001</v>
      </c>
    </row>
    <row r="209" spans="1:6" x14ac:dyDescent="0.3">
      <c r="A209" s="3" t="s">
        <v>5</v>
      </c>
      <c r="B209" s="7" t="str">
        <f>VLOOKUP(VALUE(A209), 'DICIONÁRIO UF'!$A:$B, 2, FALSE)</f>
        <v>Acre</v>
      </c>
      <c r="C209" s="3">
        <v>33001</v>
      </c>
      <c r="D209" s="5" t="str">
        <f>VLOOKUP(C209, 'DICIONÁRIO CNAES'!$A:$B, 2, FALSE)</f>
        <v>Manutenção e reparação de máquinas e equipamentos</v>
      </c>
      <c r="E209" s="4">
        <v>301.83617683</v>
      </c>
      <c r="F209" s="4">
        <v>1031281.354316</v>
      </c>
    </row>
    <row r="210" spans="1:6" x14ac:dyDescent="0.3">
      <c r="A210" s="3" t="s">
        <v>5</v>
      </c>
      <c r="B210" s="7" t="str">
        <f>VLOOKUP(VALUE(A210), 'DICIONÁRIO UF'!$A:$B, 2, FALSE)</f>
        <v>Acre</v>
      </c>
      <c r="C210" s="3">
        <v>35010</v>
      </c>
      <c r="D210" s="5" t="str">
        <f>VLOOKUP(C210, 'DICIONÁRIO CNAES'!$A:$B, 2, FALSE)</f>
        <v>Geração, transmissão e distribuição de energia elétrica</v>
      </c>
      <c r="E210" s="4">
        <v>1797.6904939599999</v>
      </c>
      <c r="F210" s="4">
        <v>5023836.5999167999</v>
      </c>
    </row>
    <row r="211" spans="1:6" x14ac:dyDescent="0.3">
      <c r="A211" s="3" t="s">
        <v>5</v>
      </c>
      <c r="B211" s="7" t="str">
        <f>VLOOKUP(VALUE(A211), 'DICIONÁRIO UF'!$A:$B, 2, FALSE)</f>
        <v>Acre</v>
      </c>
      <c r="C211" s="3">
        <v>36000</v>
      </c>
      <c r="D211" s="5" t="str">
        <f>VLOOKUP(C211, 'DICIONÁRIO CNAES'!$A:$B, 2, FALSE)</f>
        <v>Captação, tratamento e distribuição de água</v>
      </c>
      <c r="E211" s="4">
        <v>1638.74356831</v>
      </c>
      <c r="F211" s="4">
        <v>5325645.1256507598</v>
      </c>
    </row>
    <row r="212" spans="1:6" x14ac:dyDescent="0.3">
      <c r="A212" s="3" t="s">
        <v>5</v>
      </c>
      <c r="B212" s="7" t="str">
        <f>VLOOKUP(VALUE(A212), 'DICIONÁRIO UF'!$A:$B, 2, FALSE)</f>
        <v>Acre</v>
      </c>
      <c r="C212" s="3">
        <v>38000</v>
      </c>
      <c r="D212" s="5" t="str">
        <f>VLOOKUP(C212, 'DICIONÁRIO CNAES'!$A:$B, 2, FALSE)</f>
        <v>Coleta, tratamento e disposição de resíduos; recuperação de materiais</v>
      </c>
      <c r="E212" s="4">
        <v>148.79185581999999</v>
      </c>
      <c r="F212" s="4">
        <v>265003.18248000002</v>
      </c>
    </row>
    <row r="213" spans="1:6" x14ac:dyDescent="0.3">
      <c r="A213" s="3" t="s">
        <v>5</v>
      </c>
      <c r="B213" s="7" t="str">
        <f>VLOOKUP(VALUE(A213), 'DICIONÁRIO UF'!$A:$B, 2, FALSE)</f>
        <v>Acre</v>
      </c>
      <c r="C213" s="3">
        <v>41000</v>
      </c>
      <c r="D213" s="5" t="str">
        <f>VLOOKUP(C213, 'DICIONÁRIO CNAES'!$A:$B, 2, FALSE)</f>
        <v>Construção de edifícios</v>
      </c>
      <c r="E213" s="4">
        <v>14502.95337969</v>
      </c>
      <c r="F213" s="4">
        <v>21424737.459092669</v>
      </c>
    </row>
    <row r="214" spans="1:6" x14ac:dyDescent="0.3">
      <c r="A214" s="3" t="s">
        <v>5</v>
      </c>
      <c r="B214" s="7" t="str">
        <f>VLOOKUP(VALUE(A214), 'DICIONÁRIO UF'!$A:$B, 2, FALSE)</f>
        <v>Acre</v>
      </c>
      <c r="C214" s="3">
        <v>42000</v>
      </c>
      <c r="D214" s="5" t="str">
        <f>VLOOKUP(C214, 'DICIONÁRIO CNAES'!$A:$B, 2, FALSE)</f>
        <v>Construção de obras de infra-estrutura</v>
      </c>
      <c r="E214" s="4">
        <v>2279.6220709200002</v>
      </c>
      <c r="F214" s="4">
        <v>10304966.930653</v>
      </c>
    </row>
    <row r="215" spans="1:6" x14ac:dyDescent="0.3">
      <c r="A215" s="3" t="s">
        <v>5</v>
      </c>
      <c r="B215" s="7" t="str">
        <f>VLOOKUP(VALUE(A215), 'DICIONÁRIO UF'!$A:$B, 2, FALSE)</f>
        <v>Acre</v>
      </c>
      <c r="C215" s="3">
        <v>43000</v>
      </c>
      <c r="D215" s="5" t="str">
        <f>VLOOKUP(C215, 'DICIONÁRIO CNAES'!$A:$B, 2, FALSE)</f>
        <v>Serviços especializados para construção</v>
      </c>
      <c r="E215" s="4">
        <v>3549.8433628299999</v>
      </c>
      <c r="F215" s="4">
        <v>4322993.2740080999</v>
      </c>
    </row>
    <row r="216" spans="1:6" x14ac:dyDescent="0.3">
      <c r="A216" s="3" t="s">
        <v>5</v>
      </c>
      <c r="B216" s="7" t="str">
        <f>VLOOKUP(VALUE(A216), 'DICIONÁRIO UF'!$A:$B, 2, FALSE)</f>
        <v>Acre</v>
      </c>
      <c r="C216" s="3">
        <v>45010</v>
      </c>
      <c r="D216" s="5" t="str">
        <f>VLOOKUP(C216, 'DICIONÁRIO CNAES'!$A:$B, 2, FALSE)</f>
        <v>Comércio de veículos automotores</v>
      </c>
      <c r="E216" s="4">
        <v>476.63196339000001</v>
      </c>
      <c r="F216" s="4">
        <v>1092239.5735899999</v>
      </c>
    </row>
    <row r="217" spans="1:6" x14ac:dyDescent="0.3">
      <c r="A217" s="3" t="s">
        <v>5</v>
      </c>
      <c r="B217" s="7" t="str">
        <f>VLOOKUP(VALUE(A217), 'DICIONÁRIO UF'!$A:$B, 2, FALSE)</f>
        <v>Acre</v>
      </c>
      <c r="C217" s="3">
        <v>45020</v>
      </c>
      <c r="D217" s="5" t="str">
        <f>VLOOKUP(C217, 'DICIONÁRIO CNAES'!$A:$B, 2, FALSE)</f>
        <v>Manutenção e reparação de veículos automotores</v>
      </c>
      <c r="E217" s="4">
        <v>6442.8346383400003</v>
      </c>
      <c r="F217" s="4">
        <v>12370576.264555</v>
      </c>
    </row>
    <row r="218" spans="1:6" x14ac:dyDescent="0.3">
      <c r="A218" s="3" t="s">
        <v>5</v>
      </c>
      <c r="B218" s="7" t="str">
        <f>VLOOKUP(VALUE(A218), 'DICIONÁRIO UF'!$A:$B, 2, FALSE)</f>
        <v>Acre</v>
      </c>
      <c r="C218" s="3">
        <v>45030</v>
      </c>
      <c r="D218" s="5" t="str">
        <f>VLOOKUP(C218, 'DICIONÁRIO CNAES'!$A:$B, 2, FALSE)</f>
        <v>Comércio de peças e acessórios para veículos automotores</v>
      </c>
      <c r="E218" s="4">
        <v>850.52250452999999</v>
      </c>
      <c r="F218" s="4">
        <v>1603155.766631</v>
      </c>
    </row>
    <row r="219" spans="1:6" x14ac:dyDescent="0.3">
      <c r="A219" s="3" t="s">
        <v>5</v>
      </c>
      <c r="B219" s="7" t="str">
        <f>VLOOKUP(VALUE(A219), 'DICIONÁRIO UF'!$A:$B, 2, FALSE)</f>
        <v>Acre</v>
      </c>
      <c r="C219" s="3">
        <v>45040</v>
      </c>
      <c r="D219" s="5" t="str">
        <f>VLOOKUP(C219, 'DICIONÁRIO CNAES'!$A:$B, 2, FALSE)</f>
        <v>Comércio, manutenção e reparação de motocicletas, peças e acessórios</v>
      </c>
      <c r="E219" s="4">
        <v>1315.58843991</v>
      </c>
      <c r="F219" s="4">
        <v>1767645.0852059999</v>
      </c>
    </row>
    <row r="220" spans="1:6" x14ac:dyDescent="0.3">
      <c r="A220" s="3" t="s">
        <v>5</v>
      </c>
      <c r="B220" s="7" t="str">
        <f>VLOOKUP(VALUE(A220), 'DICIONÁRIO UF'!$A:$B, 2, FALSE)</f>
        <v>Acre</v>
      </c>
      <c r="C220" s="3">
        <v>48010</v>
      </c>
      <c r="D220" s="5" t="str">
        <f>VLOOKUP(C220, 'DICIONÁRIO CNAES'!$A:$B, 2, FALSE)</f>
        <v>Representantes comerciais e agentes do comércio, exceto de veículos automotores e motocicletas</v>
      </c>
      <c r="E220" s="4">
        <v>582.05419992999998</v>
      </c>
      <c r="F220" s="4">
        <v>2029753.4511919999</v>
      </c>
    </row>
    <row r="221" spans="1:6" x14ac:dyDescent="0.3">
      <c r="A221" s="3" t="s">
        <v>5</v>
      </c>
      <c r="B221" s="7" t="str">
        <f>VLOOKUP(VALUE(A221), 'DICIONÁRIO UF'!$A:$B, 2, FALSE)</f>
        <v>Acre</v>
      </c>
      <c r="C221" s="3">
        <v>48020</v>
      </c>
      <c r="D221" s="5" t="str">
        <f>VLOOKUP(C221, 'DICIONÁRIO CNAES'!$A:$B, 2, FALSE)</f>
        <v>Comércio de matérias-primas agrícolas e animais vivos</v>
      </c>
      <c r="E221" s="4">
        <v>189.07112038</v>
      </c>
      <c r="F221" s="4">
        <v>239147.439101</v>
      </c>
    </row>
    <row r="222" spans="1:6" x14ac:dyDescent="0.3">
      <c r="A222" s="3" t="s">
        <v>5</v>
      </c>
      <c r="B222" s="7" t="str">
        <f>VLOOKUP(VALUE(A222), 'DICIONÁRIO UF'!$A:$B, 2, FALSE)</f>
        <v>Acre</v>
      </c>
      <c r="C222" s="3">
        <v>48030</v>
      </c>
      <c r="D222" s="5" t="str">
        <f>VLOOKUP(C222, 'DICIONÁRIO CNAES'!$A:$B, 2, FALSE)</f>
        <v>Comércio de produtos alimentícios, bebidas e fumo</v>
      </c>
      <c r="E222" s="4">
        <v>14322.095320869999</v>
      </c>
      <c r="F222" s="4">
        <v>22074591.605856549</v>
      </c>
    </row>
    <row r="223" spans="1:6" x14ac:dyDescent="0.3">
      <c r="A223" s="3" t="s">
        <v>5</v>
      </c>
      <c r="B223" s="7" t="str">
        <f>VLOOKUP(VALUE(A223), 'DICIONÁRIO UF'!$A:$B, 2, FALSE)</f>
        <v>Acre</v>
      </c>
      <c r="C223" s="3">
        <v>48041</v>
      </c>
      <c r="D223" s="5" t="str">
        <f>VLOOKUP(C223, 'DICIONÁRIO CNAES'!$A:$B, 2, FALSE)</f>
        <v>Comércio de tecidos, artefatos de tecidos e armarinho</v>
      </c>
      <c r="E223" s="4">
        <v>664.94999663999999</v>
      </c>
      <c r="F223" s="4">
        <v>1035761.860547</v>
      </c>
    </row>
    <row r="224" spans="1:6" x14ac:dyDescent="0.3">
      <c r="A224" s="3" t="s">
        <v>5</v>
      </c>
      <c r="B224" s="7" t="str">
        <f>VLOOKUP(VALUE(A224), 'DICIONÁRIO UF'!$A:$B, 2, FALSE)</f>
        <v>Acre</v>
      </c>
      <c r="C224" s="3">
        <v>48042</v>
      </c>
      <c r="D224" s="5" t="str">
        <f>VLOOKUP(C224, 'DICIONÁRIO CNAES'!$A:$B, 2, FALSE)</f>
        <v>Comércio de artigos do vestuário, complementos, calçados e artigos de viagem</v>
      </c>
      <c r="E224" s="4">
        <v>7817.4172423999999</v>
      </c>
      <c r="F224" s="4">
        <v>11544066.127079999</v>
      </c>
    </row>
    <row r="225" spans="1:6" x14ac:dyDescent="0.3">
      <c r="A225" s="3" t="s">
        <v>5</v>
      </c>
      <c r="B225" s="7" t="str">
        <f>VLOOKUP(VALUE(A225), 'DICIONÁRIO UF'!$A:$B, 2, FALSE)</f>
        <v>Acre</v>
      </c>
      <c r="C225" s="3">
        <v>48050</v>
      </c>
      <c r="D225" s="5" t="str">
        <f>VLOOKUP(C225, 'DICIONÁRIO CNAES'!$A:$B, 2, FALSE)</f>
        <v>Comércio de madeira, material de construção, ferragens e ferramentas</v>
      </c>
      <c r="E225" s="4">
        <v>4047.9337646099998</v>
      </c>
      <c r="F225" s="4">
        <v>9739200.2003332395</v>
      </c>
    </row>
    <row r="226" spans="1:6" x14ac:dyDescent="0.3">
      <c r="A226" s="3" t="s">
        <v>5</v>
      </c>
      <c r="B226" s="7" t="str">
        <f>VLOOKUP(VALUE(A226), 'DICIONÁRIO UF'!$A:$B, 2, FALSE)</f>
        <v>Acre</v>
      </c>
      <c r="C226" s="3">
        <v>48060</v>
      </c>
      <c r="D226" s="5" t="str">
        <f>VLOOKUP(C226, 'DICIONÁRIO CNAES'!$A:$B, 2, FALSE)</f>
        <v>Comércio de combustíveis para veículos automotores</v>
      </c>
      <c r="E226" s="4">
        <v>2265.3403089499998</v>
      </c>
      <c r="F226" s="4">
        <v>6497484.7414593995</v>
      </c>
    </row>
    <row r="227" spans="1:6" x14ac:dyDescent="0.3">
      <c r="A227" s="3" t="s">
        <v>5</v>
      </c>
      <c r="B227" s="7" t="str">
        <f>VLOOKUP(VALUE(A227), 'DICIONÁRIO UF'!$A:$B, 2, FALSE)</f>
        <v>Acre</v>
      </c>
      <c r="C227" s="3">
        <v>48071</v>
      </c>
      <c r="D227" s="5" t="str">
        <f>VLOOKUP(C227, 'DICIONÁRIO CNAES'!$A:$B, 2, FALSE)</f>
        <v>Comércio de produtos farmaceuticos, médicos, ortopédicos, odontológicos e de cosméticos e perfumaria</v>
      </c>
      <c r="E227" s="4">
        <v>4564.08749472</v>
      </c>
      <c r="F227" s="4">
        <v>11145298.332759</v>
      </c>
    </row>
    <row r="228" spans="1:6" x14ac:dyDescent="0.3">
      <c r="A228" s="3" t="s">
        <v>5</v>
      </c>
      <c r="B228" s="7" t="str">
        <f>VLOOKUP(VALUE(A228), 'DICIONÁRIO UF'!$A:$B, 2, FALSE)</f>
        <v>Acre</v>
      </c>
      <c r="C228" s="3">
        <v>48072</v>
      </c>
      <c r="D228" s="5" t="str">
        <f>VLOOKUP(C228, 'DICIONÁRIO CNAES'!$A:$B, 2, FALSE)</f>
        <v>Comércio de artigos de escritório e de papelaria; livros, jornais e outras publicações</v>
      </c>
      <c r="E228" s="4">
        <v>487.52002514999998</v>
      </c>
      <c r="F228" s="4">
        <v>496730.29978499998</v>
      </c>
    </row>
    <row r="229" spans="1:6" x14ac:dyDescent="0.3">
      <c r="A229" s="3" t="s">
        <v>5</v>
      </c>
      <c r="B229" s="7" t="str">
        <f>VLOOKUP(VALUE(A229), 'DICIONÁRIO UF'!$A:$B, 2, FALSE)</f>
        <v>Acre</v>
      </c>
      <c r="C229" s="3">
        <v>48073</v>
      </c>
      <c r="D229" s="5" t="str">
        <f>VLOOKUP(C229, 'DICIONÁRIO CNAES'!$A:$B, 2, FALSE)</f>
        <v>Comércio de eletrodomésticos, móveis e outros artigos de residência</v>
      </c>
      <c r="E229" s="4">
        <v>2664.8575685999999</v>
      </c>
      <c r="F229" s="4">
        <v>4581118.7805909999</v>
      </c>
    </row>
    <row r="230" spans="1:6" x14ac:dyDescent="0.3">
      <c r="A230" s="3" t="s">
        <v>5</v>
      </c>
      <c r="B230" s="7" t="str">
        <f>VLOOKUP(VALUE(A230), 'DICIONÁRIO UF'!$A:$B, 2, FALSE)</f>
        <v>Acre</v>
      </c>
      <c r="C230" s="3">
        <v>48074</v>
      </c>
      <c r="D230" s="5" t="str">
        <f>VLOOKUP(C230, 'DICIONÁRIO CNAES'!$A:$B, 2, FALSE)</f>
        <v>Comércio de equipamentos e produtos de tecnologias de informação e comunicação</v>
      </c>
      <c r="E230" s="4">
        <v>1124.35480919</v>
      </c>
      <c r="F230" s="4">
        <v>3089734.163685</v>
      </c>
    </row>
    <row r="231" spans="1:6" x14ac:dyDescent="0.3">
      <c r="A231" s="3" t="s">
        <v>5</v>
      </c>
      <c r="B231" s="7" t="str">
        <f>VLOOKUP(VALUE(A231), 'DICIONÁRIO UF'!$A:$B, 2, FALSE)</f>
        <v>Acre</v>
      </c>
      <c r="C231" s="3">
        <v>48075</v>
      </c>
      <c r="D231" s="5" t="str">
        <f>VLOOKUP(C231, 'DICIONÁRIO CNAES'!$A:$B, 2, FALSE)</f>
        <v xml:space="preserve">Comércio de máquinas, aparelhos e equipamentos, exceto eletrodomésticos </v>
      </c>
      <c r="E231" s="4">
        <v>161.88421263999999</v>
      </c>
      <c r="F231" s="4">
        <v>587934.42864399997</v>
      </c>
    </row>
    <row r="232" spans="1:6" x14ac:dyDescent="0.3">
      <c r="A232" s="3" t="s">
        <v>5</v>
      </c>
      <c r="B232" s="7" t="str">
        <f>VLOOKUP(VALUE(A232), 'DICIONÁRIO UF'!$A:$B, 2, FALSE)</f>
        <v>Acre</v>
      </c>
      <c r="C232" s="3">
        <v>48076</v>
      </c>
      <c r="D232" s="5" t="str">
        <f>VLOOKUP(C232, 'DICIONÁRIO CNAES'!$A:$B, 2, FALSE)</f>
        <v>Comércio de combustíveis sólidos, líquidos e gasosos, exceto para veículos automotores</v>
      </c>
      <c r="E232" s="4">
        <v>284.22766263</v>
      </c>
      <c r="F232" s="4">
        <v>363754.53745599999</v>
      </c>
    </row>
    <row r="233" spans="1:6" x14ac:dyDescent="0.3">
      <c r="A233" s="3" t="s">
        <v>5</v>
      </c>
      <c r="B233" s="7" t="str">
        <f>VLOOKUP(VALUE(A233), 'DICIONÁRIO UF'!$A:$B, 2, FALSE)</f>
        <v>Acre</v>
      </c>
      <c r="C233" s="3">
        <v>48078</v>
      </c>
      <c r="D233" s="5" t="str">
        <f>VLOOKUP(C233, 'DICIONÁRIO CNAES'!$A:$B, 2, FALSE)</f>
        <v>Comercio de residuos e sucatas</v>
      </c>
      <c r="E233" s="4">
        <v>1202.1587758999999</v>
      </c>
      <c r="F233" s="4">
        <v>1044488.267562</v>
      </c>
    </row>
    <row r="234" spans="1:6" x14ac:dyDescent="0.3">
      <c r="A234" s="3" t="s">
        <v>5</v>
      </c>
      <c r="B234" s="7" t="str">
        <f>VLOOKUP(VALUE(A234), 'DICIONÁRIO UF'!$A:$B, 2, FALSE)</f>
        <v>Acre</v>
      </c>
      <c r="C234" s="3">
        <v>48079</v>
      </c>
      <c r="D234" s="5" t="str">
        <f>VLOOKUP(C234, 'DICIONÁRIO CNAES'!$A:$B, 2, FALSE)</f>
        <v>Comércio de produtos novos não especificados anteriormente</v>
      </c>
      <c r="E234" s="4">
        <v>2828.06755217</v>
      </c>
      <c r="F234" s="4">
        <v>5233609.1454480002</v>
      </c>
    </row>
    <row r="235" spans="1:6" x14ac:dyDescent="0.3">
      <c r="A235" s="3" t="s">
        <v>5</v>
      </c>
      <c r="B235" s="7" t="str">
        <f>VLOOKUP(VALUE(A235), 'DICIONÁRIO UF'!$A:$B, 2, FALSE)</f>
        <v>Acre</v>
      </c>
      <c r="C235" s="3">
        <v>48080</v>
      </c>
      <c r="D235" s="5" t="str">
        <f>VLOOKUP(C235, 'DICIONÁRIO CNAES'!$A:$B, 2, FALSE)</f>
        <v>Supermercado e hipermercado</v>
      </c>
      <c r="E235" s="4">
        <v>7958.3675308399997</v>
      </c>
      <c r="F235" s="4">
        <v>10639107.003081501</v>
      </c>
    </row>
    <row r="236" spans="1:6" x14ac:dyDescent="0.3">
      <c r="A236" s="3" t="s">
        <v>5</v>
      </c>
      <c r="B236" s="7" t="str">
        <f>VLOOKUP(VALUE(A236), 'DICIONÁRIO UF'!$A:$B, 2, FALSE)</f>
        <v>Acre</v>
      </c>
      <c r="C236" s="3">
        <v>48090</v>
      </c>
      <c r="D236" s="5" t="str">
        <f>VLOOKUP(C236, 'DICIONÁRIO CNAES'!$A:$B, 2, FALSE)</f>
        <v>Lojas de departamento e outros comércios não especializados, sem predominância de produtos alimentícios</v>
      </c>
      <c r="E236" s="4">
        <v>171.45999678999999</v>
      </c>
      <c r="F236" s="4">
        <v>188605.99646900001</v>
      </c>
    </row>
    <row r="237" spans="1:6" x14ac:dyDescent="0.3">
      <c r="A237" s="3" t="s">
        <v>5</v>
      </c>
      <c r="B237" s="7" t="str">
        <f>VLOOKUP(VALUE(A237), 'DICIONÁRIO UF'!$A:$B, 2, FALSE)</f>
        <v>Acre</v>
      </c>
      <c r="C237" s="3">
        <v>48100</v>
      </c>
      <c r="D237" s="5" t="str">
        <f>VLOOKUP(C237, 'DICIONÁRIO CNAES'!$A:$B, 2, FALSE)</f>
        <v>Comércio ambulante e feiras</v>
      </c>
      <c r="E237" s="4">
        <v>979.44666256000005</v>
      </c>
      <c r="F237" s="4">
        <v>1875317.4649634999</v>
      </c>
    </row>
    <row r="238" spans="1:6" x14ac:dyDescent="0.3">
      <c r="A238" s="3" t="s">
        <v>5</v>
      </c>
      <c r="B238" s="7" t="str">
        <f>VLOOKUP(VALUE(A238), 'DICIONÁRIO UF'!$A:$B, 2, FALSE)</f>
        <v>Acre</v>
      </c>
      <c r="C238" s="3">
        <v>49030</v>
      </c>
      <c r="D238" s="5" t="str">
        <f>VLOOKUP(C238, 'DICIONÁRIO CNAES'!$A:$B, 2, FALSE)</f>
        <v>Transporte rodoviário de passageiros</v>
      </c>
      <c r="E238" s="4">
        <v>5230.9615421600001</v>
      </c>
      <c r="F238" s="4">
        <v>8597667.8034128603</v>
      </c>
    </row>
    <row r="239" spans="1:6" x14ac:dyDescent="0.3">
      <c r="A239" s="3" t="s">
        <v>5</v>
      </c>
      <c r="B239" s="7" t="str">
        <f>VLOOKUP(VALUE(A239), 'DICIONÁRIO UF'!$A:$B, 2, FALSE)</f>
        <v>Acre</v>
      </c>
      <c r="C239" s="3">
        <v>49040</v>
      </c>
      <c r="D239" s="5" t="str">
        <f>VLOOKUP(C239, 'DICIONÁRIO CNAES'!$A:$B, 2, FALSE)</f>
        <v>Transporte rodoviário de carga</v>
      </c>
      <c r="E239" s="4">
        <v>2211.61267202</v>
      </c>
      <c r="F239" s="4">
        <v>3356175.7196681602</v>
      </c>
    </row>
    <row r="240" spans="1:6" x14ac:dyDescent="0.3">
      <c r="A240" s="3" t="s">
        <v>5</v>
      </c>
      <c r="B240" s="7" t="str">
        <f>VLOOKUP(VALUE(A240), 'DICIONÁRIO UF'!$A:$B, 2, FALSE)</f>
        <v>Acre</v>
      </c>
      <c r="C240" s="3">
        <v>50000</v>
      </c>
      <c r="D240" s="5" t="str">
        <f>VLOOKUP(C240, 'DICIONÁRIO CNAES'!$A:$B, 2, FALSE)</f>
        <v>Transporte Aquaviário</v>
      </c>
      <c r="E240" s="4">
        <v>400.09601382</v>
      </c>
      <c r="F240" s="4">
        <v>1087456.3470600001</v>
      </c>
    </row>
    <row r="241" spans="1:6" x14ac:dyDescent="0.3">
      <c r="A241" s="3" t="s">
        <v>5</v>
      </c>
      <c r="B241" s="7" t="str">
        <f>VLOOKUP(VALUE(A241), 'DICIONÁRIO UF'!$A:$B, 2, FALSE)</f>
        <v>Acre</v>
      </c>
      <c r="C241" s="3">
        <v>51000</v>
      </c>
      <c r="D241" s="5" t="str">
        <f>VLOOKUP(C241, 'DICIONÁRIO CNAES'!$A:$B, 2, FALSE)</f>
        <v>Transporte Aéreo</v>
      </c>
      <c r="E241" s="4">
        <v>352.00311601999999</v>
      </c>
      <c r="F241" s="4">
        <v>629157.68577900005</v>
      </c>
    </row>
    <row r="242" spans="1:6" x14ac:dyDescent="0.3">
      <c r="A242" s="3" t="s">
        <v>5</v>
      </c>
      <c r="B242" s="7" t="str">
        <f>VLOOKUP(VALUE(A242), 'DICIONÁRIO UF'!$A:$B, 2, FALSE)</f>
        <v>Acre</v>
      </c>
      <c r="C242" s="3">
        <v>52010</v>
      </c>
      <c r="D242" s="5" t="str">
        <f>VLOOKUP(C242, 'DICIONÁRIO CNAES'!$A:$B, 2, FALSE)</f>
        <v>Armazenamento, carga e descarga</v>
      </c>
      <c r="E242" s="4">
        <v>384.75702833999998</v>
      </c>
      <c r="F242" s="4">
        <v>377045.62180000002</v>
      </c>
    </row>
    <row r="243" spans="1:6" x14ac:dyDescent="0.3">
      <c r="A243" s="3" t="s">
        <v>5</v>
      </c>
      <c r="B243" s="7" t="str">
        <f>VLOOKUP(VALUE(A243), 'DICIONÁRIO UF'!$A:$B, 2, FALSE)</f>
        <v>Acre</v>
      </c>
      <c r="C243" s="3">
        <v>52020</v>
      </c>
      <c r="D243" s="5" t="str">
        <f>VLOOKUP(C243, 'DICIONÁRIO CNAES'!$A:$B, 2, FALSE)</f>
        <v xml:space="preserve">Atividades auxiliares dos transportes e atividades relacionadas à organização do transporte de carga </v>
      </c>
      <c r="E243" s="4">
        <v>228.67408673</v>
      </c>
      <c r="F243" s="4">
        <v>573983.56061599997</v>
      </c>
    </row>
    <row r="244" spans="1:6" x14ac:dyDescent="0.3">
      <c r="A244" s="3" t="s">
        <v>5</v>
      </c>
      <c r="B244" s="7" t="str">
        <f>VLOOKUP(VALUE(A244), 'DICIONÁRIO UF'!$A:$B, 2, FALSE)</f>
        <v>Acre</v>
      </c>
      <c r="C244" s="3">
        <v>53001</v>
      </c>
      <c r="D244" s="5" t="str">
        <f>VLOOKUP(C244, 'DICIONÁRIO CNAES'!$A:$B, 2, FALSE)</f>
        <v>Atividades de Correio</v>
      </c>
      <c r="E244" s="4">
        <v>857.36521999000001</v>
      </c>
      <c r="F244" s="4">
        <v>2098112.3569919998</v>
      </c>
    </row>
    <row r="245" spans="1:6" x14ac:dyDescent="0.3">
      <c r="A245" s="3" t="s">
        <v>5</v>
      </c>
      <c r="B245" s="7" t="str">
        <f>VLOOKUP(VALUE(A245), 'DICIONÁRIO UF'!$A:$B, 2, FALSE)</f>
        <v>Acre</v>
      </c>
      <c r="C245" s="3">
        <v>53002</v>
      </c>
      <c r="D245" s="5" t="str">
        <f>VLOOKUP(C245, 'DICIONÁRIO CNAES'!$A:$B, 2, FALSE)</f>
        <v>Atividades de malote e de entrega</v>
      </c>
      <c r="E245" s="4">
        <v>1000.527646</v>
      </c>
      <c r="F245" s="4">
        <v>1090710.868271</v>
      </c>
    </row>
    <row r="246" spans="1:6" x14ac:dyDescent="0.3">
      <c r="A246" s="3" t="s">
        <v>5</v>
      </c>
      <c r="B246" s="7" t="str">
        <f>VLOOKUP(VALUE(A246), 'DICIONÁRIO UF'!$A:$B, 2, FALSE)</f>
        <v>Acre</v>
      </c>
      <c r="C246" s="3">
        <v>55000</v>
      </c>
      <c r="D246" s="5" t="str">
        <f>VLOOKUP(C246, 'DICIONÁRIO CNAES'!$A:$B, 2, FALSE)</f>
        <v>Alojamento</v>
      </c>
      <c r="E246" s="4">
        <v>699.77095752000002</v>
      </c>
      <c r="F246" s="4">
        <v>784336.97863200004</v>
      </c>
    </row>
    <row r="247" spans="1:6" x14ac:dyDescent="0.3">
      <c r="A247" s="3" t="s">
        <v>5</v>
      </c>
      <c r="B247" s="7" t="str">
        <f>VLOOKUP(VALUE(A247), 'DICIONÁRIO UF'!$A:$B, 2, FALSE)</f>
        <v>Acre</v>
      </c>
      <c r="C247" s="3">
        <v>56011</v>
      </c>
      <c r="D247" s="5" t="str">
        <f>VLOOKUP(C247, 'DICIONÁRIO CNAES'!$A:$B, 2, FALSE)</f>
        <v>Restaurantes e outros estabelecimentos de serviços de alimentação e bebidas</v>
      </c>
      <c r="E247" s="4">
        <v>10594.70497615</v>
      </c>
      <c r="F247" s="4">
        <v>20729066.725552801</v>
      </c>
    </row>
    <row r="248" spans="1:6" x14ac:dyDescent="0.3">
      <c r="A248" s="3" t="s">
        <v>5</v>
      </c>
      <c r="B248" s="7" t="str">
        <f>VLOOKUP(VALUE(A248), 'DICIONÁRIO UF'!$A:$B, 2, FALSE)</f>
        <v>Acre</v>
      </c>
      <c r="C248" s="3">
        <v>56012</v>
      </c>
      <c r="D248" s="5" t="str">
        <f>VLOOKUP(C248, 'DICIONÁRIO CNAES'!$A:$B, 2, FALSE)</f>
        <v>Serviços de catering, bufê e outros serviços de comida preparada</v>
      </c>
      <c r="E248" s="4">
        <v>1137.37333878</v>
      </c>
      <c r="F248" s="4">
        <v>1256384.3219256001</v>
      </c>
    </row>
    <row r="249" spans="1:6" x14ac:dyDescent="0.3">
      <c r="A249" s="3" t="s">
        <v>5</v>
      </c>
      <c r="B249" s="7" t="str">
        <f>VLOOKUP(VALUE(A249), 'DICIONÁRIO UF'!$A:$B, 2, FALSE)</f>
        <v>Acre</v>
      </c>
      <c r="C249" s="3">
        <v>56020</v>
      </c>
      <c r="D249" s="5" t="str">
        <f>VLOOKUP(C249, 'DICIONÁRIO CNAES'!$A:$B, 2, FALSE)</f>
        <v>Serviços ambulantes de alimentação</v>
      </c>
      <c r="E249" s="4">
        <v>1951.69422366</v>
      </c>
      <c r="F249" s="4">
        <v>1380304.454895</v>
      </c>
    </row>
    <row r="250" spans="1:6" x14ac:dyDescent="0.3">
      <c r="A250" s="3" t="s">
        <v>5</v>
      </c>
      <c r="B250" s="7" t="str">
        <f>VLOOKUP(VALUE(A250), 'DICIONÁRIO UF'!$A:$B, 2, FALSE)</f>
        <v>Acre</v>
      </c>
      <c r="C250" s="3">
        <v>60001</v>
      </c>
      <c r="D250" s="5" t="str">
        <f>VLOOKUP(C250, 'DICIONÁRIO CNAES'!$A:$B, 2, FALSE)</f>
        <v>Atividades de rádio</v>
      </c>
      <c r="E250" s="4">
        <v>150.37499647000001</v>
      </c>
      <c r="F250" s="4">
        <v>180449.99576399999</v>
      </c>
    </row>
    <row r="251" spans="1:6" x14ac:dyDescent="0.3">
      <c r="A251" s="3" t="s">
        <v>5</v>
      </c>
      <c r="B251" s="7" t="str">
        <f>VLOOKUP(VALUE(A251), 'DICIONÁRIO UF'!$A:$B, 2, FALSE)</f>
        <v>Acre</v>
      </c>
      <c r="C251" s="3">
        <v>60002</v>
      </c>
      <c r="D251" s="5" t="str">
        <f>VLOOKUP(C251, 'DICIONÁRIO CNAES'!$A:$B, 2, FALSE)</f>
        <v>Atividades de televisão</v>
      </c>
      <c r="E251" s="4">
        <v>306.24752393</v>
      </c>
      <c r="F251" s="4">
        <v>876395.22596199997</v>
      </c>
    </row>
    <row r="252" spans="1:6" x14ac:dyDescent="0.3">
      <c r="A252" s="3" t="s">
        <v>5</v>
      </c>
      <c r="B252" s="7" t="str">
        <f>VLOOKUP(VALUE(A252), 'DICIONÁRIO UF'!$A:$B, 2, FALSE)</f>
        <v>Acre</v>
      </c>
      <c r="C252" s="3">
        <v>61000</v>
      </c>
      <c r="D252" s="5" t="str">
        <f>VLOOKUP(C252, 'DICIONÁRIO CNAES'!$A:$B, 2, FALSE)</f>
        <v>Telecomunicações</v>
      </c>
      <c r="E252" s="4">
        <v>840.18688975999999</v>
      </c>
      <c r="F252" s="4">
        <v>1208020.500332</v>
      </c>
    </row>
    <row r="253" spans="1:6" x14ac:dyDescent="0.3">
      <c r="A253" s="3" t="s">
        <v>5</v>
      </c>
      <c r="B253" s="7" t="str">
        <f>VLOOKUP(VALUE(A253), 'DICIONÁRIO UF'!$A:$B, 2, FALSE)</f>
        <v>Acre</v>
      </c>
      <c r="C253" s="3">
        <v>62000</v>
      </c>
      <c r="D253" s="5" t="str">
        <f>VLOOKUP(C253, 'DICIONÁRIO CNAES'!$A:$B, 2, FALSE)</f>
        <v>Atividades dos serviços de tecnologia da informação</v>
      </c>
      <c r="E253" s="4">
        <v>258.68344666000002</v>
      </c>
      <c r="F253" s="4">
        <v>1139243.477165</v>
      </c>
    </row>
    <row r="254" spans="1:6" x14ac:dyDescent="0.3">
      <c r="A254" s="3" t="s">
        <v>5</v>
      </c>
      <c r="B254" s="7" t="str">
        <f>VLOOKUP(VALUE(A254), 'DICIONÁRIO UF'!$A:$B, 2, FALSE)</f>
        <v>Acre</v>
      </c>
      <c r="C254" s="3">
        <v>63000</v>
      </c>
      <c r="D254" s="5" t="str">
        <f>VLOOKUP(C254, 'DICIONÁRIO CNAES'!$A:$B, 2, FALSE)</f>
        <v>Atividades de prestação de serviços de informação</v>
      </c>
      <c r="E254" s="4">
        <v>256.84158778</v>
      </c>
      <c r="F254" s="4">
        <v>847990.30244100001</v>
      </c>
    </row>
    <row r="255" spans="1:6" x14ac:dyDescent="0.3">
      <c r="A255" s="3" t="s">
        <v>5</v>
      </c>
      <c r="B255" s="7" t="str">
        <f>VLOOKUP(VALUE(A255), 'DICIONÁRIO UF'!$A:$B, 2, FALSE)</f>
        <v>Acre</v>
      </c>
      <c r="C255" s="3">
        <v>64000</v>
      </c>
      <c r="D255" s="5" t="str">
        <f>VLOOKUP(C255, 'DICIONÁRIO CNAES'!$A:$B, 2, FALSE)</f>
        <v>Serviços financeiros</v>
      </c>
      <c r="E255" s="4">
        <v>858.9694303</v>
      </c>
      <c r="F255" s="4">
        <v>4222681.7880739998</v>
      </c>
    </row>
    <row r="256" spans="1:6" x14ac:dyDescent="0.3">
      <c r="A256" s="3" t="s">
        <v>5</v>
      </c>
      <c r="B256" s="7" t="str">
        <f>VLOOKUP(VALUE(A256), 'DICIONÁRIO UF'!$A:$B, 2, FALSE)</f>
        <v>Acre</v>
      </c>
      <c r="C256" s="3">
        <v>65000</v>
      </c>
      <c r="D256" s="5" t="str">
        <f>VLOOKUP(C256, 'DICIONÁRIO CNAES'!$A:$B, 2, FALSE)</f>
        <v>Seguros e previdência privada</v>
      </c>
      <c r="E256" s="4">
        <v>133.28839300000001</v>
      </c>
      <c r="F256" s="4">
        <v>218388.87088480001</v>
      </c>
    </row>
    <row r="257" spans="1:6" x14ac:dyDescent="0.3">
      <c r="A257" s="3" t="s">
        <v>5</v>
      </c>
      <c r="B257" s="7" t="str">
        <f>VLOOKUP(VALUE(A257), 'DICIONÁRIO UF'!$A:$B, 2, FALSE)</f>
        <v>Acre</v>
      </c>
      <c r="C257" s="3">
        <v>66001</v>
      </c>
      <c r="D257" s="5" t="str">
        <f>VLOOKUP(C257, 'DICIONÁRIO CNAES'!$A:$B, 2, FALSE)</f>
        <v>Atividades auxiliares dos serviços financeiros</v>
      </c>
      <c r="E257" s="4">
        <v>69.418700490000006</v>
      </c>
      <c r="F257" s="4">
        <v>173546.75122500001</v>
      </c>
    </row>
    <row r="258" spans="1:6" x14ac:dyDescent="0.3">
      <c r="A258" s="3" t="s">
        <v>5</v>
      </c>
      <c r="B258" s="7" t="str">
        <f>VLOOKUP(VALUE(A258), 'DICIONÁRIO UF'!$A:$B, 2, FALSE)</f>
        <v>Acre</v>
      </c>
      <c r="C258" s="3">
        <v>68000</v>
      </c>
      <c r="D258" s="5" t="str">
        <f>VLOOKUP(C258, 'DICIONÁRIO CNAES'!$A:$B, 2, FALSE)</f>
        <v>Atividades imobiliárias</v>
      </c>
      <c r="E258" s="4">
        <v>771.52049732</v>
      </c>
      <c r="F258" s="4">
        <v>989319.965142</v>
      </c>
    </row>
    <row r="259" spans="1:6" x14ac:dyDescent="0.3">
      <c r="A259" s="3" t="s">
        <v>5</v>
      </c>
      <c r="B259" s="7" t="str">
        <f>VLOOKUP(VALUE(A259), 'DICIONÁRIO UF'!$A:$B, 2, FALSE)</f>
        <v>Acre</v>
      </c>
      <c r="C259" s="3">
        <v>69000</v>
      </c>
      <c r="D259" s="5" t="str">
        <f>VLOOKUP(C259, 'DICIONÁRIO CNAES'!$A:$B, 2, FALSE)</f>
        <v xml:space="preserve">Atividades jurídicas, de contabilidade e de auditoria </v>
      </c>
      <c r="E259" s="4">
        <v>2242.3386421999999</v>
      </c>
      <c r="F259" s="4">
        <v>7907755.5237779999</v>
      </c>
    </row>
    <row r="260" spans="1:6" x14ac:dyDescent="0.3">
      <c r="A260" s="3" t="s">
        <v>5</v>
      </c>
      <c r="B260" s="7" t="str">
        <f>VLOOKUP(VALUE(A260), 'DICIONÁRIO UF'!$A:$B, 2, FALSE)</f>
        <v>Acre</v>
      </c>
      <c r="C260" s="3">
        <v>70000</v>
      </c>
      <c r="D260" s="5" t="str">
        <f>VLOOKUP(C260, 'DICIONÁRIO CNAES'!$A:$B, 2, FALSE)</f>
        <v>Atividades de consultoria em gestão empresarial</v>
      </c>
      <c r="E260" s="4">
        <v>358.79122538000001</v>
      </c>
      <c r="F260" s="4">
        <v>1520091.3533290001</v>
      </c>
    </row>
    <row r="261" spans="1:6" x14ac:dyDescent="0.3">
      <c r="A261" s="3" t="s">
        <v>5</v>
      </c>
      <c r="B261" s="7" t="str">
        <f>VLOOKUP(VALUE(A261), 'DICIONÁRIO UF'!$A:$B, 2, FALSE)</f>
        <v>Acre</v>
      </c>
      <c r="C261" s="3">
        <v>71000</v>
      </c>
      <c r="D261" s="5" t="str">
        <f>VLOOKUP(C261, 'DICIONÁRIO CNAES'!$A:$B, 2, FALSE)</f>
        <v>Serviços de arquitetura e engenharia e atividades técnicas relacionadas; Testes e análises técnicas</v>
      </c>
      <c r="E261" s="4">
        <v>805.35082373</v>
      </c>
      <c r="F261" s="4">
        <v>4213646.4611559995</v>
      </c>
    </row>
    <row r="262" spans="1:6" x14ac:dyDescent="0.3">
      <c r="A262" s="3" t="s">
        <v>5</v>
      </c>
      <c r="B262" s="7" t="str">
        <f>VLOOKUP(VALUE(A262), 'DICIONÁRIO UF'!$A:$B, 2, FALSE)</f>
        <v>Acre</v>
      </c>
      <c r="C262" s="3">
        <v>72000</v>
      </c>
      <c r="D262" s="5" t="str">
        <f>VLOOKUP(C262, 'DICIONÁRIO CNAES'!$A:$B, 2, FALSE)</f>
        <v>Pesquisa e desenvolvimento científico</v>
      </c>
      <c r="E262" s="4">
        <v>172.87069836000001</v>
      </c>
      <c r="F262" s="4">
        <v>1210094.88852</v>
      </c>
    </row>
    <row r="263" spans="1:6" x14ac:dyDescent="0.3">
      <c r="A263" s="3" t="s">
        <v>5</v>
      </c>
      <c r="B263" s="7" t="str">
        <f>VLOOKUP(VALUE(A263), 'DICIONÁRIO UF'!$A:$B, 2, FALSE)</f>
        <v>Acre</v>
      </c>
      <c r="C263" s="3">
        <v>73010</v>
      </c>
      <c r="D263" s="5" t="str">
        <f>VLOOKUP(C263, 'DICIONÁRIO CNAES'!$A:$B, 2, FALSE)</f>
        <v>Publicidade</v>
      </c>
      <c r="E263" s="4">
        <v>1325.17931372</v>
      </c>
      <c r="F263" s="4">
        <v>3416330.9662580001</v>
      </c>
    </row>
    <row r="264" spans="1:6" x14ac:dyDescent="0.3">
      <c r="A264" s="3" t="s">
        <v>5</v>
      </c>
      <c r="B264" s="7" t="str">
        <f>VLOOKUP(VALUE(A264), 'DICIONÁRIO UF'!$A:$B, 2, FALSE)</f>
        <v>Acre</v>
      </c>
      <c r="C264" s="3">
        <v>74000</v>
      </c>
      <c r="D264" s="5" t="str">
        <f>VLOOKUP(C264, 'DICIONÁRIO CNAES'!$A:$B, 2, FALSE)</f>
        <v>Outras atividades profissionais, científicas e técnicas não especificadas anteriormente</v>
      </c>
      <c r="E264" s="4">
        <v>317.91748779</v>
      </c>
      <c r="F264" s="4">
        <v>574317.45603400003</v>
      </c>
    </row>
    <row r="265" spans="1:6" x14ac:dyDescent="0.3">
      <c r="A265" s="3" t="s">
        <v>5</v>
      </c>
      <c r="B265" s="7" t="str">
        <f>VLOOKUP(VALUE(A265), 'DICIONÁRIO UF'!$A:$B, 2, FALSE)</f>
        <v>Acre</v>
      </c>
      <c r="C265" s="3">
        <v>75000</v>
      </c>
      <c r="D265" s="5" t="str">
        <f>VLOOKUP(C265, 'DICIONÁRIO CNAES'!$A:$B, 2, FALSE)</f>
        <v>Atividades veterinárias</v>
      </c>
      <c r="E265" s="4">
        <v>71.038403840000001</v>
      </c>
      <c r="F265" s="4">
        <v>78142.244223999995</v>
      </c>
    </row>
    <row r="266" spans="1:6" x14ac:dyDescent="0.3">
      <c r="A266" s="3" t="s">
        <v>5</v>
      </c>
      <c r="B266" s="7" t="str">
        <f>VLOOKUP(VALUE(A266), 'DICIONÁRIO UF'!$A:$B, 2, FALSE)</f>
        <v>Acre</v>
      </c>
      <c r="C266" s="3">
        <v>77010</v>
      </c>
      <c r="D266" s="5" t="str">
        <f>VLOOKUP(C266, 'DICIONÁRIO CNAES'!$A:$B, 2, FALSE)</f>
        <v>Aluguel de objetos pessoais e domésticos</v>
      </c>
      <c r="E266" s="4">
        <v>342.96037589999997</v>
      </c>
      <c r="F266" s="4">
        <v>274368.30072</v>
      </c>
    </row>
    <row r="267" spans="1:6" x14ac:dyDescent="0.3">
      <c r="A267" s="3" t="s">
        <v>5</v>
      </c>
      <c r="B267" s="7" t="str">
        <f>VLOOKUP(VALUE(A267), 'DICIONÁRIO UF'!$A:$B, 2, FALSE)</f>
        <v>Acre</v>
      </c>
      <c r="C267" s="3">
        <v>77020</v>
      </c>
      <c r="D267" s="5" t="str">
        <f>VLOOKUP(C267, 'DICIONÁRIO CNAES'!$A:$B, 2, FALSE)</f>
        <v>Aluguel de meios de transportes, maquinas e equipamentos sem operador e gestão de ativos intangíveis não financeiros</v>
      </c>
      <c r="E267" s="4">
        <v>303.80819608000002</v>
      </c>
      <c r="F267" s="4">
        <v>369347.75796800002</v>
      </c>
    </row>
    <row r="268" spans="1:6" x14ac:dyDescent="0.3">
      <c r="A268" s="3" t="s">
        <v>5</v>
      </c>
      <c r="B268" s="7" t="str">
        <f>VLOOKUP(VALUE(A268), 'DICIONÁRIO UF'!$A:$B, 2, FALSE)</f>
        <v>Acre</v>
      </c>
      <c r="C268" s="3">
        <v>78000</v>
      </c>
      <c r="D268" s="5" t="str">
        <f>VLOOKUP(C268, 'DICIONÁRIO CNAES'!$A:$B, 2, FALSE)</f>
        <v>Seleção, agenciamento e locação de mão-de-obra</v>
      </c>
      <c r="E268" s="4">
        <v>6305.8896100000002</v>
      </c>
      <c r="F268" s="4">
        <v>9258517.6577822007</v>
      </c>
    </row>
    <row r="269" spans="1:6" x14ac:dyDescent="0.3">
      <c r="A269" s="3" t="s">
        <v>5</v>
      </c>
      <c r="B269" s="7" t="str">
        <f>VLOOKUP(VALUE(A269), 'DICIONÁRIO UF'!$A:$B, 2, FALSE)</f>
        <v>Acre</v>
      </c>
      <c r="C269" s="3">
        <v>79000</v>
      </c>
      <c r="D269" s="5" t="str">
        <f>VLOOKUP(C269, 'DICIONÁRIO CNAES'!$A:$B, 2, FALSE)</f>
        <v>Agências de viagens, operadores turísticos e serviços de reservas</v>
      </c>
      <c r="E269" s="4">
        <v>245.6930873</v>
      </c>
      <c r="F269" s="4">
        <v>845264.21536400006</v>
      </c>
    </row>
    <row r="270" spans="1:6" x14ac:dyDescent="0.3">
      <c r="A270" s="3" t="s">
        <v>5</v>
      </c>
      <c r="B270" s="7" t="str">
        <f>VLOOKUP(VALUE(A270), 'DICIONÁRIO UF'!$A:$B, 2, FALSE)</f>
        <v>Acre</v>
      </c>
      <c r="C270" s="3">
        <v>80000</v>
      </c>
      <c r="D270" s="5" t="str">
        <f>VLOOKUP(C270, 'DICIONÁRIO CNAES'!$A:$B, 2, FALSE)</f>
        <v>Atividades de vigilância, segurança, transporte de valores e investigação</v>
      </c>
      <c r="E270" s="4">
        <v>2449.4170350700001</v>
      </c>
      <c r="F270" s="4">
        <v>3163935.3826370798</v>
      </c>
    </row>
    <row r="271" spans="1:6" x14ac:dyDescent="0.3">
      <c r="A271" s="3" t="s">
        <v>5</v>
      </c>
      <c r="B271" s="7" t="str">
        <f>VLOOKUP(VALUE(A271), 'DICIONÁRIO UF'!$A:$B, 2, FALSE)</f>
        <v>Acre</v>
      </c>
      <c r="C271" s="3">
        <v>81011</v>
      </c>
      <c r="D271" s="5" t="str">
        <f>VLOOKUP(C271, 'DICIONÁRIO CNAES'!$A:$B, 2, FALSE)</f>
        <v>Serviços de limpeza e de apoio a edifícios, exceto condomínios prediais</v>
      </c>
      <c r="E271" s="4">
        <v>7969.8662077500003</v>
      </c>
      <c r="F271" s="4">
        <v>8116944.7454923</v>
      </c>
    </row>
    <row r="272" spans="1:6" x14ac:dyDescent="0.3">
      <c r="A272" s="3" t="s">
        <v>5</v>
      </c>
      <c r="B272" s="7" t="str">
        <f>VLOOKUP(VALUE(A272), 'DICIONÁRIO UF'!$A:$B, 2, FALSE)</f>
        <v>Acre</v>
      </c>
      <c r="C272" s="3">
        <v>81012</v>
      </c>
      <c r="D272" s="5" t="str">
        <f>VLOOKUP(C272, 'DICIONÁRIO CNAES'!$A:$B, 2, FALSE)</f>
        <v>Condomínios prediais</v>
      </c>
      <c r="E272" s="4">
        <v>253.57906441</v>
      </c>
      <c r="F272" s="4">
        <v>323500.92527000001</v>
      </c>
    </row>
    <row r="273" spans="1:6" x14ac:dyDescent="0.3">
      <c r="A273" s="3" t="s">
        <v>5</v>
      </c>
      <c r="B273" s="7" t="str">
        <f>VLOOKUP(VALUE(A273), 'DICIONÁRIO UF'!$A:$B, 2, FALSE)</f>
        <v>Acre</v>
      </c>
      <c r="C273" s="3">
        <v>81020</v>
      </c>
      <c r="D273" s="5" t="str">
        <f>VLOOKUP(C273, 'DICIONÁRIO CNAES'!$A:$B, 2, FALSE)</f>
        <v>Atividades paisagísticas</v>
      </c>
      <c r="E273" s="4">
        <v>193.94974586000001</v>
      </c>
      <c r="F273" s="4">
        <v>197984.26451199999</v>
      </c>
    </row>
    <row r="274" spans="1:6" x14ac:dyDescent="0.3">
      <c r="A274" s="3" t="s">
        <v>5</v>
      </c>
      <c r="B274" s="7" t="str">
        <f>VLOOKUP(VALUE(A274), 'DICIONÁRIO UF'!$A:$B, 2, FALSE)</f>
        <v>Acre</v>
      </c>
      <c r="C274" s="3">
        <v>82001</v>
      </c>
      <c r="D274" s="5" t="str">
        <f>VLOOKUP(C274, 'DICIONÁRIO CNAES'!$A:$B, 2, FALSE)</f>
        <v>Serviços de escritório e apoio administrativo</v>
      </c>
      <c r="E274" s="4">
        <v>720.55120008000006</v>
      </c>
      <c r="F274" s="4">
        <v>749691.01675000007</v>
      </c>
    </row>
    <row r="275" spans="1:6" x14ac:dyDescent="0.3">
      <c r="A275" s="3" t="s">
        <v>5</v>
      </c>
      <c r="B275" s="7" t="str">
        <f>VLOOKUP(VALUE(A275), 'DICIONÁRIO UF'!$A:$B, 2, FALSE)</f>
        <v>Acre</v>
      </c>
      <c r="C275" s="3">
        <v>82002</v>
      </c>
      <c r="D275" s="5" t="str">
        <f>VLOOKUP(C275, 'DICIONÁRIO CNAES'!$A:$B, 2, FALSE)</f>
        <v>Atividades de teleatendimento</v>
      </c>
      <c r="E275" s="4">
        <v>936.03321865999999</v>
      </c>
      <c r="F275" s="4">
        <v>1092295.0699529999</v>
      </c>
    </row>
    <row r="276" spans="1:6" x14ac:dyDescent="0.3">
      <c r="A276" s="3" t="s">
        <v>5</v>
      </c>
      <c r="B276" s="7" t="str">
        <f>VLOOKUP(VALUE(A276), 'DICIONÁRIO UF'!$A:$B, 2, FALSE)</f>
        <v>Acre</v>
      </c>
      <c r="C276" s="3">
        <v>82003</v>
      </c>
      <c r="D276" s="5" t="str">
        <f>VLOOKUP(C276, 'DICIONÁRIO CNAES'!$A:$B, 2, FALSE)</f>
        <v>Atividades de organização de eventos, exceto culturais e esportivos</v>
      </c>
      <c r="E276" s="4">
        <v>388.79637177000001</v>
      </c>
      <c r="F276" s="4">
        <v>542152.73065899999</v>
      </c>
    </row>
    <row r="277" spans="1:6" x14ac:dyDescent="0.3">
      <c r="A277" s="3" t="s">
        <v>5</v>
      </c>
      <c r="B277" s="7" t="str">
        <f>VLOOKUP(VALUE(A277), 'DICIONÁRIO UF'!$A:$B, 2, FALSE)</f>
        <v>Acre</v>
      </c>
      <c r="C277" s="3">
        <v>82009</v>
      </c>
      <c r="D277" s="5" t="str">
        <f>VLOOKUP(C277, 'DICIONÁRIO CNAES'!$A:$B, 2, FALSE)</f>
        <v>Outras atividades de serviços prestados principalmente às empresas</v>
      </c>
      <c r="E277" s="4">
        <v>68.004179539999996</v>
      </c>
      <c r="F277" s="4">
        <v>54403.343631999996</v>
      </c>
    </row>
    <row r="278" spans="1:6" x14ac:dyDescent="0.3">
      <c r="A278" s="3" t="s">
        <v>5</v>
      </c>
      <c r="B278" s="7" t="str">
        <f>VLOOKUP(VALUE(A278), 'DICIONÁRIO UF'!$A:$B, 2, FALSE)</f>
        <v>Acre</v>
      </c>
      <c r="C278" s="3">
        <v>84011</v>
      </c>
      <c r="D278" s="5" t="str">
        <f>VLOOKUP(C278, 'DICIONÁRIO CNAES'!$A:$B, 2, FALSE)</f>
        <v>Administração publica e regulação da política econômica e social - Federal</v>
      </c>
      <c r="E278" s="4">
        <v>2056.4538734799999</v>
      </c>
      <c r="F278" s="4">
        <v>11021932.76933586</v>
      </c>
    </row>
    <row r="279" spans="1:6" x14ac:dyDescent="0.3">
      <c r="A279" s="3" t="s">
        <v>5</v>
      </c>
      <c r="B279" s="7" t="str">
        <f>VLOOKUP(VALUE(A279), 'DICIONÁRIO UF'!$A:$B, 2, FALSE)</f>
        <v>Acre</v>
      </c>
      <c r="C279" s="3">
        <v>84012</v>
      </c>
      <c r="D279" s="5" t="str">
        <f>VLOOKUP(C279, 'DICIONÁRIO CNAES'!$A:$B, 2, FALSE)</f>
        <v>Administração publica e regulação da política econômica e social - Estadual</v>
      </c>
      <c r="E279" s="4">
        <v>9395.8320782600003</v>
      </c>
      <c r="F279" s="4">
        <v>44252453.122336738</v>
      </c>
    </row>
    <row r="280" spans="1:6" x14ac:dyDescent="0.3">
      <c r="A280" s="3" t="s">
        <v>5</v>
      </c>
      <c r="B280" s="7" t="str">
        <f>VLOOKUP(VALUE(A280), 'DICIONÁRIO UF'!$A:$B, 2, FALSE)</f>
        <v>Acre</v>
      </c>
      <c r="C280" s="3">
        <v>84013</v>
      </c>
      <c r="D280" s="5" t="str">
        <f>VLOOKUP(C280, 'DICIONÁRIO CNAES'!$A:$B, 2, FALSE)</f>
        <v>Administração publica e regulação da política econômica e social - Municipal</v>
      </c>
      <c r="E280" s="4">
        <v>11756.94120564</v>
      </c>
      <c r="F280" s="4">
        <v>27710823.6119802</v>
      </c>
    </row>
    <row r="281" spans="1:6" x14ac:dyDescent="0.3">
      <c r="A281" s="3" t="s">
        <v>5</v>
      </c>
      <c r="B281" s="7" t="str">
        <f>VLOOKUP(VALUE(A281), 'DICIONÁRIO UF'!$A:$B, 2, FALSE)</f>
        <v>Acre</v>
      </c>
      <c r="C281" s="3">
        <v>84014</v>
      </c>
      <c r="D281" s="5" t="str">
        <f>VLOOKUP(C281, 'DICIONÁRIO CNAES'!$A:$B, 2, FALSE)</f>
        <v>Defesa</v>
      </c>
      <c r="E281" s="4">
        <v>1498.3464455799999</v>
      </c>
      <c r="F281" s="4">
        <v>3555191.560267</v>
      </c>
    </row>
    <row r="282" spans="1:6" x14ac:dyDescent="0.3">
      <c r="A282" s="3" t="s">
        <v>5</v>
      </c>
      <c r="B282" s="7" t="str">
        <f>VLOOKUP(VALUE(A282), 'DICIONÁRIO UF'!$A:$B, 2, FALSE)</f>
        <v>Acre</v>
      </c>
      <c r="C282" s="3">
        <v>84015</v>
      </c>
      <c r="D282" s="5" t="str">
        <f>VLOOKUP(C282, 'DICIONÁRIO CNAES'!$A:$B, 2, FALSE)</f>
        <v>Outros serviços coletivos prestados pela administração pública - Federal</v>
      </c>
      <c r="E282" s="4">
        <v>355.18159616000003</v>
      </c>
      <c r="F282" s="4">
        <v>3870739.6755300001</v>
      </c>
    </row>
    <row r="283" spans="1:6" x14ac:dyDescent="0.3">
      <c r="A283" s="3" t="s">
        <v>5</v>
      </c>
      <c r="B283" s="7" t="str">
        <f>VLOOKUP(VALUE(A283), 'DICIONÁRIO UF'!$A:$B, 2, FALSE)</f>
        <v>Acre</v>
      </c>
      <c r="C283" s="3">
        <v>84016</v>
      </c>
      <c r="D283" s="5" t="str">
        <f>VLOOKUP(C283, 'DICIONÁRIO CNAES'!$A:$B, 2, FALSE)</f>
        <v>Outros serviços coletivos prestados pela administração pública - Estadual</v>
      </c>
      <c r="E283" s="4">
        <v>9015.8765934099993</v>
      </c>
      <c r="F283" s="4">
        <v>61702879.214076243</v>
      </c>
    </row>
    <row r="284" spans="1:6" x14ac:dyDescent="0.3">
      <c r="A284" s="3" t="s">
        <v>5</v>
      </c>
      <c r="B284" s="7" t="str">
        <f>VLOOKUP(VALUE(A284), 'DICIONÁRIO UF'!$A:$B, 2, FALSE)</f>
        <v>Acre</v>
      </c>
      <c r="C284" s="3">
        <v>85011</v>
      </c>
      <c r="D284" s="5" t="str">
        <f>VLOOKUP(C284, 'DICIONÁRIO CNAES'!$A:$B, 2, FALSE)</f>
        <v>Creche</v>
      </c>
      <c r="E284" s="4">
        <v>1225.7758939800001</v>
      </c>
      <c r="F284" s="4">
        <v>4353186.8504090002</v>
      </c>
    </row>
    <row r="285" spans="1:6" x14ac:dyDescent="0.3">
      <c r="A285" s="3" t="s">
        <v>5</v>
      </c>
      <c r="B285" s="7" t="str">
        <f>VLOOKUP(VALUE(A285), 'DICIONÁRIO UF'!$A:$B, 2, FALSE)</f>
        <v>Acre</v>
      </c>
      <c r="C285" s="3">
        <v>85012</v>
      </c>
      <c r="D285" s="5" t="str">
        <f>VLOOKUP(C285, 'DICIONÁRIO CNAES'!$A:$B, 2, FALSE)</f>
        <v>Pré-escola e ensino fundamental</v>
      </c>
      <c r="E285" s="4">
        <v>14045.11540182</v>
      </c>
      <c r="F285" s="4">
        <v>39250325.477340341</v>
      </c>
    </row>
    <row r="286" spans="1:6" x14ac:dyDescent="0.3">
      <c r="A286" s="3" t="s">
        <v>5</v>
      </c>
      <c r="B286" s="7" t="str">
        <f>VLOOKUP(VALUE(A286), 'DICIONÁRIO UF'!$A:$B, 2, FALSE)</f>
        <v>Acre</v>
      </c>
      <c r="C286" s="3">
        <v>85013</v>
      </c>
      <c r="D286" s="5" t="str">
        <f>VLOOKUP(C286, 'DICIONÁRIO CNAES'!$A:$B, 2, FALSE)</f>
        <v>Ensino médio</v>
      </c>
      <c r="E286" s="4">
        <v>7386.2669020900003</v>
      </c>
      <c r="F286" s="4">
        <v>25290091.88542112</v>
      </c>
    </row>
    <row r="287" spans="1:6" x14ac:dyDescent="0.3">
      <c r="A287" s="3" t="s">
        <v>5</v>
      </c>
      <c r="B287" s="7" t="str">
        <f>VLOOKUP(VALUE(A287), 'DICIONÁRIO UF'!$A:$B, 2, FALSE)</f>
        <v>Acre</v>
      </c>
      <c r="C287" s="3">
        <v>85014</v>
      </c>
      <c r="D287" s="5" t="str">
        <f>VLOOKUP(C287, 'DICIONÁRIO CNAES'!$A:$B, 2, FALSE)</f>
        <v>Educação superior</v>
      </c>
      <c r="E287" s="4">
        <v>2171.0906056700001</v>
      </c>
      <c r="F287" s="4">
        <v>8538167.3097200003</v>
      </c>
    </row>
    <row r="288" spans="1:6" x14ac:dyDescent="0.3">
      <c r="A288" s="3" t="s">
        <v>5</v>
      </c>
      <c r="B288" s="7" t="str">
        <f>VLOOKUP(VALUE(A288), 'DICIONÁRIO UF'!$A:$B, 2, FALSE)</f>
        <v>Acre</v>
      </c>
      <c r="C288" s="3">
        <v>85029</v>
      </c>
      <c r="D288" s="5" t="str">
        <f>VLOOKUP(C288, 'DICIONÁRIO CNAES'!$A:$B, 2, FALSE)</f>
        <v>Outras atividades de ensino</v>
      </c>
      <c r="E288" s="4">
        <v>1666.3422952599999</v>
      </c>
      <c r="F288" s="4">
        <v>2466797.2503444501</v>
      </c>
    </row>
    <row r="289" spans="1:6" x14ac:dyDescent="0.3">
      <c r="A289" s="3" t="s">
        <v>5</v>
      </c>
      <c r="B289" s="7" t="str">
        <f>VLOOKUP(VALUE(A289), 'DICIONÁRIO UF'!$A:$B, 2, FALSE)</f>
        <v>Acre</v>
      </c>
      <c r="C289" s="3">
        <v>86001</v>
      </c>
      <c r="D289" s="5" t="str">
        <f>VLOOKUP(C289, 'DICIONÁRIO CNAES'!$A:$B, 2, FALSE)</f>
        <v>Atividades de atendimento hospitalar</v>
      </c>
      <c r="E289" s="4">
        <v>7229.1834299800003</v>
      </c>
      <c r="F289" s="4">
        <v>27564441.38305112</v>
      </c>
    </row>
    <row r="290" spans="1:6" x14ac:dyDescent="0.3">
      <c r="A290" s="3" t="s">
        <v>5</v>
      </c>
      <c r="B290" s="7" t="str">
        <f>VLOOKUP(VALUE(A290), 'DICIONÁRIO UF'!$A:$B, 2, FALSE)</f>
        <v>Acre</v>
      </c>
      <c r="C290" s="3">
        <v>86002</v>
      </c>
      <c r="D290" s="5" t="str">
        <f>VLOOKUP(C290, 'DICIONÁRIO CNAES'!$A:$B, 2, FALSE)</f>
        <v>Atividades de atenção ambulatorial executadas por médicos e odontólogos</v>
      </c>
      <c r="E290" s="4">
        <v>6148.0512292599997</v>
      </c>
      <c r="F290" s="4">
        <v>13054095.2635761</v>
      </c>
    </row>
    <row r="291" spans="1:6" x14ac:dyDescent="0.3">
      <c r="A291" s="3" t="s">
        <v>5</v>
      </c>
      <c r="B291" s="7" t="str">
        <f>VLOOKUP(VALUE(A291), 'DICIONÁRIO UF'!$A:$B, 2, FALSE)</f>
        <v>Acre</v>
      </c>
      <c r="C291" s="3">
        <v>86003</v>
      </c>
      <c r="D291" s="5" t="str">
        <f>VLOOKUP(C291, 'DICIONÁRIO CNAES'!$A:$B, 2, FALSE)</f>
        <v>Atividades de serviços de complementação diagnóstica e terapêutica</v>
      </c>
      <c r="E291" s="4">
        <v>426.58641096999997</v>
      </c>
      <c r="F291" s="4">
        <v>751343.9741315</v>
      </c>
    </row>
    <row r="292" spans="1:6" x14ac:dyDescent="0.3">
      <c r="A292" s="3" t="s">
        <v>5</v>
      </c>
      <c r="B292" s="7" t="str">
        <f>VLOOKUP(VALUE(A292), 'DICIONÁRIO UF'!$A:$B, 2, FALSE)</f>
        <v>Acre</v>
      </c>
      <c r="C292" s="3">
        <v>86004</v>
      </c>
      <c r="D292" s="5" t="str">
        <f>VLOOKUP(C292, 'DICIONÁRIO CNAES'!$A:$B, 2, FALSE)</f>
        <v>Atividades de profissionais da área de saúde, exceto médicos e odontólogos</v>
      </c>
      <c r="E292" s="4">
        <v>603.27243974999999</v>
      </c>
      <c r="F292" s="4">
        <v>1125948.44669761</v>
      </c>
    </row>
    <row r="293" spans="1:6" x14ac:dyDescent="0.3">
      <c r="A293" s="3" t="s">
        <v>5</v>
      </c>
      <c r="B293" s="7" t="str">
        <f>VLOOKUP(VALUE(A293), 'DICIONÁRIO UF'!$A:$B, 2, FALSE)</f>
        <v>Acre</v>
      </c>
      <c r="C293" s="3">
        <v>86009</v>
      </c>
      <c r="D293" s="5" t="str">
        <f>VLOOKUP(C293, 'DICIONÁRIO CNAES'!$A:$B, 2, FALSE)</f>
        <v>Atividades de atenção à saúde humana não especificadas anteriormente</v>
      </c>
      <c r="E293" s="4">
        <v>59.63468804</v>
      </c>
      <c r="F293" s="4">
        <v>536712.19235999999</v>
      </c>
    </row>
    <row r="294" spans="1:6" x14ac:dyDescent="0.3">
      <c r="A294" s="3" t="s">
        <v>5</v>
      </c>
      <c r="B294" s="7" t="str">
        <f>VLOOKUP(VALUE(A294), 'DICIONÁRIO UF'!$A:$B, 2, FALSE)</f>
        <v>Acre</v>
      </c>
      <c r="C294" s="3">
        <v>87000</v>
      </c>
      <c r="D294" s="5" t="str">
        <f>VLOOKUP(C294, 'DICIONÁRIO CNAES'!$A:$B, 2, FALSE)</f>
        <v>Atividades de assistência à saude humana integradas com assistencia social, inclusive prestadas em residencias</v>
      </c>
      <c r="E294" s="4">
        <v>1406.1952219499999</v>
      </c>
      <c r="F294" s="4">
        <v>3138931.7784767002</v>
      </c>
    </row>
    <row r="295" spans="1:6" x14ac:dyDescent="0.3">
      <c r="A295" s="3" t="s">
        <v>5</v>
      </c>
      <c r="B295" s="7" t="str">
        <f>VLOOKUP(VALUE(A295), 'DICIONÁRIO UF'!$A:$B, 2, FALSE)</f>
        <v>Acre</v>
      </c>
      <c r="C295" s="3">
        <v>88000</v>
      </c>
      <c r="D295" s="5" t="str">
        <f>VLOOKUP(C295, 'DICIONÁRIO CNAES'!$A:$B, 2, FALSE)</f>
        <v>Serviços de assistência social sem alojamento</v>
      </c>
      <c r="E295" s="4">
        <v>177.49983634</v>
      </c>
      <c r="F295" s="4">
        <v>310624.71359499998</v>
      </c>
    </row>
    <row r="296" spans="1:6" x14ac:dyDescent="0.3">
      <c r="A296" s="3" t="s">
        <v>5</v>
      </c>
      <c r="B296" s="7" t="str">
        <f>VLOOKUP(VALUE(A296), 'DICIONÁRIO UF'!$A:$B, 2, FALSE)</f>
        <v>Acre</v>
      </c>
      <c r="C296" s="3">
        <v>90000</v>
      </c>
      <c r="D296" s="5" t="str">
        <f>VLOOKUP(C296, 'DICIONÁRIO CNAES'!$A:$B, 2, FALSE)</f>
        <v>Atividades artísticas, criativas e de espetáculos</v>
      </c>
      <c r="E296" s="4">
        <v>241.61832663000001</v>
      </c>
      <c r="F296" s="4">
        <v>264556.08960800001</v>
      </c>
    </row>
    <row r="297" spans="1:6" x14ac:dyDescent="0.3">
      <c r="A297" s="3" t="s">
        <v>5</v>
      </c>
      <c r="B297" s="7" t="str">
        <f>VLOOKUP(VALUE(A297), 'DICIONÁRIO UF'!$A:$B, 2, FALSE)</f>
        <v>Acre</v>
      </c>
      <c r="C297" s="3">
        <v>91000</v>
      </c>
      <c r="D297" s="5" t="str">
        <f>VLOOKUP(C297, 'DICIONÁRIO CNAES'!$A:$B, 2, FALSE)</f>
        <v>Atividades ligadas ao patrimônio cultural e ambiental</v>
      </c>
      <c r="E297" s="4">
        <v>125.62953118999999</v>
      </c>
      <c r="F297" s="4">
        <v>628147.65594999993</v>
      </c>
    </row>
    <row r="298" spans="1:6" x14ac:dyDescent="0.3">
      <c r="A298" s="3" t="s">
        <v>5</v>
      </c>
      <c r="B298" s="7" t="str">
        <f>VLOOKUP(VALUE(A298), 'DICIONÁRIO UF'!$A:$B, 2, FALSE)</f>
        <v>Acre</v>
      </c>
      <c r="C298" s="3">
        <v>92000</v>
      </c>
      <c r="D298" s="5" t="str">
        <f>VLOOKUP(C298, 'DICIONÁRIO CNAES'!$A:$B, 2, FALSE)</f>
        <v>Atividades de exploração de jogos de azar e apostas</v>
      </c>
      <c r="E298" s="4">
        <v>957.14537594000001</v>
      </c>
      <c r="F298" s="4">
        <v>2273986.2715810002</v>
      </c>
    </row>
    <row r="299" spans="1:6" x14ac:dyDescent="0.3">
      <c r="A299" s="3" t="s">
        <v>5</v>
      </c>
      <c r="B299" s="7" t="str">
        <f>VLOOKUP(VALUE(A299), 'DICIONÁRIO UF'!$A:$B, 2, FALSE)</f>
        <v>Acre</v>
      </c>
      <c r="C299" s="3">
        <v>93012</v>
      </c>
      <c r="D299" s="5" t="str">
        <f>VLOOKUP(C299, 'DICIONÁRIO CNAES'!$A:$B, 2, FALSE)</f>
        <v>Atividades de condicionamento físico</v>
      </c>
      <c r="E299" s="4">
        <v>1087.5673052100001</v>
      </c>
      <c r="F299" s="4">
        <v>2354936.603683</v>
      </c>
    </row>
    <row r="300" spans="1:6" x14ac:dyDescent="0.3">
      <c r="A300" s="3" t="s">
        <v>5</v>
      </c>
      <c r="B300" s="7" t="str">
        <f>VLOOKUP(VALUE(A300), 'DICIONÁRIO UF'!$A:$B, 2, FALSE)</f>
        <v>Acre</v>
      </c>
      <c r="C300" s="3">
        <v>94010</v>
      </c>
      <c r="D300" s="5" t="str">
        <f>VLOOKUP(C300, 'DICIONÁRIO CNAES'!$A:$B, 2, FALSE)</f>
        <v>Atividades de organizações associativas patronais, empresariais e profissionais</v>
      </c>
      <c r="E300" s="4">
        <v>58.76213104</v>
      </c>
      <c r="F300" s="4">
        <v>64638.344144000002</v>
      </c>
    </row>
    <row r="301" spans="1:6" x14ac:dyDescent="0.3">
      <c r="A301" s="3" t="s">
        <v>5</v>
      </c>
      <c r="B301" s="7" t="str">
        <f>VLOOKUP(VALUE(A301), 'DICIONÁRIO UF'!$A:$B, 2, FALSE)</f>
        <v>Acre</v>
      </c>
      <c r="C301" s="3">
        <v>94091</v>
      </c>
      <c r="D301" s="5" t="str">
        <f>VLOOKUP(C301, 'DICIONÁRIO CNAES'!$A:$B, 2, FALSE)</f>
        <v>Atividades de organizações religiosas e filosóficas</v>
      </c>
      <c r="E301" s="4">
        <v>1753.4142675400001</v>
      </c>
      <c r="F301" s="4">
        <v>4107803.804614</v>
      </c>
    </row>
    <row r="302" spans="1:6" x14ac:dyDescent="0.3">
      <c r="A302" s="3" t="s">
        <v>5</v>
      </c>
      <c r="B302" s="7" t="str">
        <f>VLOOKUP(VALUE(A302), 'DICIONÁRIO UF'!$A:$B, 2, FALSE)</f>
        <v>Acre</v>
      </c>
      <c r="C302" s="3">
        <v>94099</v>
      </c>
      <c r="D302" s="5" t="str">
        <f>VLOOKUP(C302, 'DICIONÁRIO CNAES'!$A:$B, 2, FALSE)</f>
        <v xml:space="preserve">Outras atividades associativas não especificadas anteriormente </v>
      </c>
      <c r="E302" s="4">
        <v>134.75375980000001</v>
      </c>
      <c r="F302" s="4">
        <v>161704.51175999999</v>
      </c>
    </row>
    <row r="303" spans="1:6" x14ac:dyDescent="0.3">
      <c r="A303" s="3" t="s">
        <v>5</v>
      </c>
      <c r="B303" s="7" t="str">
        <f>VLOOKUP(VALUE(A303), 'DICIONÁRIO UF'!$A:$B, 2, FALSE)</f>
        <v>Acre</v>
      </c>
      <c r="C303" s="3">
        <v>95010</v>
      </c>
      <c r="D303" s="5" t="str">
        <f>VLOOKUP(C303, 'DICIONÁRIO CNAES'!$A:$B, 2, FALSE)</f>
        <v>Reparação e manutenção de equipamentos de informática e comunicação</v>
      </c>
      <c r="E303" s="4">
        <v>900.74384716999998</v>
      </c>
      <c r="F303" s="4">
        <v>1770383.978716</v>
      </c>
    </row>
    <row r="304" spans="1:6" x14ac:dyDescent="0.3">
      <c r="A304" s="3" t="s">
        <v>5</v>
      </c>
      <c r="B304" s="7" t="str">
        <f>VLOOKUP(VALUE(A304), 'DICIONÁRIO UF'!$A:$B, 2, FALSE)</f>
        <v>Acre</v>
      </c>
      <c r="C304" s="3">
        <v>95030</v>
      </c>
      <c r="D304" s="5" t="str">
        <f>VLOOKUP(C304, 'DICIONÁRIO CNAES'!$A:$B, 2, FALSE)</f>
        <v>Reparação e manutenção de objetos e equipamentos pessoais e domésticos</v>
      </c>
      <c r="E304" s="4">
        <v>912.62613730999999</v>
      </c>
      <c r="F304" s="4">
        <v>1291313.3360915</v>
      </c>
    </row>
    <row r="305" spans="1:6" x14ac:dyDescent="0.3">
      <c r="A305" s="3" t="s">
        <v>5</v>
      </c>
      <c r="B305" s="7" t="str">
        <f>VLOOKUP(VALUE(A305), 'DICIONÁRIO UF'!$A:$B, 2, FALSE)</f>
        <v>Acre</v>
      </c>
      <c r="C305" s="3">
        <v>96010</v>
      </c>
      <c r="D305" s="5" t="str">
        <f>VLOOKUP(C305, 'DICIONÁRIO CNAES'!$A:$B, 2, FALSE)</f>
        <v>Lavanderias, tinturarias e toalheiros</v>
      </c>
      <c r="E305" s="4">
        <v>53.057415409999997</v>
      </c>
      <c r="F305" s="4">
        <v>58363.156950999997</v>
      </c>
    </row>
    <row r="306" spans="1:6" x14ac:dyDescent="0.3">
      <c r="A306" s="3" t="s">
        <v>5</v>
      </c>
      <c r="B306" s="7" t="str">
        <f>VLOOKUP(VALUE(A306), 'DICIONÁRIO UF'!$A:$B, 2, FALSE)</f>
        <v>Acre</v>
      </c>
      <c r="C306" s="3">
        <v>96020</v>
      </c>
      <c r="D306" s="5" t="str">
        <f>VLOOKUP(C306, 'DICIONÁRIO CNAES'!$A:$B, 2, FALSE)</f>
        <v>Cabeleireiros e outras atividades de tratamento de beleza</v>
      </c>
      <c r="E306" s="4">
        <v>5624.6250664700001</v>
      </c>
      <c r="F306" s="4">
        <v>7070643.3302012496</v>
      </c>
    </row>
    <row r="307" spans="1:6" x14ac:dyDescent="0.3">
      <c r="A307" s="3" t="s">
        <v>5</v>
      </c>
      <c r="B307" s="7" t="str">
        <f>VLOOKUP(VALUE(A307), 'DICIONÁRIO UF'!$A:$B, 2, FALSE)</f>
        <v>Acre</v>
      </c>
      <c r="C307" s="3">
        <v>96030</v>
      </c>
      <c r="D307" s="5" t="str">
        <f>VLOOKUP(C307, 'DICIONÁRIO CNAES'!$A:$B, 2, FALSE)</f>
        <v xml:space="preserve">Atividades funerárias e serviços relacionados </v>
      </c>
      <c r="E307" s="4">
        <v>85.55521014</v>
      </c>
      <c r="F307" s="4">
        <v>102666.25216800001</v>
      </c>
    </row>
    <row r="308" spans="1:6" x14ac:dyDescent="0.3">
      <c r="A308" s="3" t="s">
        <v>5</v>
      </c>
      <c r="B308" s="7" t="str">
        <f>VLOOKUP(VALUE(A308), 'DICIONÁRIO UF'!$A:$B, 2, FALSE)</f>
        <v>Acre</v>
      </c>
      <c r="C308" s="3">
        <v>96090</v>
      </c>
      <c r="D308" s="5" t="str">
        <f>VLOOKUP(C308, 'DICIONÁRIO CNAES'!$A:$B, 2, FALSE)</f>
        <v>Outras atividades de serviços pessoais</v>
      </c>
      <c r="E308" s="4">
        <v>1071.7211205200001</v>
      </c>
      <c r="F308" s="4">
        <v>1863246.5537439999</v>
      </c>
    </row>
    <row r="309" spans="1:6" x14ac:dyDescent="0.3">
      <c r="A309" s="3" t="s">
        <v>5</v>
      </c>
      <c r="B309" s="7" t="str">
        <f>VLOOKUP(VALUE(A309), 'DICIONÁRIO UF'!$A:$B, 2, FALSE)</f>
        <v>Acre</v>
      </c>
      <c r="C309" s="3">
        <v>97000</v>
      </c>
      <c r="D309" s="5" t="str">
        <f>VLOOKUP(C309, 'DICIONÁRIO CNAES'!$A:$B, 2, FALSE)</f>
        <v>Serviços domésticos</v>
      </c>
      <c r="E309" s="4">
        <v>19867.88448479</v>
      </c>
      <c r="F309" s="4">
        <v>15841067.124852</v>
      </c>
    </row>
    <row r="310" spans="1:6" x14ac:dyDescent="0.3">
      <c r="A310" s="3" t="s">
        <v>6</v>
      </c>
      <c r="B310" s="7" t="str">
        <f>VLOOKUP(VALUE(A310), 'DICIONÁRIO UF'!$A:$B, 2, FALSE)</f>
        <v>Amazonas</v>
      </c>
      <c r="C310" s="3">
        <v>1102</v>
      </c>
      <c r="D310" s="5" t="str">
        <f>VLOOKUP(C310, 'DICIONÁRIO CNAES'!$A:$B, 2, FALSE)</f>
        <v>Cultivo de milho</v>
      </c>
      <c r="E310" s="4">
        <v>3414.6315502399998</v>
      </c>
      <c r="F310" s="4">
        <v>1490603.0267507399</v>
      </c>
    </row>
    <row r="311" spans="1:6" x14ac:dyDescent="0.3">
      <c r="A311" s="3" t="s">
        <v>6</v>
      </c>
      <c r="B311" s="7" t="str">
        <f>VLOOKUP(VALUE(A311), 'DICIONÁRIO UF'!$A:$B, 2, FALSE)</f>
        <v>Amazonas</v>
      </c>
      <c r="C311" s="3">
        <v>1105</v>
      </c>
      <c r="D311" s="5" t="str">
        <f>VLOOKUP(C311, 'DICIONÁRIO CNAES'!$A:$B, 2, FALSE)</f>
        <v>Cultivo de cana-de-açúcar</v>
      </c>
      <c r="E311" s="4">
        <v>1530.1379168000001</v>
      </c>
      <c r="F311" s="4">
        <v>2165891.198074</v>
      </c>
    </row>
    <row r="312" spans="1:6" x14ac:dyDescent="0.3">
      <c r="A312" s="3" t="s">
        <v>6</v>
      </c>
      <c r="B312" s="7" t="str">
        <f>VLOOKUP(VALUE(A312), 'DICIONÁRIO UF'!$A:$B, 2, FALSE)</f>
        <v>Amazonas</v>
      </c>
      <c r="C312" s="3">
        <v>1107</v>
      </c>
      <c r="D312" s="5" t="str">
        <f>VLOOKUP(C312, 'DICIONÁRIO CNAES'!$A:$B, 2, FALSE)</f>
        <v>Cultivo de soja</v>
      </c>
      <c r="E312" s="4">
        <v>367.52611049000001</v>
      </c>
      <c r="F312" s="4">
        <v>918815.27622500004</v>
      </c>
    </row>
    <row r="313" spans="1:6" x14ac:dyDescent="0.3">
      <c r="A313" s="3" t="s">
        <v>6</v>
      </c>
      <c r="B313" s="7" t="str">
        <f>VLOOKUP(VALUE(A313), 'DICIONÁRIO UF'!$A:$B, 2, FALSE)</f>
        <v>Amazonas</v>
      </c>
      <c r="C313" s="3">
        <v>1108</v>
      </c>
      <c r="D313" s="5" t="str">
        <f>VLOOKUP(C313, 'DICIONÁRIO CNAES'!$A:$B, 2, FALSE)</f>
        <v>Cultivo de mandioca</v>
      </c>
      <c r="E313" s="4">
        <v>120862.26054851001</v>
      </c>
      <c r="F313" s="4">
        <v>52763331.435584612</v>
      </c>
    </row>
    <row r="314" spans="1:6" x14ac:dyDescent="0.3">
      <c r="A314" s="3" t="s">
        <v>6</v>
      </c>
      <c r="B314" s="7" t="str">
        <f>VLOOKUP(VALUE(A314), 'DICIONÁRIO UF'!$A:$B, 2, FALSE)</f>
        <v>Amazonas</v>
      </c>
      <c r="C314" s="3">
        <v>1109</v>
      </c>
      <c r="D314" s="5" t="str">
        <f>VLOOKUP(C314, 'DICIONÁRIO CNAES'!$A:$B, 2, FALSE)</f>
        <v>Cultivo de outras lavouras temporárias não especificadas anteriormente</v>
      </c>
      <c r="E314" s="4">
        <v>20038.600331059999</v>
      </c>
      <c r="F314" s="4">
        <v>4620367.3865264403</v>
      </c>
    </row>
    <row r="315" spans="1:6" x14ac:dyDescent="0.3">
      <c r="A315" s="3" t="s">
        <v>6</v>
      </c>
      <c r="B315" s="7" t="str">
        <f>VLOOKUP(VALUE(A315), 'DICIONÁRIO UF'!$A:$B, 2, FALSE)</f>
        <v>Amazonas</v>
      </c>
      <c r="C315" s="3">
        <v>1110</v>
      </c>
      <c r="D315" s="5" t="str">
        <f>VLOOKUP(C315, 'DICIONÁRIO CNAES'!$A:$B, 2, FALSE)</f>
        <v>Horticultura</v>
      </c>
      <c r="E315" s="4">
        <v>14902.297398770001</v>
      </c>
      <c r="F315" s="4">
        <v>8722037.9200564995</v>
      </c>
    </row>
    <row r="316" spans="1:6" x14ac:dyDescent="0.3">
      <c r="A316" s="3" t="s">
        <v>6</v>
      </c>
      <c r="B316" s="7" t="str">
        <f>VLOOKUP(VALUE(A316), 'DICIONÁRIO UF'!$A:$B, 2, FALSE)</f>
        <v>Amazonas</v>
      </c>
      <c r="C316" s="3">
        <v>1112</v>
      </c>
      <c r="D316" s="5" t="str">
        <f>VLOOKUP(C316, 'DICIONÁRIO CNAES'!$A:$B, 2, FALSE)</f>
        <v>Cultivo de frutas cítricas</v>
      </c>
      <c r="E316" s="4">
        <v>908.38025450999999</v>
      </c>
      <c r="F316" s="4">
        <v>518444.76709200011</v>
      </c>
    </row>
    <row r="317" spans="1:6" x14ac:dyDescent="0.3">
      <c r="A317" s="3" t="s">
        <v>6</v>
      </c>
      <c r="B317" s="7" t="str">
        <f>VLOOKUP(VALUE(A317), 'DICIONÁRIO UF'!$A:$B, 2, FALSE)</f>
        <v>Amazonas</v>
      </c>
      <c r="C317" s="3">
        <v>1114</v>
      </c>
      <c r="D317" s="5" t="str">
        <f>VLOOKUP(C317, 'DICIONÁRIO CNAES'!$A:$B, 2, FALSE)</f>
        <v>Cultivo de cacau</v>
      </c>
      <c r="E317" s="4">
        <v>1009.83407119</v>
      </c>
      <c r="F317" s="4">
        <v>267256.025952</v>
      </c>
    </row>
    <row r="318" spans="1:6" x14ac:dyDescent="0.3">
      <c r="A318" s="3" t="s">
        <v>6</v>
      </c>
      <c r="B318" s="7" t="str">
        <f>VLOOKUP(VALUE(A318), 'DICIONÁRIO UF'!$A:$B, 2, FALSE)</f>
        <v>Amazonas</v>
      </c>
      <c r="C318" s="3">
        <v>1116</v>
      </c>
      <c r="D318" s="5" t="str">
        <f>VLOOKUP(C318, 'DICIONÁRIO CNAES'!$A:$B, 2, FALSE)</f>
        <v>Cultivo de banana</v>
      </c>
      <c r="E318" s="4">
        <v>23773.739166439998</v>
      </c>
      <c r="F318" s="4">
        <v>7109672.4877364999</v>
      </c>
    </row>
    <row r="319" spans="1:6" x14ac:dyDescent="0.3">
      <c r="A319" s="3" t="s">
        <v>6</v>
      </c>
      <c r="B319" s="7" t="str">
        <f>VLOOKUP(VALUE(A319), 'DICIONÁRIO UF'!$A:$B, 2, FALSE)</f>
        <v>Amazonas</v>
      </c>
      <c r="C319" s="3">
        <v>1117</v>
      </c>
      <c r="D319" s="5" t="str">
        <f>VLOOKUP(C319, 'DICIONÁRIO CNAES'!$A:$B, 2, FALSE)</f>
        <v>Cultivo de outras plantas e frutas de lavoura permanente não especificadas anteriormente</v>
      </c>
      <c r="E319" s="4">
        <v>11166.088231469999</v>
      </c>
      <c r="F319" s="4">
        <v>4710853.4757469986</v>
      </c>
    </row>
    <row r="320" spans="1:6" x14ac:dyDescent="0.3">
      <c r="A320" s="3" t="s">
        <v>6</v>
      </c>
      <c r="B320" s="7" t="str">
        <f>VLOOKUP(VALUE(A320), 'DICIONÁRIO UF'!$A:$B, 2, FALSE)</f>
        <v>Amazonas</v>
      </c>
      <c r="C320" s="3">
        <v>1119</v>
      </c>
      <c r="D320" s="5" t="str">
        <f>VLOOKUP(C320, 'DICIONÁRIO CNAES'!$A:$B, 2, FALSE)</f>
        <v>Lavoura não especificada</v>
      </c>
      <c r="E320" s="4">
        <v>1889.94820736</v>
      </c>
      <c r="F320" s="4">
        <v>1869973.45456</v>
      </c>
    </row>
    <row r="321" spans="1:6" x14ac:dyDescent="0.3">
      <c r="A321" s="3" t="s">
        <v>6</v>
      </c>
      <c r="B321" s="7" t="str">
        <f>VLOOKUP(VALUE(A321), 'DICIONÁRIO UF'!$A:$B, 2, FALSE)</f>
        <v>Amazonas</v>
      </c>
      <c r="C321" s="3">
        <v>1201</v>
      </c>
      <c r="D321" s="5" t="str">
        <f>VLOOKUP(C321, 'DICIONÁRIO CNAES'!$A:$B, 2, FALSE)</f>
        <v>Criação de bovinos</v>
      </c>
      <c r="E321" s="4">
        <v>10797.00750519</v>
      </c>
      <c r="F321" s="4">
        <v>11118082.635100501</v>
      </c>
    </row>
    <row r="322" spans="1:6" x14ac:dyDescent="0.3">
      <c r="A322" s="3" t="s">
        <v>6</v>
      </c>
      <c r="B322" s="7" t="str">
        <f>VLOOKUP(VALUE(A322), 'DICIONÁRIO UF'!$A:$B, 2, FALSE)</f>
        <v>Amazonas</v>
      </c>
      <c r="C322" s="3">
        <v>1202</v>
      </c>
      <c r="D322" s="5" t="str">
        <f>VLOOKUP(C322, 'DICIONÁRIO CNAES'!$A:$B, 2, FALSE)</f>
        <v>Criação de outros animais de grande porte não especificados anteriormente</v>
      </c>
      <c r="E322" s="4">
        <v>439.66330957000002</v>
      </c>
      <c r="F322" s="4">
        <v>439663.30956999998</v>
      </c>
    </row>
    <row r="323" spans="1:6" x14ac:dyDescent="0.3">
      <c r="A323" s="3" t="s">
        <v>6</v>
      </c>
      <c r="B323" s="7" t="str">
        <f>VLOOKUP(VALUE(A323), 'DICIONÁRIO UF'!$A:$B, 2, FALSE)</f>
        <v>Amazonas</v>
      </c>
      <c r="C323" s="3">
        <v>1204</v>
      </c>
      <c r="D323" s="5" t="str">
        <f>VLOOKUP(C323, 'DICIONÁRIO CNAES'!$A:$B, 2, FALSE)</f>
        <v>Criação de suínos</v>
      </c>
      <c r="E323" s="4">
        <v>234.82495391</v>
      </c>
      <c r="F323" s="4">
        <v>117412.47695500001</v>
      </c>
    </row>
    <row r="324" spans="1:6" x14ac:dyDescent="0.3">
      <c r="A324" s="3" t="s">
        <v>6</v>
      </c>
      <c r="B324" s="7" t="str">
        <f>VLOOKUP(VALUE(A324), 'DICIONÁRIO UF'!$A:$B, 2, FALSE)</f>
        <v>Amazonas</v>
      </c>
      <c r="C324" s="3">
        <v>1205</v>
      </c>
      <c r="D324" s="5" t="str">
        <f>VLOOKUP(C324, 'DICIONÁRIO CNAES'!$A:$B, 2, FALSE)</f>
        <v>Criação de aves</v>
      </c>
      <c r="E324" s="4">
        <v>2635.61872279</v>
      </c>
      <c r="F324" s="4">
        <v>3618493.6173616</v>
      </c>
    </row>
    <row r="325" spans="1:6" x14ac:dyDescent="0.3">
      <c r="A325" s="3" t="s">
        <v>6</v>
      </c>
      <c r="B325" s="7" t="str">
        <f>VLOOKUP(VALUE(A325), 'DICIONÁRIO UF'!$A:$B, 2, FALSE)</f>
        <v>Amazonas</v>
      </c>
      <c r="C325" s="3">
        <v>1401</v>
      </c>
      <c r="D325" s="5" t="str">
        <f>VLOOKUP(C325, 'DICIONÁRIO CNAES'!$A:$B, 2, FALSE)</f>
        <v>Atividades de apoio à agricultura e pós-colheita</v>
      </c>
      <c r="E325" s="4">
        <v>3448.7589173000001</v>
      </c>
      <c r="F325" s="4">
        <v>1982791.0033731</v>
      </c>
    </row>
    <row r="326" spans="1:6" x14ac:dyDescent="0.3">
      <c r="A326" s="3" t="s">
        <v>6</v>
      </c>
      <c r="B326" s="7" t="str">
        <f>VLOOKUP(VALUE(A326), 'DICIONÁRIO UF'!$A:$B, 2, FALSE)</f>
        <v>Amazonas</v>
      </c>
      <c r="C326" s="3">
        <v>1402</v>
      </c>
      <c r="D326" s="5" t="str">
        <f>VLOOKUP(C326, 'DICIONÁRIO CNAES'!$A:$B, 2, FALSE)</f>
        <v xml:space="preserve">Atividades de apoio à pecuária </v>
      </c>
      <c r="E326" s="4">
        <v>1403.4877764299999</v>
      </c>
      <c r="F326" s="4">
        <v>1699784.7677962</v>
      </c>
    </row>
    <row r="327" spans="1:6" x14ac:dyDescent="0.3">
      <c r="A327" s="3" t="s">
        <v>6</v>
      </c>
      <c r="B327" s="7" t="str">
        <f>VLOOKUP(VALUE(A327), 'DICIONÁRIO UF'!$A:$B, 2, FALSE)</f>
        <v>Amazonas</v>
      </c>
      <c r="C327" s="3">
        <v>1500</v>
      </c>
      <c r="D327" s="5" t="str">
        <f>VLOOKUP(C327, 'DICIONÁRIO CNAES'!$A:$B, 2, FALSE)</f>
        <v>Caça e serviços relacionados</v>
      </c>
      <c r="E327" s="4">
        <v>45.388304660000003</v>
      </c>
      <c r="F327" s="4">
        <v>22694.152330000001</v>
      </c>
    </row>
    <row r="328" spans="1:6" x14ac:dyDescent="0.3">
      <c r="A328" s="3" t="s">
        <v>6</v>
      </c>
      <c r="B328" s="7" t="str">
        <f>VLOOKUP(VALUE(A328), 'DICIONÁRIO UF'!$A:$B, 2, FALSE)</f>
        <v>Amazonas</v>
      </c>
      <c r="C328" s="3">
        <v>2000</v>
      </c>
      <c r="D328" s="5" t="str">
        <f>VLOOKUP(C328, 'DICIONÁRIO CNAES'!$A:$B, 2, FALSE)</f>
        <v xml:space="preserve">Produção florestal </v>
      </c>
      <c r="E328" s="4">
        <v>9108.0350280399998</v>
      </c>
      <c r="F328" s="4">
        <v>10357799.176005481</v>
      </c>
    </row>
    <row r="329" spans="1:6" x14ac:dyDescent="0.3">
      <c r="A329" s="3" t="s">
        <v>6</v>
      </c>
      <c r="B329" s="7" t="str">
        <f>VLOOKUP(VALUE(A329), 'DICIONÁRIO UF'!$A:$B, 2, FALSE)</f>
        <v>Amazonas</v>
      </c>
      <c r="C329" s="3">
        <v>3001</v>
      </c>
      <c r="D329" s="5" t="str">
        <f>VLOOKUP(C329, 'DICIONÁRIO CNAES'!$A:$B, 2, FALSE)</f>
        <v>Pesca</v>
      </c>
      <c r="E329" s="4">
        <v>55384.025762509998</v>
      </c>
      <c r="F329" s="4">
        <v>30476842.74437134</v>
      </c>
    </row>
    <row r="330" spans="1:6" x14ac:dyDescent="0.3">
      <c r="A330" s="3" t="s">
        <v>6</v>
      </c>
      <c r="B330" s="7" t="str">
        <f>VLOOKUP(VALUE(A330), 'DICIONÁRIO UF'!$A:$B, 2, FALSE)</f>
        <v>Amazonas</v>
      </c>
      <c r="C330" s="3">
        <v>3002</v>
      </c>
      <c r="D330" s="5" t="str">
        <f>VLOOKUP(C330, 'DICIONÁRIO CNAES'!$A:$B, 2, FALSE)</f>
        <v>Aqüicultura</v>
      </c>
      <c r="E330" s="4">
        <v>381.66590036000002</v>
      </c>
      <c r="F330" s="4">
        <v>572498.85054000001</v>
      </c>
    </row>
    <row r="331" spans="1:6" x14ac:dyDescent="0.3">
      <c r="A331" s="3" t="s">
        <v>6</v>
      </c>
      <c r="B331" s="7" t="str">
        <f>VLOOKUP(VALUE(A331), 'DICIONÁRIO UF'!$A:$B, 2, FALSE)</f>
        <v>Amazonas</v>
      </c>
      <c r="C331" s="3">
        <v>6000</v>
      </c>
      <c r="D331" s="5" t="str">
        <f>VLOOKUP(C331, 'DICIONÁRIO CNAES'!$A:$B, 2, FALSE)</f>
        <v xml:space="preserve">Extração de petróleo e gás natural </v>
      </c>
      <c r="E331" s="4">
        <v>2718.8070526699998</v>
      </c>
      <c r="F331" s="4">
        <v>14634758.098518999</v>
      </c>
    </row>
    <row r="332" spans="1:6" x14ac:dyDescent="0.3">
      <c r="A332" s="3" t="s">
        <v>6</v>
      </c>
      <c r="B332" s="7" t="str">
        <f>VLOOKUP(VALUE(A332), 'DICIONÁRIO UF'!$A:$B, 2, FALSE)</f>
        <v>Amazonas</v>
      </c>
      <c r="C332" s="3">
        <v>7001</v>
      </c>
      <c r="D332" s="5" t="str">
        <f>VLOOKUP(C332, 'DICIONÁRIO CNAES'!$A:$B, 2, FALSE)</f>
        <v>Extração de minérios de metais preciosos</v>
      </c>
      <c r="E332" s="4">
        <v>4693.0848654499996</v>
      </c>
      <c r="F332" s="4">
        <v>9423412.3648610003</v>
      </c>
    </row>
    <row r="333" spans="1:6" x14ac:dyDescent="0.3">
      <c r="A333" s="3" t="s">
        <v>6</v>
      </c>
      <c r="B333" s="7" t="str">
        <f>VLOOKUP(VALUE(A333), 'DICIONÁRIO UF'!$A:$B, 2, FALSE)</f>
        <v>Amazonas</v>
      </c>
      <c r="C333" s="3">
        <v>7002</v>
      </c>
      <c r="D333" s="5" t="str">
        <f>VLOOKUP(C333, 'DICIONÁRIO CNAES'!$A:$B, 2, FALSE)</f>
        <v xml:space="preserve">Extração de minerais metálicos não especificados anteriormente </v>
      </c>
      <c r="E333" s="4">
        <v>1003.86316084</v>
      </c>
      <c r="F333" s="4">
        <v>2227208.2329699998</v>
      </c>
    </row>
    <row r="334" spans="1:6" x14ac:dyDescent="0.3">
      <c r="A334" s="3" t="s">
        <v>6</v>
      </c>
      <c r="B334" s="7" t="str">
        <f>VLOOKUP(VALUE(A334), 'DICIONÁRIO UF'!$A:$B, 2, FALSE)</f>
        <v>Amazonas</v>
      </c>
      <c r="C334" s="3">
        <v>10010</v>
      </c>
      <c r="D334" s="5" t="str">
        <f>VLOOKUP(C334, 'DICIONÁRIO CNAES'!$A:$B, 2, FALSE)</f>
        <v xml:space="preserve">Abate e fabricação de produtos de carne e pescado </v>
      </c>
      <c r="E334" s="4">
        <v>1789.1379432700001</v>
      </c>
      <c r="F334" s="4">
        <v>1891026.0565146001</v>
      </c>
    </row>
    <row r="335" spans="1:6" x14ac:dyDescent="0.3">
      <c r="A335" s="3" t="s">
        <v>6</v>
      </c>
      <c r="B335" s="7" t="str">
        <f>VLOOKUP(VALUE(A335), 'DICIONÁRIO UF'!$A:$B, 2, FALSE)</f>
        <v>Amazonas</v>
      </c>
      <c r="C335" s="3">
        <v>10030</v>
      </c>
      <c r="D335" s="5" t="str">
        <f>VLOOKUP(C335, 'DICIONÁRIO CNAES'!$A:$B, 2, FALSE)</f>
        <v>Laticínios</v>
      </c>
      <c r="E335" s="4">
        <v>2861.5578761900001</v>
      </c>
      <c r="F335" s="4">
        <v>1208854.1723235999</v>
      </c>
    </row>
    <row r="336" spans="1:6" x14ac:dyDescent="0.3">
      <c r="A336" s="3" t="s">
        <v>6</v>
      </c>
      <c r="B336" s="7" t="str">
        <f>VLOOKUP(VALUE(A336), 'DICIONÁRIO UF'!$A:$B, 2, FALSE)</f>
        <v>Amazonas</v>
      </c>
      <c r="C336" s="3">
        <v>10091</v>
      </c>
      <c r="D336" s="5" t="str">
        <f>VLOOKUP(C336, 'DICIONÁRIO CNAES'!$A:$B, 2, FALSE)</f>
        <v>Moagem, fabricação de produtos amiláceos e de alimentos para animais</v>
      </c>
      <c r="E336" s="4">
        <v>191.20483085000001</v>
      </c>
      <c r="F336" s="4">
        <v>1147228.9850999999</v>
      </c>
    </row>
    <row r="337" spans="1:6" x14ac:dyDescent="0.3">
      <c r="A337" s="3" t="s">
        <v>6</v>
      </c>
      <c r="B337" s="7" t="str">
        <f>VLOOKUP(VALUE(A337), 'DICIONÁRIO UF'!$A:$B, 2, FALSE)</f>
        <v>Amazonas</v>
      </c>
      <c r="C337" s="3">
        <v>10092</v>
      </c>
      <c r="D337" s="5" t="str">
        <f>VLOOKUP(C337, 'DICIONÁRIO CNAES'!$A:$B, 2, FALSE)</f>
        <v>Fabricação e refino do açúcar</v>
      </c>
      <c r="E337" s="4">
        <v>713.56377616000009</v>
      </c>
      <c r="F337" s="4">
        <v>856276.53139200003</v>
      </c>
    </row>
    <row r="338" spans="1:6" x14ac:dyDescent="0.3">
      <c r="A338" s="3" t="s">
        <v>6</v>
      </c>
      <c r="B338" s="7" t="str">
        <f>VLOOKUP(VALUE(A338), 'DICIONÁRIO UF'!$A:$B, 2, FALSE)</f>
        <v>Amazonas</v>
      </c>
      <c r="C338" s="3">
        <v>10093</v>
      </c>
      <c r="D338" s="5" t="str">
        <f>VLOOKUP(C338, 'DICIONÁRIO CNAES'!$A:$B, 2, FALSE)</f>
        <v>Torrefação e moagem de café</v>
      </c>
      <c r="E338" s="4">
        <v>197.37883488</v>
      </c>
      <c r="F338" s="4">
        <v>394757.66976000002</v>
      </c>
    </row>
    <row r="339" spans="1:6" x14ac:dyDescent="0.3">
      <c r="A339" s="3" t="s">
        <v>6</v>
      </c>
      <c r="B339" s="7" t="str">
        <f>VLOOKUP(VALUE(A339), 'DICIONÁRIO UF'!$A:$B, 2, FALSE)</f>
        <v>Amazonas</v>
      </c>
      <c r="C339" s="3">
        <v>10099</v>
      </c>
      <c r="D339" s="5" t="str">
        <f>VLOOKUP(C339, 'DICIONÁRIO CNAES'!$A:$B, 2, FALSE)</f>
        <v>Fabricação de outros produtos alimentícios</v>
      </c>
      <c r="E339" s="4">
        <v>1635.6778282499999</v>
      </c>
      <c r="F339" s="4">
        <v>1967013.085374</v>
      </c>
    </row>
    <row r="340" spans="1:6" x14ac:dyDescent="0.3">
      <c r="A340" s="3" t="s">
        <v>6</v>
      </c>
      <c r="B340" s="7" t="str">
        <f>VLOOKUP(VALUE(A340), 'DICIONÁRIO UF'!$A:$B, 2, FALSE)</f>
        <v>Amazonas</v>
      </c>
      <c r="C340" s="3">
        <v>11000</v>
      </c>
      <c r="D340" s="5" t="str">
        <f>VLOOKUP(C340, 'DICIONÁRIO CNAES'!$A:$B, 2, FALSE)</f>
        <v>Fabricação de bebidas</v>
      </c>
      <c r="E340" s="4">
        <v>3665.54586608</v>
      </c>
      <c r="F340" s="4">
        <v>10510431.709923999</v>
      </c>
    </row>
    <row r="341" spans="1:6" x14ac:dyDescent="0.3">
      <c r="A341" s="3" t="s">
        <v>6</v>
      </c>
      <c r="B341" s="7" t="str">
        <f>VLOOKUP(VALUE(A341), 'DICIONÁRIO UF'!$A:$B, 2, FALSE)</f>
        <v>Amazonas</v>
      </c>
      <c r="C341" s="3">
        <v>13001</v>
      </c>
      <c r="D341" s="5" t="str">
        <f>VLOOKUP(C341, 'DICIONÁRIO CNAES'!$A:$B, 2, FALSE)</f>
        <v>Preparação de fibras, fiação e tecelagem</v>
      </c>
      <c r="E341" s="4">
        <v>1108.1054659900001</v>
      </c>
      <c r="F341" s="4">
        <v>943353.91921600001</v>
      </c>
    </row>
    <row r="342" spans="1:6" x14ac:dyDescent="0.3">
      <c r="A342" s="3" t="s">
        <v>6</v>
      </c>
      <c r="B342" s="7" t="str">
        <f>VLOOKUP(VALUE(A342), 'DICIONÁRIO UF'!$A:$B, 2, FALSE)</f>
        <v>Amazonas</v>
      </c>
      <c r="C342" s="3">
        <v>13002</v>
      </c>
      <c r="D342" s="5" t="str">
        <f>VLOOKUP(C342, 'DICIONÁRIO CNAES'!$A:$B, 2, FALSE)</f>
        <v>Fabricação de artefatos têxteis, exceto vestuário</v>
      </c>
      <c r="E342" s="4">
        <v>5363.4690326299997</v>
      </c>
      <c r="F342" s="4">
        <v>3316326.0360119999</v>
      </c>
    </row>
    <row r="343" spans="1:6" x14ac:dyDescent="0.3">
      <c r="A343" s="3" t="s">
        <v>6</v>
      </c>
      <c r="B343" s="7" t="str">
        <f>VLOOKUP(VALUE(A343), 'DICIONÁRIO UF'!$A:$B, 2, FALSE)</f>
        <v>Amazonas</v>
      </c>
      <c r="C343" s="3">
        <v>14001</v>
      </c>
      <c r="D343" s="5" t="str">
        <f>VLOOKUP(C343, 'DICIONÁRIO CNAES'!$A:$B, 2, FALSE)</f>
        <v>Confecção de artigos do vestuário e acessórios, exceto sob medida</v>
      </c>
      <c r="E343" s="4">
        <v>842.32618077999996</v>
      </c>
      <c r="F343" s="4">
        <v>1276056.7882679999</v>
      </c>
    </row>
    <row r="344" spans="1:6" x14ac:dyDescent="0.3">
      <c r="A344" s="3" t="s">
        <v>6</v>
      </c>
      <c r="B344" s="7" t="str">
        <f>VLOOKUP(VALUE(A344), 'DICIONÁRIO UF'!$A:$B, 2, FALSE)</f>
        <v>Amazonas</v>
      </c>
      <c r="C344" s="3">
        <v>14002</v>
      </c>
      <c r="D344" s="5" t="str">
        <f>VLOOKUP(C344, 'DICIONÁRIO CNAES'!$A:$B, 2, FALSE)</f>
        <v>Confecção, sob medida, de artigos do vestuário</v>
      </c>
      <c r="E344" s="4">
        <v>8596.4680925800003</v>
      </c>
      <c r="F344" s="4">
        <v>10616718.052750001</v>
      </c>
    </row>
    <row r="345" spans="1:6" x14ac:dyDescent="0.3">
      <c r="A345" s="3" t="s">
        <v>6</v>
      </c>
      <c r="B345" s="7" t="str">
        <f>VLOOKUP(VALUE(A345), 'DICIONÁRIO UF'!$A:$B, 2, FALSE)</f>
        <v>Amazonas</v>
      </c>
      <c r="C345" s="3">
        <v>15011</v>
      </c>
      <c r="D345" s="5" t="str">
        <f>VLOOKUP(C345, 'DICIONÁRIO CNAES'!$A:$B, 2, FALSE)</f>
        <v>Curtimento e outras preparações de couro</v>
      </c>
      <c r="E345" s="4">
        <v>506.53199533999998</v>
      </c>
      <c r="F345" s="4">
        <v>557185.19487400004</v>
      </c>
    </row>
    <row r="346" spans="1:6" x14ac:dyDescent="0.3">
      <c r="A346" s="3" t="s">
        <v>6</v>
      </c>
      <c r="B346" s="7" t="str">
        <f>VLOOKUP(VALUE(A346), 'DICIONÁRIO UF'!$A:$B, 2, FALSE)</f>
        <v>Amazonas</v>
      </c>
      <c r="C346" s="3">
        <v>15012</v>
      </c>
      <c r="D346" s="5" t="str">
        <f>VLOOKUP(C346, 'DICIONÁRIO CNAES'!$A:$B, 2, FALSE)</f>
        <v>Fabricação de artigos de viagem e de artefatos diversos de couro</v>
      </c>
      <c r="E346" s="4">
        <v>201.33330831000001</v>
      </c>
      <c r="F346" s="4">
        <v>221466.63914099999</v>
      </c>
    </row>
    <row r="347" spans="1:6" x14ac:dyDescent="0.3">
      <c r="A347" s="3" t="s">
        <v>6</v>
      </c>
      <c r="B347" s="7" t="str">
        <f>VLOOKUP(VALUE(A347), 'DICIONÁRIO UF'!$A:$B, 2, FALSE)</f>
        <v>Amazonas</v>
      </c>
      <c r="C347" s="3">
        <v>15020</v>
      </c>
      <c r="D347" s="5" t="str">
        <f>VLOOKUP(C347, 'DICIONÁRIO CNAES'!$A:$B, 2, FALSE)</f>
        <v>Fabricação de calçados e partes para calçados, de qualquer material</v>
      </c>
      <c r="E347" s="4">
        <v>329.9331798</v>
      </c>
      <c r="F347" s="4">
        <v>362926.49777999998</v>
      </c>
    </row>
    <row r="348" spans="1:6" x14ac:dyDescent="0.3">
      <c r="A348" s="3" t="s">
        <v>6</v>
      </c>
      <c r="B348" s="7" t="str">
        <f>VLOOKUP(VALUE(A348), 'DICIONÁRIO UF'!$A:$B, 2, FALSE)</f>
        <v>Amazonas</v>
      </c>
      <c r="C348" s="3">
        <v>16001</v>
      </c>
      <c r="D348" s="5" t="str">
        <f>VLOOKUP(C348, 'DICIONÁRIO CNAES'!$A:$B, 2, FALSE)</f>
        <v>Serrarias</v>
      </c>
      <c r="E348" s="4">
        <v>1972.2392611800001</v>
      </c>
      <c r="F348" s="4">
        <v>2766223.4681000002</v>
      </c>
    </row>
    <row r="349" spans="1:6" x14ac:dyDescent="0.3">
      <c r="A349" s="3" t="s">
        <v>6</v>
      </c>
      <c r="B349" s="7" t="str">
        <f>VLOOKUP(VALUE(A349), 'DICIONÁRIO UF'!$A:$B, 2, FALSE)</f>
        <v>Amazonas</v>
      </c>
      <c r="C349" s="3">
        <v>16002</v>
      </c>
      <c r="D349" s="5" t="str">
        <f>VLOOKUP(C349, 'DICIONÁRIO CNAES'!$A:$B, 2, FALSE)</f>
        <v>Fabricação de produtos de madeira, cortiça e material trançado, exceto móveis</v>
      </c>
      <c r="E349" s="4">
        <v>5169.2765388600001</v>
      </c>
      <c r="F349" s="4">
        <v>5641233.4924504999</v>
      </c>
    </row>
    <row r="350" spans="1:6" x14ac:dyDescent="0.3">
      <c r="A350" s="3" t="s">
        <v>6</v>
      </c>
      <c r="B350" s="7" t="str">
        <f>VLOOKUP(VALUE(A350), 'DICIONÁRIO UF'!$A:$B, 2, FALSE)</f>
        <v>Amazonas</v>
      </c>
      <c r="C350" s="3">
        <v>17002</v>
      </c>
      <c r="D350" s="5" t="str">
        <f>VLOOKUP(C350, 'DICIONÁRIO CNAES'!$A:$B, 2, FALSE)</f>
        <v>Fabricação de embalagens e de produtos diversos de papel, cartolina, papel-cartão e papelão ondulado</v>
      </c>
      <c r="E350" s="4">
        <v>3650.0890372399999</v>
      </c>
      <c r="F350" s="4">
        <v>5680409.7930506803</v>
      </c>
    </row>
    <row r="351" spans="1:6" x14ac:dyDescent="0.3">
      <c r="A351" s="3" t="s">
        <v>6</v>
      </c>
      <c r="B351" s="7" t="str">
        <f>VLOOKUP(VALUE(A351), 'DICIONÁRIO UF'!$A:$B, 2, FALSE)</f>
        <v>Amazonas</v>
      </c>
      <c r="C351" s="3">
        <v>18000</v>
      </c>
      <c r="D351" s="5" t="str">
        <f>VLOOKUP(C351, 'DICIONÁRIO CNAES'!$A:$B, 2, FALSE)</f>
        <v>Impressão e reprodução de gravações</v>
      </c>
      <c r="E351" s="4">
        <v>4307.4468948800004</v>
      </c>
      <c r="F351" s="4">
        <v>9850770.9141709991</v>
      </c>
    </row>
    <row r="352" spans="1:6" x14ac:dyDescent="0.3">
      <c r="A352" s="3" t="s">
        <v>6</v>
      </c>
      <c r="B352" s="7" t="str">
        <f>VLOOKUP(VALUE(A352), 'DICIONÁRIO UF'!$A:$B, 2, FALSE)</f>
        <v>Amazonas</v>
      </c>
      <c r="C352" s="3">
        <v>19020</v>
      </c>
      <c r="D352" s="5" t="str">
        <f>VLOOKUP(C352, 'DICIONÁRIO CNAES'!$A:$B, 2, FALSE)</f>
        <v>Fabricação de produtos derivados do petróleo</v>
      </c>
      <c r="E352" s="4">
        <v>878.79215097999986</v>
      </c>
      <c r="F352" s="4">
        <v>1032762.5975252</v>
      </c>
    </row>
    <row r="353" spans="1:6" x14ac:dyDescent="0.3">
      <c r="A353" s="3" t="s">
        <v>6</v>
      </c>
      <c r="B353" s="7" t="str">
        <f>VLOOKUP(VALUE(A353), 'DICIONÁRIO UF'!$A:$B, 2, FALSE)</f>
        <v>Amazonas</v>
      </c>
      <c r="C353" s="3">
        <v>20020</v>
      </c>
      <c r="D353" s="5" t="str">
        <f>VLOOKUP(C353, 'DICIONÁRIO CNAES'!$A:$B, 2, FALSE)</f>
        <v>Fabricação de sabões, detergentes, produtos de limpeza, cosméticos, produtos de perfumaria e de higiene pessoal</v>
      </c>
      <c r="E353" s="4">
        <v>3169.2556822500001</v>
      </c>
      <c r="F353" s="4">
        <v>8449447.4037960004</v>
      </c>
    </row>
    <row r="354" spans="1:6" x14ac:dyDescent="0.3">
      <c r="A354" s="3" t="s">
        <v>6</v>
      </c>
      <c r="B354" s="7" t="str">
        <f>VLOOKUP(VALUE(A354), 'DICIONÁRIO UF'!$A:$B, 2, FALSE)</f>
        <v>Amazonas</v>
      </c>
      <c r="C354" s="3">
        <v>20090</v>
      </c>
      <c r="D354" s="5" t="str">
        <f>VLOOKUP(C354, 'DICIONÁRIO CNAES'!$A:$B, 2, FALSE)</f>
        <v>Fabricação de outros produtos químicos não especificados anteriormente</v>
      </c>
      <c r="E354" s="4">
        <v>384.31332630000003</v>
      </c>
      <c r="F354" s="4">
        <v>461175.99156000011</v>
      </c>
    </row>
    <row r="355" spans="1:6" x14ac:dyDescent="0.3">
      <c r="A355" s="3" t="s">
        <v>6</v>
      </c>
      <c r="B355" s="7" t="str">
        <f>VLOOKUP(VALUE(A355), 'DICIONÁRIO UF'!$A:$B, 2, FALSE)</f>
        <v>Amazonas</v>
      </c>
      <c r="C355" s="3">
        <v>21000</v>
      </c>
      <c r="D355" s="5" t="str">
        <f>VLOOKUP(C355, 'DICIONÁRIO CNAES'!$A:$B, 2, FALSE)</f>
        <v>Fabricação de produtos farmoquimicos e farmacêuticos</v>
      </c>
      <c r="E355" s="4">
        <v>948.23094813</v>
      </c>
      <c r="F355" s="4">
        <v>1809700.5361270001</v>
      </c>
    </row>
    <row r="356" spans="1:6" x14ac:dyDescent="0.3">
      <c r="A356" s="3" t="s">
        <v>6</v>
      </c>
      <c r="B356" s="7" t="str">
        <f>VLOOKUP(VALUE(A356), 'DICIONÁRIO UF'!$A:$B, 2, FALSE)</f>
        <v>Amazonas</v>
      </c>
      <c r="C356" s="3">
        <v>22010</v>
      </c>
      <c r="D356" s="5" t="str">
        <f>VLOOKUP(C356, 'DICIONÁRIO CNAES'!$A:$B, 2, FALSE)</f>
        <v>Fabricação de produtos de borracha</v>
      </c>
      <c r="E356" s="4">
        <v>1174.9275379000001</v>
      </c>
      <c r="F356" s="4">
        <v>2398076.9650980001</v>
      </c>
    </row>
    <row r="357" spans="1:6" x14ac:dyDescent="0.3">
      <c r="A357" s="3" t="s">
        <v>6</v>
      </c>
      <c r="B357" s="7" t="str">
        <f>VLOOKUP(VALUE(A357), 'DICIONÁRIO UF'!$A:$B, 2, FALSE)</f>
        <v>Amazonas</v>
      </c>
      <c r="C357" s="3">
        <v>22020</v>
      </c>
      <c r="D357" s="5" t="str">
        <f>VLOOKUP(C357, 'DICIONÁRIO CNAES'!$A:$B, 2, FALSE)</f>
        <v>Fabricação de produtos de material plástico</v>
      </c>
      <c r="E357" s="4">
        <v>9485.4584883900006</v>
      </c>
      <c r="F357" s="4">
        <v>33249700.528165601</v>
      </c>
    </row>
    <row r="358" spans="1:6" x14ac:dyDescent="0.3">
      <c r="A358" s="3" t="s">
        <v>6</v>
      </c>
      <c r="B358" s="7" t="str">
        <f>VLOOKUP(VALUE(A358), 'DICIONÁRIO UF'!$A:$B, 2, FALSE)</f>
        <v>Amazonas</v>
      </c>
      <c r="C358" s="3">
        <v>23010</v>
      </c>
      <c r="D358" s="5" t="str">
        <f>VLOOKUP(C358, 'DICIONÁRIO CNAES'!$A:$B, 2, FALSE)</f>
        <v>Fabricação de vidro e produtos de vidro</v>
      </c>
      <c r="E358" s="4">
        <v>1120.10125565</v>
      </c>
      <c r="F358" s="4">
        <v>1232111.3812150001</v>
      </c>
    </row>
    <row r="359" spans="1:6" x14ac:dyDescent="0.3">
      <c r="A359" s="3" t="s">
        <v>6</v>
      </c>
      <c r="B359" s="7" t="str">
        <f>VLOOKUP(VALUE(A359), 'DICIONÁRIO UF'!$A:$B, 2, FALSE)</f>
        <v>Amazonas</v>
      </c>
      <c r="C359" s="3">
        <v>23091</v>
      </c>
      <c r="D359" s="5" t="str">
        <f>VLOOKUP(C359, 'DICIONÁRIO CNAES'!$A:$B, 2, FALSE)</f>
        <v>Fabricação de produtos cerâmicos</v>
      </c>
      <c r="E359" s="4">
        <v>2579.0168281400001</v>
      </c>
      <c r="F359" s="4">
        <v>1980290.3870135001</v>
      </c>
    </row>
    <row r="360" spans="1:6" x14ac:dyDescent="0.3">
      <c r="A360" s="3" t="s">
        <v>6</v>
      </c>
      <c r="B360" s="7" t="str">
        <f>VLOOKUP(VALUE(A360), 'DICIONÁRIO UF'!$A:$B, 2, FALSE)</f>
        <v>Amazonas</v>
      </c>
      <c r="C360" s="3">
        <v>23099</v>
      </c>
      <c r="D360" s="5" t="str">
        <f>VLOOKUP(C360, 'DICIONÁRIO CNAES'!$A:$B, 2, FALSE)</f>
        <v>Fabricação de outros produtos de minerais não-metálicos não especificados anteriormente</v>
      </c>
      <c r="E360" s="4">
        <v>1277.78926256</v>
      </c>
      <c r="F360" s="4">
        <v>1599659.9336620001</v>
      </c>
    </row>
    <row r="361" spans="1:6" x14ac:dyDescent="0.3">
      <c r="A361" s="3" t="s">
        <v>6</v>
      </c>
      <c r="B361" s="7" t="str">
        <f>VLOOKUP(VALUE(A361), 'DICIONÁRIO UF'!$A:$B, 2, FALSE)</f>
        <v>Amazonas</v>
      </c>
      <c r="C361" s="3">
        <v>24001</v>
      </c>
      <c r="D361" s="5" t="str">
        <f>VLOOKUP(C361, 'DICIONÁRIO CNAES'!$A:$B, 2, FALSE)</f>
        <v>Fabricação de produtos siderúrgicos</v>
      </c>
      <c r="E361" s="4">
        <v>490.32539136000003</v>
      </c>
      <c r="F361" s="4">
        <v>588390.46963200008</v>
      </c>
    </row>
    <row r="362" spans="1:6" x14ac:dyDescent="0.3">
      <c r="A362" s="3" t="s">
        <v>6</v>
      </c>
      <c r="B362" s="7" t="str">
        <f>VLOOKUP(VALUE(A362), 'DICIONÁRIO UF'!$A:$B, 2, FALSE)</f>
        <v>Amazonas</v>
      </c>
      <c r="C362" s="3">
        <v>24002</v>
      </c>
      <c r="D362" s="5" t="str">
        <f>VLOOKUP(C362, 'DICIONÁRIO CNAES'!$A:$B, 2, FALSE)</f>
        <v>Metalurgia dos metais não-ferrosos</v>
      </c>
      <c r="E362" s="4">
        <v>655.15093604999993</v>
      </c>
      <c r="F362" s="4">
        <v>2490610.4411630002</v>
      </c>
    </row>
    <row r="363" spans="1:6" x14ac:dyDescent="0.3">
      <c r="A363" s="3" t="s">
        <v>6</v>
      </c>
      <c r="B363" s="7" t="str">
        <f>VLOOKUP(VALUE(A363), 'DICIONÁRIO UF'!$A:$B, 2, FALSE)</f>
        <v>Amazonas</v>
      </c>
      <c r="C363" s="3">
        <v>25001</v>
      </c>
      <c r="D363" s="5" t="str">
        <f>VLOOKUP(C363, 'DICIONÁRIO CNAES'!$A:$B, 2, FALSE)</f>
        <v>Fabricação de produtos de metal, exceto máquinas e equipamentos</v>
      </c>
      <c r="E363" s="4">
        <v>7142.2212559</v>
      </c>
      <c r="F363" s="4">
        <v>10617022.3171726</v>
      </c>
    </row>
    <row r="364" spans="1:6" x14ac:dyDescent="0.3">
      <c r="A364" s="3" t="s">
        <v>6</v>
      </c>
      <c r="B364" s="7" t="str">
        <f>VLOOKUP(VALUE(A364), 'DICIONÁRIO UF'!$A:$B, 2, FALSE)</f>
        <v>Amazonas</v>
      </c>
      <c r="C364" s="3">
        <v>25002</v>
      </c>
      <c r="D364" s="5" t="str">
        <f>VLOOKUP(C364, 'DICIONÁRIO CNAES'!$A:$B, 2, FALSE)</f>
        <v>Forjaria, estamparia, metalurgia do pó e serviços de tratamento de metais</v>
      </c>
      <c r="E364" s="4">
        <v>2804.9261383799999</v>
      </c>
      <c r="F364" s="4">
        <v>4081786.2710785</v>
      </c>
    </row>
    <row r="365" spans="1:6" x14ac:dyDescent="0.3">
      <c r="A365" s="3" t="s">
        <v>6</v>
      </c>
      <c r="B365" s="7" t="str">
        <f>VLOOKUP(VALUE(A365), 'DICIONÁRIO UF'!$A:$B, 2, FALSE)</f>
        <v>Amazonas</v>
      </c>
      <c r="C365" s="3">
        <v>26010</v>
      </c>
      <c r="D365" s="5" t="str">
        <f>VLOOKUP(C365, 'DICIONÁRIO CNAES'!$A:$B, 2, FALSE)</f>
        <v>Fabricação de componentes eletrônicos</v>
      </c>
      <c r="E365" s="4">
        <v>6666.7631673100004</v>
      </c>
      <c r="F365" s="4">
        <v>16448955.587213941</v>
      </c>
    </row>
    <row r="366" spans="1:6" x14ac:dyDescent="0.3">
      <c r="A366" s="3" t="s">
        <v>6</v>
      </c>
      <c r="B366" s="7" t="str">
        <f>VLOOKUP(VALUE(A366), 'DICIONÁRIO UF'!$A:$B, 2, FALSE)</f>
        <v>Amazonas</v>
      </c>
      <c r="C366" s="3">
        <v>26020</v>
      </c>
      <c r="D366" s="5" t="str">
        <f>VLOOKUP(C366, 'DICIONÁRIO CNAES'!$A:$B, 2, FALSE)</f>
        <v>Fabricação de equipamentos de informática e periféricos</v>
      </c>
      <c r="E366" s="4">
        <v>490.26662730999999</v>
      </c>
      <c r="F366" s="4">
        <v>563806.62140649999</v>
      </c>
    </row>
    <row r="367" spans="1:6" x14ac:dyDescent="0.3">
      <c r="A367" s="3" t="s">
        <v>6</v>
      </c>
      <c r="B367" s="7" t="str">
        <f>VLOOKUP(VALUE(A367), 'DICIONÁRIO UF'!$A:$B, 2, FALSE)</f>
        <v>Amazonas</v>
      </c>
      <c r="C367" s="3">
        <v>26030</v>
      </c>
      <c r="D367" s="5" t="str">
        <f>VLOOKUP(C367, 'DICIONÁRIO CNAES'!$A:$B, 2, FALSE)</f>
        <v>Fabricação de equipamentos de comunicação e de aparelhos de recepção, reprodução, gravação e amplificação de áudio e vídeo</v>
      </c>
      <c r="E367" s="4">
        <v>27992.649631730001</v>
      </c>
      <c r="F367" s="4">
        <v>48513147.697719097</v>
      </c>
    </row>
    <row r="368" spans="1:6" x14ac:dyDescent="0.3">
      <c r="A368" s="3" t="s">
        <v>6</v>
      </c>
      <c r="B368" s="7" t="str">
        <f>VLOOKUP(VALUE(A368), 'DICIONÁRIO UF'!$A:$B, 2, FALSE)</f>
        <v>Amazonas</v>
      </c>
      <c r="C368" s="3">
        <v>26041</v>
      </c>
      <c r="D368" s="5" t="str">
        <f>VLOOKUP(C368, 'DICIONÁRIO CNAES'!$A:$B, 2, FALSE)</f>
        <v>Fabricação de aparelhos e instrumentos de medida, teste e controle; cronômetros e relógios e de aparelhos eletromédicos e eletroterapêuticos</v>
      </c>
      <c r="E368" s="4">
        <v>1349.4925216300001</v>
      </c>
      <c r="F368" s="4">
        <v>2293465.1352269999</v>
      </c>
    </row>
    <row r="369" spans="1:6" x14ac:dyDescent="0.3">
      <c r="A369" s="3" t="s">
        <v>6</v>
      </c>
      <c r="B369" s="7" t="str">
        <f>VLOOKUP(VALUE(A369), 'DICIONÁRIO UF'!$A:$B, 2, FALSE)</f>
        <v>Amazonas</v>
      </c>
      <c r="C369" s="3">
        <v>26042</v>
      </c>
      <c r="D369" s="5" t="str">
        <f>VLOOKUP(C369, 'DICIONÁRIO CNAES'!$A:$B, 2, FALSE)</f>
        <v>Fabricação de equipamentos e instrumentos ópticos, fotográficos e cinematográficos e de mídias virgens, magnéticas e ópticas</v>
      </c>
      <c r="E369" s="4">
        <v>846.37235895999993</v>
      </c>
      <c r="F369" s="4">
        <v>1388493.4973540001</v>
      </c>
    </row>
    <row r="370" spans="1:6" x14ac:dyDescent="0.3">
      <c r="A370" s="3" t="s">
        <v>6</v>
      </c>
      <c r="B370" s="7" t="str">
        <f>VLOOKUP(VALUE(A370), 'DICIONÁRIO UF'!$A:$B, 2, FALSE)</f>
        <v>Amazonas</v>
      </c>
      <c r="C370" s="3">
        <v>27010</v>
      </c>
      <c r="D370" s="5" t="str">
        <f>VLOOKUP(C370, 'DICIONÁRIO CNAES'!$A:$B, 2, FALSE)</f>
        <v>Fabricação de eletrodomesticos</v>
      </c>
      <c r="E370" s="4">
        <v>1964.22476441</v>
      </c>
      <c r="F370" s="4">
        <v>3046306.946984</v>
      </c>
    </row>
    <row r="371" spans="1:6" x14ac:dyDescent="0.3">
      <c r="A371" s="3" t="s">
        <v>6</v>
      </c>
      <c r="B371" s="7" t="str">
        <f>VLOOKUP(VALUE(A371), 'DICIONÁRIO UF'!$A:$B, 2, FALSE)</f>
        <v>Amazonas</v>
      </c>
      <c r="C371" s="3">
        <v>27090</v>
      </c>
      <c r="D371" s="5" t="str">
        <f>VLOOKUP(C371, 'DICIONÁRIO CNAES'!$A:$B, 2, FALSE)</f>
        <v>Fabricação de máquinas, aparelhos e materiais elétricos diversos, exceto eletrodomesticos</v>
      </c>
      <c r="E371" s="4">
        <v>670.26955361</v>
      </c>
      <c r="F371" s="4">
        <v>1463033.498655</v>
      </c>
    </row>
    <row r="372" spans="1:6" x14ac:dyDescent="0.3">
      <c r="A372" s="3" t="s">
        <v>6</v>
      </c>
      <c r="B372" s="7" t="str">
        <f>VLOOKUP(VALUE(A372), 'DICIONÁRIO UF'!$A:$B, 2, FALSE)</f>
        <v>Amazonas</v>
      </c>
      <c r="C372" s="3">
        <v>28000</v>
      </c>
      <c r="D372" s="5" t="str">
        <f>VLOOKUP(C372, 'DICIONÁRIO CNAES'!$A:$B, 2, FALSE)</f>
        <v>Fabricação de máquinas e equipamentos</v>
      </c>
      <c r="E372" s="4">
        <v>5934.2935524599998</v>
      </c>
      <c r="F372" s="4">
        <v>9383488.1392328609</v>
      </c>
    </row>
    <row r="373" spans="1:6" x14ac:dyDescent="0.3">
      <c r="A373" s="3" t="s">
        <v>6</v>
      </c>
      <c r="B373" s="7" t="str">
        <f>VLOOKUP(VALUE(A373), 'DICIONÁRIO UF'!$A:$B, 2, FALSE)</f>
        <v>Amazonas</v>
      </c>
      <c r="C373" s="3">
        <v>29002</v>
      </c>
      <c r="D373" s="5" t="str">
        <f>VLOOKUP(C373, 'DICIONÁRIO CNAES'!$A:$B, 2, FALSE)</f>
        <v>Fabricação de cabines, carrocerias, reboques e peças para veículos automotores</v>
      </c>
      <c r="E373" s="4">
        <v>1283.8046994399999</v>
      </c>
      <c r="F373" s="4">
        <v>2166892.75503864</v>
      </c>
    </row>
    <row r="374" spans="1:6" x14ac:dyDescent="0.3">
      <c r="A374" s="3" t="s">
        <v>6</v>
      </c>
      <c r="B374" s="7" t="str">
        <f>VLOOKUP(VALUE(A374), 'DICIONÁRIO UF'!$A:$B, 2, FALSE)</f>
        <v>Amazonas</v>
      </c>
      <c r="C374" s="3">
        <v>30010</v>
      </c>
      <c r="D374" s="5" t="str">
        <f>VLOOKUP(C374, 'DICIONÁRIO CNAES'!$A:$B, 2, FALSE)</f>
        <v xml:space="preserve">Construção de embarcações </v>
      </c>
      <c r="E374" s="4">
        <v>2386.7510619099999</v>
      </c>
      <c r="F374" s="4">
        <v>4310818.5350249996</v>
      </c>
    </row>
    <row r="375" spans="1:6" x14ac:dyDescent="0.3">
      <c r="A375" s="3" t="s">
        <v>6</v>
      </c>
      <c r="B375" s="7" t="str">
        <f>VLOOKUP(VALUE(A375), 'DICIONÁRIO UF'!$A:$B, 2, FALSE)</f>
        <v>Amazonas</v>
      </c>
      <c r="C375" s="3">
        <v>30090</v>
      </c>
      <c r="D375" s="5" t="str">
        <f>VLOOKUP(C375, 'DICIONÁRIO CNAES'!$A:$B, 2, FALSE)</f>
        <v>Fabricação de outros equipamentos de transporte não especificados anteriormente</v>
      </c>
      <c r="E375" s="4">
        <v>15415.88661283</v>
      </c>
      <c r="F375" s="4">
        <v>38885869.370699398</v>
      </c>
    </row>
    <row r="376" spans="1:6" x14ac:dyDescent="0.3">
      <c r="A376" s="3" t="s">
        <v>6</v>
      </c>
      <c r="B376" s="7" t="str">
        <f>VLOOKUP(VALUE(A376), 'DICIONÁRIO UF'!$A:$B, 2, FALSE)</f>
        <v>Amazonas</v>
      </c>
      <c r="C376" s="3">
        <v>31000</v>
      </c>
      <c r="D376" s="5" t="str">
        <f>VLOOKUP(C376, 'DICIONÁRIO CNAES'!$A:$B, 2, FALSE)</f>
        <v>Fabricação de móveis</v>
      </c>
      <c r="E376" s="4">
        <v>6560.8570990600001</v>
      </c>
      <c r="F376" s="4">
        <v>8195836.5469939997</v>
      </c>
    </row>
    <row r="377" spans="1:6" x14ac:dyDescent="0.3">
      <c r="A377" s="3" t="s">
        <v>6</v>
      </c>
      <c r="B377" s="7" t="str">
        <f>VLOOKUP(VALUE(A377), 'DICIONÁRIO UF'!$A:$B, 2, FALSE)</f>
        <v>Amazonas</v>
      </c>
      <c r="C377" s="3">
        <v>32001</v>
      </c>
      <c r="D377" s="5" t="str">
        <f>VLOOKUP(C377, 'DICIONÁRIO CNAES'!$A:$B, 2, FALSE)</f>
        <v>Fabricação de artigos de joalheria, bijuteria e semelhantes</v>
      </c>
      <c r="E377" s="4">
        <v>1420.4407962800001</v>
      </c>
      <c r="F377" s="4">
        <v>1706378.1281330001</v>
      </c>
    </row>
    <row r="378" spans="1:6" x14ac:dyDescent="0.3">
      <c r="A378" s="3" t="s">
        <v>6</v>
      </c>
      <c r="B378" s="7" t="str">
        <f>VLOOKUP(VALUE(A378), 'DICIONÁRIO UF'!$A:$B, 2, FALSE)</f>
        <v>Amazonas</v>
      </c>
      <c r="C378" s="3">
        <v>32003</v>
      </c>
      <c r="D378" s="5" t="str">
        <f>VLOOKUP(C378, 'DICIONÁRIO CNAES'!$A:$B, 2, FALSE)</f>
        <v>Fabricação de artefatos para pesca e esporte e de brinquedos e jogos recreativos</v>
      </c>
      <c r="E378" s="4">
        <v>218.91248547999999</v>
      </c>
      <c r="F378" s="4">
        <v>262694.98257599998</v>
      </c>
    </row>
    <row r="379" spans="1:6" x14ac:dyDescent="0.3">
      <c r="A379" s="3" t="s">
        <v>6</v>
      </c>
      <c r="B379" s="7" t="str">
        <f>VLOOKUP(VALUE(A379), 'DICIONÁRIO UF'!$A:$B, 2, FALSE)</f>
        <v>Amazonas</v>
      </c>
      <c r="C379" s="3">
        <v>32009</v>
      </c>
      <c r="D379" s="5" t="str">
        <f>VLOOKUP(C379, 'DICIONÁRIO CNAES'!$A:$B, 2, FALSE)</f>
        <v>Fabricação de produtos diversos</v>
      </c>
      <c r="E379" s="4">
        <v>3033.26072376</v>
      </c>
      <c r="F379" s="4">
        <v>3855704.816875</v>
      </c>
    </row>
    <row r="380" spans="1:6" x14ac:dyDescent="0.3">
      <c r="A380" s="3" t="s">
        <v>6</v>
      </c>
      <c r="B380" s="7" t="str">
        <f>VLOOKUP(VALUE(A380), 'DICIONÁRIO UF'!$A:$B, 2, FALSE)</f>
        <v>Amazonas</v>
      </c>
      <c r="C380" s="3">
        <v>33001</v>
      </c>
      <c r="D380" s="5" t="str">
        <f>VLOOKUP(C380, 'DICIONÁRIO CNAES'!$A:$B, 2, FALSE)</f>
        <v>Manutenção e reparação de máquinas e equipamentos</v>
      </c>
      <c r="E380" s="4">
        <v>2488.6326569299999</v>
      </c>
      <c r="F380" s="4">
        <v>6310574.927104</v>
      </c>
    </row>
    <row r="381" spans="1:6" x14ac:dyDescent="0.3">
      <c r="A381" s="3" t="s">
        <v>6</v>
      </c>
      <c r="B381" s="7" t="str">
        <f>VLOOKUP(VALUE(A381), 'DICIONÁRIO UF'!$A:$B, 2, FALSE)</f>
        <v>Amazonas</v>
      </c>
      <c r="C381" s="3">
        <v>33002</v>
      </c>
      <c r="D381" s="5" t="str">
        <f>VLOOKUP(C381, 'DICIONÁRIO CNAES'!$A:$B, 2, FALSE)</f>
        <v>Instalação de máquinas e equipamentos</v>
      </c>
      <c r="E381" s="4">
        <v>316.14267090999999</v>
      </c>
      <c r="F381" s="4">
        <v>790356.67727500002</v>
      </c>
    </row>
    <row r="382" spans="1:6" x14ac:dyDescent="0.3">
      <c r="A382" s="3" t="s">
        <v>6</v>
      </c>
      <c r="B382" s="7" t="str">
        <f>VLOOKUP(VALUE(A382), 'DICIONÁRIO UF'!$A:$B, 2, FALSE)</f>
        <v>Amazonas</v>
      </c>
      <c r="C382" s="3">
        <v>35010</v>
      </c>
      <c r="D382" s="5" t="str">
        <f>VLOOKUP(C382, 'DICIONÁRIO CNAES'!$A:$B, 2, FALSE)</f>
        <v>Geração, transmissão e distribuição de energia elétrica</v>
      </c>
      <c r="E382" s="4">
        <v>7334.6654267499998</v>
      </c>
      <c r="F382" s="4">
        <v>20486593.489866398</v>
      </c>
    </row>
    <row r="383" spans="1:6" x14ac:dyDescent="0.3">
      <c r="A383" s="3" t="s">
        <v>6</v>
      </c>
      <c r="B383" s="7" t="str">
        <f>VLOOKUP(VALUE(A383), 'DICIONÁRIO UF'!$A:$B, 2, FALSE)</f>
        <v>Amazonas</v>
      </c>
      <c r="C383" s="3">
        <v>35021</v>
      </c>
      <c r="D383" s="5" t="str">
        <f>VLOOKUP(C383, 'DICIONÁRIO CNAES'!$A:$B, 2, FALSE)</f>
        <v>Produção e distribuição de combustíveis gasosos por redes urbanas</v>
      </c>
      <c r="E383" s="4">
        <v>519.84174156999995</v>
      </c>
      <c r="F383" s="4">
        <v>935715.13482599996</v>
      </c>
    </row>
    <row r="384" spans="1:6" x14ac:dyDescent="0.3">
      <c r="A384" s="3" t="s">
        <v>6</v>
      </c>
      <c r="B384" s="7" t="str">
        <f>VLOOKUP(VALUE(A384), 'DICIONÁRIO UF'!$A:$B, 2, FALSE)</f>
        <v>Amazonas</v>
      </c>
      <c r="C384" s="3">
        <v>36000</v>
      </c>
      <c r="D384" s="5" t="str">
        <f>VLOOKUP(C384, 'DICIONÁRIO CNAES'!$A:$B, 2, FALSE)</f>
        <v>Captação, tratamento e distribuição de água</v>
      </c>
      <c r="E384" s="4">
        <v>1034.48778135</v>
      </c>
      <c r="F384" s="4">
        <v>1780782.001472</v>
      </c>
    </row>
    <row r="385" spans="1:6" x14ac:dyDescent="0.3">
      <c r="A385" s="3" t="s">
        <v>6</v>
      </c>
      <c r="B385" s="7" t="str">
        <f>VLOOKUP(VALUE(A385), 'DICIONÁRIO UF'!$A:$B, 2, FALSE)</f>
        <v>Amazonas</v>
      </c>
      <c r="C385" s="3">
        <v>37000</v>
      </c>
      <c r="D385" s="5" t="str">
        <f>VLOOKUP(C385, 'DICIONÁRIO CNAES'!$A:$B, 2, FALSE)</f>
        <v>Esgoto e atividades relacionadas</v>
      </c>
      <c r="E385" s="4">
        <v>500.4501947</v>
      </c>
      <c r="F385" s="4">
        <v>550495.21417000005</v>
      </c>
    </row>
    <row r="386" spans="1:6" x14ac:dyDescent="0.3">
      <c r="A386" s="3" t="s">
        <v>6</v>
      </c>
      <c r="B386" s="7" t="str">
        <f>VLOOKUP(VALUE(A386), 'DICIONÁRIO UF'!$A:$B, 2, FALSE)</f>
        <v>Amazonas</v>
      </c>
      <c r="C386" s="3">
        <v>38000</v>
      </c>
      <c r="D386" s="5" t="str">
        <f>VLOOKUP(C386, 'DICIONÁRIO CNAES'!$A:$B, 2, FALSE)</f>
        <v>Coleta, tratamento e disposição de resíduos; recuperação de materiais</v>
      </c>
      <c r="E386" s="4">
        <v>9215.28553173</v>
      </c>
      <c r="F386" s="4">
        <v>11064592.749474401</v>
      </c>
    </row>
    <row r="387" spans="1:6" x14ac:dyDescent="0.3">
      <c r="A387" s="3" t="s">
        <v>6</v>
      </c>
      <c r="B387" s="7" t="str">
        <f>VLOOKUP(VALUE(A387), 'DICIONÁRIO UF'!$A:$B, 2, FALSE)</f>
        <v>Amazonas</v>
      </c>
      <c r="C387" s="3">
        <v>41000</v>
      </c>
      <c r="D387" s="5" t="str">
        <f>VLOOKUP(C387, 'DICIONÁRIO CNAES'!$A:$B, 2, FALSE)</f>
        <v>Construção de edifícios</v>
      </c>
      <c r="E387" s="4">
        <v>76640.918040370001</v>
      </c>
      <c r="F387" s="4">
        <v>97309315.849348515</v>
      </c>
    </row>
    <row r="388" spans="1:6" x14ac:dyDescent="0.3">
      <c r="A388" s="3" t="s">
        <v>6</v>
      </c>
      <c r="B388" s="7" t="str">
        <f>VLOOKUP(VALUE(A388), 'DICIONÁRIO UF'!$A:$B, 2, FALSE)</f>
        <v>Amazonas</v>
      </c>
      <c r="C388" s="3">
        <v>42000</v>
      </c>
      <c r="D388" s="5" t="str">
        <f>VLOOKUP(C388, 'DICIONÁRIO CNAES'!$A:$B, 2, FALSE)</f>
        <v>Construção de obras de infra-estrutura</v>
      </c>
      <c r="E388" s="4">
        <v>10998.098671829999</v>
      </c>
      <c r="F388" s="4">
        <v>28211393.237753399</v>
      </c>
    </row>
    <row r="389" spans="1:6" x14ac:dyDescent="0.3">
      <c r="A389" s="3" t="s">
        <v>6</v>
      </c>
      <c r="B389" s="7" t="str">
        <f>VLOOKUP(VALUE(A389), 'DICIONÁRIO UF'!$A:$B, 2, FALSE)</f>
        <v>Amazonas</v>
      </c>
      <c r="C389" s="3">
        <v>43000</v>
      </c>
      <c r="D389" s="5" t="str">
        <f>VLOOKUP(C389, 'DICIONÁRIO CNAES'!$A:$B, 2, FALSE)</f>
        <v>Serviços especializados para construção</v>
      </c>
      <c r="E389" s="4">
        <v>25038.411130140001</v>
      </c>
      <c r="F389" s="4">
        <v>32723451.330095299</v>
      </c>
    </row>
    <row r="390" spans="1:6" x14ac:dyDescent="0.3">
      <c r="A390" s="3" t="s">
        <v>6</v>
      </c>
      <c r="B390" s="7" t="str">
        <f>VLOOKUP(VALUE(A390), 'DICIONÁRIO UF'!$A:$B, 2, FALSE)</f>
        <v>Amazonas</v>
      </c>
      <c r="C390" s="3">
        <v>45010</v>
      </c>
      <c r="D390" s="5" t="str">
        <f>VLOOKUP(C390, 'DICIONÁRIO CNAES'!$A:$B, 2, FALSE)</f>
        <v>Comércio de veículos automotores</v>
      </c>
      <c r="E390" s="4">
        <v>4632.1650899799997</v>
      </c>
      <c r="F390" s="4">
        <v>7594817.266423</v>
      </c>
    </row>
    <row r="391" spans="1:6" x14ac:dyDescent="0.3">
      <c r="A391" s="3" t="s">
        <v>6</v>
      </c>
      <c r="B391" s="7" t="str">
        <f>VLOOKUP(VALUE(A391), 'DICIONÁRIO UF'!$A:$B, 2, FALSE)</f>
        <v>Amazonas</v>
      </c>
      <c r="C391" s="3">
        <v>45020</v>
      </c>
      <c r="D391" s="5" t="str">
        <f>VLOOKUP(C391, 'DICIONÁRIO CNAES'!$A:$B, 2, FALSE)</f>
        <v>Manutenção e reparação de veículos automotores</v>
      </c>
      <c r="E391" s="4">
        <v>23476.444690240001</v>
      </c>
      <c r="F391" s="4">
        <v>42698269.251609698</v>
      </c>
    </row>
    <row r="392" spans="1:6" x14ac:dyDescent="0.3">
      <c r="A392" s="3" t="s">
        <v>6</v>
      </c>
      <c r="B392" s="7" t="str">
        <f>VLOOKUP(VALUE(A392), 'DICIONÁRIO UF'!$A:$B, 2, FALSE)</f>
        <v>Amazonas</v>
      </c>
      <c r="C392" s="3">
        <v>45030</v>
      </c>
      <c r="D392" s="5" t="str">
        <f>VLOOKUP(C392, 'DICIONÁRIO CNAES'!$A:$B, 2, FALSE)</f>
        <v>Comércio de peças e acessórios para veículos automotores</v>
      </c>
      <c r="E392" s="4">
        <v>7147.3266814600001</v>
      </c>
      <c r="F392" s="4">
        <v>14051923.912068</v>
      </c>
    </row>
    <row r="393" spans="1:6" x14ac:dyDescent="0.3">
      <c r="A393" s="3" t="s">
        <v>6</v>
      </c>
      <c r="B393" s="7" t="str">
        <f>VLOOKUP(VALUE(A393), 'DICIONÁRIO UF'!$A:$B, 2, FALSE)</f>
        <v>Amazonas</v>
      </c>
      <c r="C393" s="3">
        <v>45040</v>
      </c>
      <c r="D393" s="5" t="str">
        <f>VLOOKUP(C393, 'DICIONÁRIO CNAES'!$A:$B, 2, FALSE)</f>
        <v>Comércio, manutenção e reparação de motocicletas, peças e acessórios</v>
      </c>
      <c r="E393" s="4">
        <v>2771.69410896</v>
      </c>
      <c r="F393" s="4">
        <v>4222577.011492</v>
      </c>
    </row>
    <row r="394" spans="1:6" x14ac:dyDescent="0.3">
      <c r="A394" s="3" t="s">
        <v>6</v>
      </c>
      <c r="B394" s="7" t="str">
        <f>VLOOKUP(VALUE(A394), 'DICIONÁRIO UF'!$A:$B, 2, FALSE)</f>
        <v>Amazonas</v>
      </c>
      <c r="C394" s="3">
        <v>48010</v>
      </c>
      <c r="D394" s="5" t="str">
        <f>VLOOKUP(C394, 'DICIONÁRIO CNAES'!$A:$B, 2, FALSE)</f>
        <v>Representantes comerciais e agentes do comércio, exceto de veículos automotores e motocicletas</v>
      </c>
      <c r="E394" s="4">
        <v>1505.78574263</v>
      </c>
      <c r="F394" s="4">
        <v>16394122.933724999</v>
      </c>
    </row>
    <row r="395" spans="1:6" x14ac:dyDescent="0.3">
      <c r="A395" s="3" t="s">
        <v>6</v>
      </c>
      <c r="B395" s="7" t="str">
        <f>VLOOKUP(VALUE(A395), 'DICIONÁRIO UF'!$A:$B, 2, FALSE)</f>
        <v>Amazonas</v>
      </c>
      <c r="C395" s="3">
        <v>48020</v>
      </c>
      <c r="D395" s="5" t="str">
        <f>VLOOKUP(C395, 'DICIONÁRIO CNAES'!$A:$B, 2, FALSE)</f>
        <v>Comércio de matérias-primas agrícolas e animais vivos</v>
      </c>
      <c r="E395" s="4">
        <v>259.23375854</v>
      </c>
      <c r="F395" s="4">
        <v>233310.382686</v>
      </c>
    </row>
    <row r="396" spans="1:6" x14ac:dyDescent="0.3">
      <c r="A396" s="3" t="s">
        <v>6</v>
      </c>
      <c r="B396" s="7" t="str">
        <f>VLOOKUP(VALUE(A396), 'DICIONÁRIO UF'!$A:$B, 2, FALSE)</f>
        <v>Amazonas</v>
      </c>
      <c r="C396" s="3">
        <v>48030</v>
      </c>
      <c r="D396" s="5" t="str">
        <f>VLOOKUP(C396, 'DICIONÁRIO CNAES'!$A:$B, 2, FALSE)</f>
        <v>Comércio de produtos alimentícios, bebidas e fumo</v>
      </c>
      <c r="E396" s="4">
        <v>97832.660863159996</v>
      </c>
      <c r="F396" s="4">
        <v>121719771.5176006</v>
      </c>
    </row>
    <row r="397" spans="1:6" x14ac:dyDescent="0.3">
      <c r="A397" s="3" t="s">
        <v>6</v>
      </c>
      <c r="B397" s="7" t="str">
        <f>VLOOKUP(VALUE(A397), 'DICIONÁRIO UF'!$A:$B, 2, FALSE)</f>
        <v>Amazonas</v>
      </c>
      <c r="C397" s="3">
        <v>48041</v>
      </c>
      <c r="D397" s="5" t="str">
        <f>VLOOKUP(C397, 'DICIONÁRIO CNAES'!$A:$B, 2, FALSE)</f>
        <v>Comércio de tecidos, artefatos de tecidos e armarinho</v>
      </c>
      <c r="E397" s="4">
        <v>3137.2440883700001</v>
      </c>
      <c r="F397" s="4">
        <v>4757779.0441950001</v>
      </c>
    </row>
    <row r="398" spans="1:6" x14ac:dyDescent="0.3">
      <c r="A398" s="3" t="s">
        <v>6</v>
      </c>
      <c r="B398" s="7" t="str">
        <f>VLOOKUP(VALUE(A398), 'DICIONÁRIO UF'!$A:$B, 2, FALSE)</f>
        <v>Amazonas</v>
      </c>
      <c r="C398" s="3">
        <v>48042</v>
      </c>
      <c r="D398" s="5" t="str">
        <f>VLOOKUP(C398, 'DICIONÁRIO CNAES'!$A:$B, 2, FALSE)</f>
        <v>Comércio de artigos do vestuário, complementos, calçados e artigos de viagem</v>
      </c>
      <c r="E398" s="4">
        <v>39937.18978352</v>
      </c>
      <c r="F398" s="4">
        <v>51485169.365740031</v>
      </c>
    </row>
    <row r="399" spans="1:6" x14ac:dyDescent="0.3">
      <c r="A399" s="3" t="s">
        <v>6</v>
      </c>
      <c r="B399" s="7" t="str">
        <f>VLOOKUP(VALUE(A399), 'DICIONÁRIO UF'!$A:$B, 2, FALSE)</f>
        <v>Amazonas</v>
      </c>
      <c r="C399" s="3">
        <v>48050</v>
      </c>
      <c r="D399" s="5" t="str">
        <f>VLOOKUP(C399, 'DICIONÁRIO CNAES'!$A:$B, 2, FALSE)</f>
        <v>Comércio de madeira, material de construção, ferragens e ferramentas</v>
      </c>
      <c r="E399" s="4">
        <v>13713.90867791</v>
      </c>
      <c r="F399" s="4">
        <v>51407288.879449397</v>
      </c>
    </row>
    <row r="400" spans="1:6" x14ac:dyDescent="0.3">
      <c r="A400" s="3" t="s">
        <v>6</v>
      </c>
      <c r="B400" s="7" t="str">
        <f>VLOOKUP(VALUE(A400), 'DICIONÁRIO UF'!$A:$B, 2, FALSE)</f>
        <v>Amazonas</v>
      </c>
      <c r="C400" s="3">
        <v>48060</v>
      </c>
      <c r="D400" s="5" t="str">
        <f>VLOOKUP(C400, 'DICIONÁRIO CNAES'!$A:$B, 2, FALSE)</f>
        <v>Comércio de combustíveis para veículos automotores</v>
      </c>
      <c r="E400" s="4">
        <v>8729.2670043199996</v>
      </c>
      <c r="F400" s="4">
        <v>17699636.233429</v>
      </c>
    </row>
    <row r="401" spans="1:6" x14ac:dyDescent="0.3">
      <c r="A401" s="3" t="s">
        <v>6</v>
      </c>
      <c r="B401" s="7" t="str">
        <f>VLOOKUP(VALUE(A401), 'DICIONÁRIO UF'!$A:$B, 2, FALSE)</f>
        <v>Amazonas</v>
      </c>
      <c r="C401" s="3">
        <v>48071</v>
      </c>
      <c r="D401" s="5" t="str">
        <f>VLOOKUP(C401, 'DICIONÁRIO CNAES'!$A:$B, 2, FALSE)</f>
        <v>Comércio de produtos farmaceuticos, médicos, ortopédicos, odontológicos e de cosméticos e perfumaria</v>
      </c>
      <c r="E401" s="4">
        <v>33565.175390409997</v>
      </c>
      <c r="F401" s="4">
        <v>48585733.979948699</v>
      </c>
    </row>
    <row r="402" spans="1:6" x14ac:dyDescent="0.3">
      <c r="A402" s="3" t="s">
        <v>6</v>
      </c>
      <c r="B402" s="7" t="str">
        <f>VLOOKUP(VALUE(A402), 'DICIONÁRIO UF'!$A:$B, 2, FALSE)</f>
        <v>Amazonas</v>
      </c>
      <c r="C402" s="3">
        <v>48072</v>
      </c>
      <c r="D402" s="5" t="str">
        <f>VLOOKUP(C402, 'DICIONÁRIO CNAES'!$A:$B, 2, FALSE)</f>
        <v>Comércio de artigos de escritório e de papelaria; livros, jornais e outras publicações</v>
      </c>
      <c r="E402" s="4">
        <v>2715.15399772</v>
      </c>
      <c r="F402" s="4">
        <v>3583021.9076419999</v>
      </c>
    </row>
    <row r="403" spans="1:6" x14ac:dyDescent="0.3">
      <c r="A403" s="3" t="s">
        <v>6</v>
      </c>
      <c r="B403" s="7" t="str">
        <f>VLOOKUP(VALUE(A403), 'DICIONÁRIO UF'!$A:$B, 2, FALSE)</f>
        <v>Amazonas</v>
      </c>
      <c r="C403" s="3">
        <v>48073</v>
      </c>
      <c r="D403" s="5" t="str">
        <f>VLOOKUP(C403, 'DICIONÁRIO CNAES'!$A:$B, 2, FALSE)</f>
        <v>Comércio de eletrodomésticos, móveis e outros artigos de residência</v>
      </c>
      <c r="E403" s="4">
        <v>13824.04441518</v>
      </c>
      <c r="F403" s="4">
        <v>16290540.274578249</v>
      </c>
    </row>
    <row r="404" spans="1:6" x14ac:dyDescent="0.3">
      <c r="A404" s="3" t="s">
        <v>6</v>
      </c>
      <c r="B404" s="7" t="str">
        <f>VLOOKUP(VALUE(A404), 'DICIONÁRIO UF'!$A:$B, 2, FALSE)</f>
        <v>Amazonas</v>
      </c>
      <c r="C404" s="3">
        <v>48074</v>
      </c>
      <c r="D404" s="5" t="str">
        <f>VLOOKUP(C404, 'DICIONÁRIO CNAES'!$A:$B, 2, FALSE)</f>
        <v>Comércio de equipamentos e produtos de tecnologias de informação e comunicação</v>
      </c>
      <c r="E404" s="4">
        <v>2118.6529295800001</v>
      </c>
      <c r="F404" s="4">
        <v>1854022.0721024999</v>
      </c>
    </row>
    <row r="405" spans="1:6" x14ac:dyDescent="0.3">
      <c r="A405" s="3" t="s">
        <v>6</v>
      </c>
      <c r="B405" s="7" t="str">
        <f>VLOOKUP(VALUE(A405), 'DICIONÁRIO UF'!$A:$B, 2, FALSE)</f>
        <v>Amazonas</v>
      </c>
      <c r="C405" s="3">
        <v>48075</v>
      </c>
      <c r="D405" s="5" t="str">
        <f>VLOOKUP(C405, 'DICIONÁRIO CNAES'!$A:$B, 2, FALSE)</f>
        <v xml:space="preserve">Comércio de máquinas, aparelhos e equipamentos, exceto eletrodomésticos </v>
      </c>
      <c r="E405" s="4">
        <v>2173.44883471</v>
      </c>
      <c r="F405" s="4">
        <v>8731556.0639890004</v>
      </c>
    </row>
    <row r="406" spans="1:6" x14ac:dyDescent="0.3">
      <c r="A406" s="3" t="s">
        <v>6</v>
      </c>
      <c r="B406" s="7" t="str">
        <f>VLOOKUP(VALUE(A406), 'DICIONÁRIO UF'!$A:$B, 2, FALSE)</f>
        <v>Amazonas</v>
      </c>
      <c r="C406" s="3">
        <v>48076</v>
      </c>
      <c r="D406" s="5" t="str">
        <f>VLOOKUP(C406, 'DICIONÁRIO CNAES'!$A:$B, 2, FALSE)</f>
        <v>Comércio de combustíveis sólidos, líquidos e gasosos, exceto para veículos automotores</v>
      </c>
      <c r="E406" s="4">
        <v>976.82748821000007</v>
      </c>
      <c r="F406" s="4">
        <v>3513683.976650001</v>
      </c>
    </row>
    <row r="407" spans="1:6" x14ac:dyDescent="0.3">
      <c r="A407" s="3" t="s">
        <v>6</v>
      </c>
      <c r="B407" s="7" t="str">
        <f>VLOOKUP(VALUE(A407), 'DICIONÁRIO UF'!$A:$B, 2, FALSE)</f>
        <v>Amazonas</v>
      </c>
      <c r="C407" s="3">
        <v>48077</v>
      </c>
      <c r="D407" s="5" t="str">
        <f>VLOOKUP(C407, 'DICIONÁRIO CNAES'!$A:$B, 2, FALSE)</f>
        <v>Comércio de produtos usados</v>
      </c>
      <c r="E407" s="4">
        <v>301.69880612999998</v>
      </c>
      <c r="F407" s="4">
        <v>36421.839102500002</v>
      </c>
    </row>
    <row r="408" spans="1:6" x14ac:dyDescent="0.3">
      <c r="A408" s="3" t="s">
        <v>6</v>
      </c>
      <c r="B408" s="7" t="str">
        <f>VLOOKUP(VALUE(A408), 'DICIONÁRIO UF'!$A:$B, 2, FALSE)</f>
        <v>Amazonas</v>
      </c>
      <c r="C408" s="3">
        <v>48078</v>
      </c>
      <c r="D408" s="5" t="str">
        <f>VLOOKUP(C408, 'DICIONÁRIO CNAES'!$A:$B, 2, FALSE)</f>
        <v>Comercio de residuos e sucatas</v>
      </c>
      <c r="E408" s="4">
        <v>1242.5728917500001</v>
      </c>
      <c r="F408" s="4">
        <v>512388.89735699998</v>
      </c>
    </row>
    <row r="409" spans="1:6" x14ac:dyDescent="0.3">
      <c r="A409" s="3" t="s">
        <v>6</v>
      </c>
      <c r="B409" s="7" t="str">
        <f>VLOOKUP(VALUE(A409), 'DICIONÁRIO UF'!$A:$B, 2, FALSE)</f>
        <v>Amazonas</v>
      </c>
      <c r="C409" s="3">
        <v>48079</v>
      </c>
      <c r="D409" s="5" t="str">
        <f>VLOOKUP(C409, 'DICIONÁRIO CNAES'!$A:$B, 2, FALSE)</f>
        <v>Comércio de produtos novos não especificados anteriormente</v>
      </c>
      <c r="E409" s="4">
        <v>14234.60530927</v>
      </c>
      <c r="F409" s="4">
        <v>18886059.138559151</v>
      </c>
    </row>
    <row r="410" spans="1:6" x14ac:dyDescent="0.3">
      <c r="A410" s="3" t="s">
        <v>6</v>
      </c>
      <c r="B410" s="7" t="str">
        <f>VLOOKUP(VALUE(A410), 'DICIONÁRIO UF'!$A:$B, 2, FALSE)</f>
        <v>Amazonas</v>
      </c>
      <c r="C410" s="3">
        <v>48080</v>
      </c>
      <c r="D410" s="5" t="str">
        <f>VLOOKUP(C410, 'DICIONÁRIO CNAES'!$A:$B, 2, FALSE)</f>
        <v>Supermercado e hipermercado</v>
      </c>
      <c r="E410" s="4">
        <v>26431.77256116</v>
      </c>
      <c r="F410" s="4">
        <v>39092083.060467362</v>
      </c>
    </row>
    <row r="411" spans="1:6" x14ac:dyDescent="0.3">
      <c r="A411" s="3" t="s">
        <v>6</v>
      </c>
      <c r="B411" s="7" t="str">
        <f>VLOOKUP(VALUE(A411), 'DICIONÁRIO UF'!$A:$B, 2, FALSE)</f>
        <v>Amazonas</v>
      </c>
      <c r="C411" s="3">
        <v>48090</v>
      </c>
      <c r="D411" s="5" t="str">
        <f>VLOOKUP(C411, 'DICIONÁRIO CNAES'!$A:$B, 2, FALSE)</f>
        <v>Lojas de departamento e outros comércios não especializados, sem predominância de produtos alimentícios</v>
      </c>
      <c r="E411" s="4">
        <v>5035.7521374600001</v>
      </c>
      <c r="F411" s="4">
        <v>11426664.838509999</v>
      </c>
    </row>
    <row r="412" spans="1:6" x14ac:dyDescent="0.3">
      <c r="A412" s="3" t="s">
        <v>6</v>
      </c>
      <c r="B412" s="7" t="str">
        <f>VLOOKUP(VALUE(A412), 'DICIONÁRIO UF'!$A:$B, 2, FALSE)</f>
        <v>Amazonas</v>
      </c>
      <c r="C412" s="3">
        <v>48100</v>
      </c>
      <c r="D412" s="5" t="str">
        <f>VLOOKUP(C412, 'DICIONÁRIO CNAES'!$A:$B, 2, FALSE)</f>
        <v>Comércio ambulante e feiras</v>
      </c>
      <c r="E412" s="4">
        <v>16876.657046290002</v>
      </c>
      <c r="F412" s="4">
        <v>14362175.556776499</v>
      </c>
    </row>
    <row r="413" spans="1:6" x14ac:dyDescent="0.3">
      <c r="A413" s="3" t="s">
        <v>6</v>
      </c>
      <c r="B413" s="7" t="str">
        <f>VLOOKUP(VALUE(A413), 'DICIONÁRIO UF'!$A:$B, 2, FALSE)</f>
        <v>Amazonas</v>
      </c>
      <c r="C413" s="3">
        <v>49030</v>
      </c>
      <c r="D413" s="5" t="str">
        <f>VLOOKUP(C413, 'DICIONÁRIO CNAES'!$A:$B, 2, FALSE)</f>
        <v>Transporte rodoviário de passageiros</v>
      </c>
      <c r="E413" s="4">
        <v>49679.748364159997</v>
      </c>
      <c r="F413" s="4">
        <v>73115064.371682897</v>
      </c>
    </row>
    <row r="414" spans="1:6" x14ac:dyDescent="0.3">
      <c r="A414" s="3" t="s">
        <v>6</v>
      </c>
      <c r="B414" s="7" t="str">
        <f>VLOOKUP(VALUE(A414), 'DICIONÁRIO UF'!$A:$B, 2, FALSE)</f>
        <v>Amazonas</v>
      </c>
      <c r="C414" s="3">
        <v>49040</v>
      </c>
      <c r="D414" s="5" t="str">
        <f>VLOOKUP(C414, 'DICIONÁRIO CNAES'!$A:$B, 2, FALSE)</f>
        <v>Transporte rodoviário de carga</v>
      </c>
      <c r="E414" s="4">
        <v>20568.75884251</v>
      </c>
      <c r="F414" s="4">
        <v>31121234.692278702</v>
      </c>
    </row>
    <row r="415" spans="1:6" x14ac:dyDescent="0.3">
      <c r="A415" s="3" t="s">
        <v>6</v>
      </c>
      <c r="B415" s="7" t="str">
        <f>VLOOKUP(VALUE(A415), 'DICIONÁRIO UF'!$A:$B, 2, FALSE)</f>
        <v>Amazonas</v>
      </c>
      <c r="C415" s="3">
        <v>50000</v>
      </c>
      <c r="D415" s="5" t="str">
        <f>VLOOKUP(C415, 'DICIONÁRIO CNAES'!$A:$B, 2, FALSE)</f>
        <v>Transporte Aquaviário</v>
      </c>
      <c r="E415" s="4">
        <v>10493.232696360001</v>
      </c>
      <c r="F415" s="4">
        <v>21445033.239937551</v>
      </c>
    </row>
    <row r="416" spans="1:6" x14ac:dyDescent="0.3">
      <c r="A416" s="3" t="s">
        <v>6</v>
      </c>
      <c r="B416" s="7" t="str">
        <f>VLOOKUP(VALUE(A416), 'DICIONÁRIO UF'!$A:$B, 2, FALSE)</f>
        <v>Amazonas</v>
      </c>
      <c r="C416" s="3">
        <v>51000</v>
      </c>
      <c r="D416" s="5" t="str">
        <f>VLOOKUP(C416, 'DICIONÁRIO CNAES'!$A:$B, 2, FALSE)</f>
        <v>Transporte Aéreo</v>
      </c>
      <c r="E416" s="4">
        <v>2466.0032948100002</v>
      </c>
      <c r="F416" s="4">
        <v>7619543.1367920004</v>
      </c>
    </row>
    <row r="417" spans="1:6" x14ac:dyDescent="0.3">
      <c r="A417" s="3" t="s">
        <v>6</v>
      </c>
      <c r="B417" s="7" t="str">
        <f>VLOOKUP(VALUE(A417), 'DICIONÁRIO UF'!$A:$B, 2, FALSE)</f>
        <v>Amazonas</v>
      </c>
      <c r="C417" s="3">
        <v>52010</v>
      </c>
      <c r="D417" s="5" t="str">
        <f>VLOOKUP(C417, 'DICIONÁRIO CNAES'!$A:$B, 2, FALSE)</f>
        <v>Armazenamento, carga e descarga</v>
      </c>
      <c r="E417" s="4">
        <v>4021.9940249599999</v>
      </c>
      <c r="F417" s="4">
        <v>2901149.1054890002</v>
      </c>
    </row>
    <row r="418" spans="1:6" x14ac:dyDescent="0.3">
      <c r="A418" s="3" t="s">
        <v>6</v>
      </c>
      <c r="B418" s="7" t="str">
        <f>VLOOKUP(VALUE(A418), 'DICIONÁRIO UF'!$A:$B, 2, FALSE)</f>
        <v>Amazonas</v>
      </c>
      <c r="C418" s="3">
        <v>52020</v>
      </c>
      <c r="D418" s="5" t="str">
        <f>VLOOKUP(C418, 'DICIONÁRIO CNAES'!$A:$B, 2, FALSE)</f>
        <v xml:space="preserve">Atividades auxiliares dos transportes e atividades relacionadas à organização do transporte de carga </v>
      </c>
      <c r="E418" s="4">
        <v>3130.9387423600001</v>
      </c>
      <c r="F418" s="4">
        <v>5406919.9159019999</v>
      </c>
    </row>
    <row r="419" spans="1:6" x14ac:dyDescent="0.3">
      <c r="A419" s="3" t="s">
        <v>6</v>
      </c>
      <c r="B419" s="7" t="str">
        <f>VLOOKUP(VALUE(A419), 'DICIONÁRIO UF'!$A:$B, 2, FALSE)</f>
        <v>Amazonas</v>
      </c>
      <c r="C419" s="3">
        <v>53001</v>
      </c>
      <c r="D419" s="5" t="str">
        <f>VLOOKUP(C419, 'DICIONÁRIO CNAES'!$A:$B, 2, FALSE)</f>
        <v>Atividades de Correio</v>
      </c>
      <c r="E419" s="4">
        <v>818.68712994999999</v>
      </c>
      <c r="F419" s="4">
        <v>4805281.9364799997</v>
      </c>
    </row>
    <row r="420" spans="1:6" x14ac:dyDescent="0.3">
      <c r="A420" s="3" t="s">
        <v>6</v>
      </c>
      <c r="B420" s="7" t="str">
        <f>VLOOKUP(VALUE(A420), 'DICIONÁRIO UF'!$A:$B, 2, FALSE)</f>
        <v>Amazonas</v>
      </c>
      <c r="C420" s="3">
        <v>53002</v>
      </c>
      <c r="D420" s="5" t="str">
        <f>VLOOKUP(C420, 'DICIONÁRIO CNAES'!$A:$B, 2, FALSE)</f>
        <v>Atividades de malote e de entrega</v>
      </c>
      <c r="E420" s="4">
        <v>2832.1343840599998</v>
      </c>
      <c r="F420" s="4">
        <v>3239140.6514929999</v>
      </c>
    </row>
    <row r="421" spans="1:6" x14ac:dyDescent="0.3">
      <c r="A421" s="3" t="s">
        <v>6</v>
      </c>
      <c r="B421" s="7" t="str">
        <f>VLOOKUP(VALUE(A421), 'DICIONÁRIO UF'!$A:$B, 2, FALSE)</f>
        <v>Amazonas</v>
      </c>
      <c r="C421" s="3">
        <v>55000</v>
      </c>
      <c r="D421" s="5" t="str">
        <f>VLOOKUP(C421, 'DICIONÁRIO CNAES'!$A:$B, 2, FALSE)</f>
        <v>Alojamento</v>
      </c>
      <c r="E421" s="4">
        <v>2858.5399896399999</v>
      </c>
      <c r="F421" s="4">
        <v>3579095.2998649999</v>
      </c>
    </row>
    <row r="422" spans="1:6" x14ac:dyDescent="0.3">
      <c r="A422" s="3" t="s">
        <v>6</v>
      </c>
      <c r="B422" s="7" t="str">
        <f>VLOOKUP(VALUE(A422), 'DICIONÁRIO UF'!$A:$B, 2, FALSE)</f>
        <v>Amazonas</v>
      </c>
      <c r="C422" s="3">
        <v>56011</v>
      </c>
      <c r="D422" s="5" t="str">
        <f>VLOOKUP(C422, 'DICIONÁRIO CNAES'!$A:$B, 2, FALSE)</f>
        <v>Restaurantes e outros estabelecimentos de serviços de alimentação e bebidas</v>
      </c>
      <c r="E422" s="4">
        <v>52995.222045440001</v>
      </c>
      <c r="F422" s="4">
        <v>66445859.622079983</v>
      </c>
    </row>
    <row r="423" spans="1:6" x14ac:dyDescent="0.3">
      <c r="A423" s="3" t="s">
        <v>6</v>
      </c>
      <c r="B423" s="7" t="str">
        <f>VLOOKUP(VALUE(A423), 'DICIONÁRIO UF'!$A:$B, 2, FALSE)</f>
        <v>Amazonas</v>
      </c>
      <c r="C423" s="3">
        <v>56012</v>
      </c>
      <c r="D423" s="5" t="str">
        <f>VLOOKUP(C423, 'DICIONÁRIO CNAES'!$A:$B, 2, FALSE)</f>
        <v>Serviços de catering, bufê e outros serviços de comida preparada</v>
      </c>
      <c r="E423" s="4">
        <v>15348.425027769999</v>
      </c>
      <c r="F423" s="4">
        <v>16871322.481086802</v>
      </c>
    </row>
    <row r="424" spans="1:6" x14ac:dyDescent="0.3">
      <c r="A424" s="3" t="s">
        <v>6</v>
      </c>
      <c r="B424" s="7" t="str">
        <f>VLOOKUP(VALUE(A424), 'DICIONÁRIO UF'!$A:$B, 2, FALSE)</f>
        <v>Amazonas</v>
      </c>
      <c r="C424" s="3">
        <v>56020</v>
      </c>
      <c r="D424" s="5" t="str">
        <f>VLOOKUP(C424, 'DICIONÁRIO CNAES'!$A:$B, 2, FALSE)</f>
        <v>Serviços ambulantes de alimentação</v>
      </c>
      <c r="E424" s="4">
        <v>11936.10840773</v>
      </c>
      <c r="F424" s="4">
        <v>9467900.8199576996</v>
      </c>
    </row>
    <row r="425" spans="1:6" x14ac:dyDescent="0.3">
      <c r="A425" s="3" t="s">
        <v>6</v>
      </c>
      <c r="B425" s="7" t="str">
        <f>VLOOKUP(VALUE(A425), 'DICIONÁRIO UF'!$A:$B, 2, FALSE)</f>
        <v>Amazonas</v>
      </c>
      <c r="C425" s="3">
        <v>58000</v>
      </c>
      <c r="D425" s="5" t="str">
        <f>VLOOKUP(C425, 'DICIONÁRIO CNAES'!$A:$B, 2, FALSE)</f>
        <v xml:space="preserve">Edição e Edição integrada à impressão </v>
      </c>
      <c r="E425" s="4">
        <v>1623.13459341</v>
      </c>
      <c r="F425" s="4">
        <v>5563203.7220689999</v>
      </c>
    </row>
    <row r="426" spans="1:6" x14ac:dyDescent="0.3">
      <c r="A426" s="3" t="s">
        <v>6</v>
      </c>
      <c r="B426" s="7" t="str">
        <f>VLOOKUP(VALUE(A426), 'DICIONÁRIO UF'!$A:$B, 2, FALSE)</f>
        <v>Amazonas</v>
      </c>
      <c r="C426" s="3">
        <v>60001</v>
      </c>
      <c r="D426" s="5" t="str">
        <f>VLOOKUP(C426, 'DICIONÁRIO CNAES'!$A:$B, 2, FALSE)</f>
        <v>Atividades de rádio</v>
      </c>
      <c r="E426" s="4">
        <v>618.79529717000003</v>
      </c>
      <c r="F426" s="4">
        <v>4546890.02654</v>
      </c>
    </row>
    <row r="427" spans="1:6" x14ac:dyDescent="0.3">
      <c r="A427" s="3" t="s">
        <v>6</v>
      </c>
      <c r="B427" s="7" t="str">
        <f>VLOOKUP(VALUE(A427), 'DICIONÁRIO UF'!$A:$B, 2, FALSE)</f>
        <v>Amazonas</v>
      </c>
      <c r="C427" s="3">
        <v>60002</v>
      </c>
      <c r="D427" s="5" t="str">
        <f>VLOOKUP(C427, 'DICIONÁRIO CNAES'!$A:$B, 2, FALSE)</f>
        <v>Atividades de televisão</v>
      </c>
      <c r="E427" s="4">
        <v>449.43593105000002</v>
      </c>
      <c r="F427" s="4">
        <v>1061505.4550999999</v>
      </c>
    </row>
    <row r="428" spans="1:6" x14ac:dyDescent="0.3">
      <c r="A428" s="3" t="s">
        <v>6</v>
      </c>
      <c r="B428" s="7" t="str">
        <f>VLOOKUP(VALUE(A428), 'DICIONÁRIO UF'!$A:$B, 2, FALSE)</f>
        <v>Amazonas</v>
      </c>
      <c r="C428" s="3">
        <v>61000</v>
      </c>
      <c r="D428" s="5" t="str">
        <f>VLOOKUP(C428, 'DICIONÁRIO CNAES'!$A:$B, 2, FALSE)</f>
        <v>Telecomunicações</v>
      </c>
      <c r="E428" s="4">
        <v>8515.6214077299992</v>
      </c>
      <c r="F428" s="4">
        <v>15880219.466352001</v>
      </c>
    </row>
    <row r="429" spans="1:6" x14ac:dyDescent="0.3">
      <c r="A429" s="3" t="s">
        <v>6</v>
      </c>
      <c r="B429" s="7" t="str">
        <f>VLOOKUP(VALUE(A429), 'DICIONÁRIO UF'!$A:$B, 2, FALSE)</f>
        <v>Amazonas</v>
      </c>
      <c r="C429" s="3">
        <v>62000</v>
      </c>
      <c r="D429" s="5" t="str">
        <f>VLOOKUP(C429, 'DICIONÁRIO CNAES'!$A:$B, 2, FALSE)</f>
        <v>Atividades dos serviços de tecnologia da informação</v>
      </c>
      <c r="E429" s="4">
        <v>5133.1441404100005</v>
      </c>
      <c r="F429" s="4">
        <v>19192825.800760999</v>
      </c>
    </row>
    <row r="430" spans="1:6" x14ac:dyDescent="0.3">
      <c r="A430" s="3" t="s">
        <v>6</v>
      </c>
      <c r="B430" s="7" t="str">
        <f>VLOOKUP(VALUE(A430), 'DICIONÁRIO UF'!$A:$B, 2, FALSE)</f>
        <v>Amazonas</v>
      </c>
      <c r="C430" s="3">
        <v>63000</v>
      </c>
      <c r="D430" s="5" t="str">
        <f>VLOOKUP(C430, 'DICIONÁRIO CNAES'!$A:$B, 2, FALSE)</f>
        <v>Atividades de prestação de serviços de informação</v>
      </c>
      <c r="E430" s="4">
        <v>273.68184169</v>
      </c>
      <c r="F430" s="4">
        <v>164209.105014</v>
      </c>
    </row>
    <row r="431" spans="1:6" x14ac:dyDescent="0.3">
      <c r="A431" s="3" t="s">
        <v>6</v>
      </c>
      <c r="B431" s="7" t="str">
        <f>VLOOKUP(VALUE(A431), 'DICIONÁRIO UF'!$A:$B, 2, FALSE)</f>
        <v>Amazonas</v>
      </c>
      <c r="C431" s="3">
        <v>64000</v>
      </c>
      <c r="D431" s="5" t="str">
        <f>VLOOKUP(C431, 'DICIONÁRIO CNAES'!$A:$B, 2, FALSE)</f>
        <v>Serviços financeiros</v>
      </c>
      <c r="E431" s="4">
        <v>2622.11344121</v>
      </c>
      <c r="F431" s="4">
        <v>9019003.1974330004</v>
      </c>
    </row>
    <row r="432" spans="1:6" x14ac:dyDescent="0.3">
      <c r="A432" s="3" t="s">
        <v>6</v>
      </c>
      <c r="B432" s="7" t="str">
        <f>VLOOKUP(VALUE(A432), 'DICIONÁRIO UF'!$A:$B, 2, FALSE)</f>
        <v>Amazonas</v>
      </c>
      <c r="C432" s="3">
        <v>66001</v>
      </c>
      <c r="D432" s="5" t="str">
        <f>VLOOKUP(C432, 'DICIONÁRIO CNAES'!$A:$B, 2, FALSE)</f>
        <v>Atividades auxiliares dos serviços financeiros</v>
      </c>
      <c r="E432" s="4">
        <v>455.97627877999997</v>
      </c>
      <c r="F432" s="4">
        <v>3191833.9514600001</v>
      </c>
    </row>
    <row r="433" spans="1:6" x14ac:dyDescent="0.3">
      <c r="A433" s="3" t="s">
        <v>6</v>
      </c>
      <c r="B433" s="7" t="str">
        <f>VLOOKUP(VALUE(A433), 'DICIONÁRIO UF'!$A:$B, 2, FALSE)</f>
        <v>Amazonas</v>
      </c>
      <c r="C433" s="3">
        <v>68000</v>
      </c>
      <c r="D433" s="5" t="str">
        <f>VLOOKUP(C433, 'DICIONÁRIO CNAES'!$A:$B, 2, FALSE)</f>
        <v>Atividades imobiliárias</v>
      </c>
      <c r="E433" s="4">
        <v>2158.4558192700001</v>
      </c>
      <c r="F433" s="4">
        <v>8026067.4840567</v>
      </c>
    </row>
    <row r="434" spans="1:6" x14ac:dyDescent="0.3">
      <c r="A434" s="3" t="s">
        <v>6</v>
      </c>
      <c r="B434" s="7" t="str">
        <f>VLOOKUP(VALUE(A434), 'DICIONÁRIO UF'!$A:$B, 2, FALSE)</f>
        <v>Amazonas</v>
      </c>
      <c r="C434" s="3">
        <v>69000</v>
      </c>
      <c r="D434" s="5" t="str">
        <f>VLOOKUP(C434, 'DICIONÁRIO CNAES'!$A:$B, 2, FALSE)</f>
        <v xml:space="preserve">Atividades jurídicas, de contabilidade e de auditoria </v>
      </c>
      <c r="E434" s="4">
        <v>16297.30437602</v>
      </c>
      <c r="F434" s="4">
        <v>70725051.838751495</v>
      </c>
    </row>
    <row r="435" spans="1:6" x14ac:dyDescent="0.3">
      <c r="A435" s="3" t="s">
        <v>6</v>
      </c>
      <c r="B435" s="7" t="str">
        <f>VLOOKUP(VALUE(A435), 'DICIONÁRIO UF'!$A:$B, 2, FALSE)</f>
        <v>Amazonas</v>
      </c>
      <c r="C435" s="3">
        <v>70000</v>
      </c>
      <c r="D435" s="5" t="str">
        <f>VLOOKUP(C435, 'DICIONÁRIO CNAES'!$A:$B, 2, FALSE)</f>
        <v>Atividades de consultoria em gestão empresarial</v>
      </c>
      <c r="E435" s="4">
        <v>1028.77897429</v>
      </c>
      <c r="F435" s="4">
        <v>1648782.5546754999</v>
      </c>
    </row>
    <row r="436" spans="1:6" x14ac:dyDescent="0.3">
      <c r="A436" s="3" t="s">
        <v>6</v>
      </c>
      <c r="B436" s="7" t="str">
        <f>VLOOKUP(VALUE(A436), 'DICIONÁRIO UF'!$A:$B, 2, FALSE)</f>
        <v>Amazonas</v>
      </c>
      <c r="C436" s="3">
        <v>71000</v>
      </c>
      <c r="D436" s="5" t="str">
        <f>VLOOKUP(C436, 'DICIONÁRIO CNAES'!$A:$B, 2, FALSE)</f>
        <v>Serviços de arquitetura e engenharia e atividades técnicas relacionadas; Testes e análises técnicas</v>
      </c>
      <c r="E436" s="4">
        <v>4192.2156640000003</v>
      </c>
      <c r="F436" s="4">
        <v>15399482.351283001</v>
      </c>
    </row>
    <row r="437" spans="1:6" x14ac:dyDescent="0.3">
      <c r="A437" s="3" t="s">
        <v>6</v>
      </c>
      <c r="B437" s="7" t="str">
        <f>VLOOKUP(VALUE(A437), 'DICIONÁRIO UF'!$A:$B, 2, FALSE)</f>
        <v>Amazonas</v>
      </c>
      <c r="C437" s="3">
        <v>72000</v>
      </c>
      <c r="D437" s="5" t="str">
        <f>VLOOKUP(C437, 'DICIONÁRIO CNAES'!$A:$B, 2, FALSE)</f>
        <v>Pesquisa e desenvolvimento científico</v>
      </c>
      <c r="E437" s="4">
        <v>1412.9637204200001</v>
      </c>
      <c r="F437" s="4">
        <v>13752963.922684999</v>
      </c>
    </row>
    <row r="438" spans="1:6" x14ac:dyDescent="0.3">
      <c r="A438" s="3" t="s">
        <v>6</v>
      </c>
      <c r="B438" s="7" t="str">
        <f>VLOOKUP(VALUE(A438), 'DICIONÁRIO UF'!$A:$B, 2, FALSE)</f>
        <v>Amazonas</v>
      </c>
      <c r="C438" s="3">
        <v>73010</v>
      </c>
      <c r="D438" s="5" t="str">
        <f>VLOOKUP(C438, 'DICIONÁRIO CNAES'!$A:$B, 2, FALSE)</f>
        <v>Publicidade</v>
      </c>
      <c r="E438" s="4">
        <v>961.65859416000001</v>
      </c>
      <c r="F438" s="4">
        <v>1390736.1534249999</v>
      </c>
    </row>
    <row r="439" spans="1:6" x14ac:dyDescent="0.3">
      <c r="A439" s="3" t="s">
        <v>6</v>
      </c>
      <c r="B439" s="7" t="str">
        <f>VLOOKUP(VALUE(A439), 'DICIONÁRIO UF'!$A:$B, 2, FALSE)</f>
        <v>Amazonas</v>
      </c>
      <c r="C439" s="3">
        <v>73020</v>
      </c>
      <c r="D439" s="5" t="str">
        <f>VLOOKUP(C439, 'DICIONÁRIO CNAES'!$A:$B, 2, FALSE)</f>
        <v>Pesquisas de mercado e opinião pública</v>
      </c>
      <c r="E439" s="4">
        <v>240.60182014</v>
      </c>
      <c r="F439" s="4">
        <v>264662.00215399999</v>
      </c>
    </row>
    <row r="440" spans="1:6" x14ac:dyDescent="0.3">
      <c r="A440" s="3" t="s">
        <v>6</v>
      </c>
      <c r="B440" s="7" t="str">
        <f>VLOOKUP(VALUE(A440), 'DICIONÁRIO UF'!$A:$B, 2, FALSE)</f>
        <v>Amazonas</v>
      </c>
      <c r="C440" s="3">
        <v>74000</v>
      </c>
      <c r="D440" s="5" t="str">
        <f>VLOOKUP(C440, 'DICIONÁRIO CNAES'!$A:$B, 2, FALSE)</f>
        <v>Outras atividades profissionais, científicas e técnicas não especificadas anteriormente</v>
      </c>
      <c r="E440" s="4">
        <v>5726.71966926</v>
      </c>
      <c r="F440" s="4">
        <v>9981625.3864999991</v>
      </c>
    </row>
    <row r="441" spans="1:6" x14ac:dyDescent="0.3">
      <c r="A441" s="3" t="s">
        <v>6</v>
      </c>
      <c r="B441" s="7" t="str">
        <f>VLOOKUP(VALUE(A441), 'DICIONÁRIO UF'!$A:$B, 2, FALSE)</f>
        <v>Amazonas</v>
      </c>
      <c r="C441" s="3">
        <v>77010</v>
      </c>
      <c r="D441" s="5" t="str">
        <f>VLOOKUP(C441, 'DICIONÁRIO CNAES'!$A:$B, 2, FALSE)</f>
        <v>Aluguel de objetos pessoais e domésticos</v>
      </c>
      <c r="E441" s="4">
        <v>1374.6616655600001</v>
      </c>
      <c r="F441" s="4">
        <v>3257404.0134959999</v>
      </c>
    </row>
    <row r="442" spans="1:6" x14ac:dyDescent="0.3">
      <c r="A442" s="3" t="s">
        <v>6</v>
      </c>
      <c r="B442" s="7" t="str">
        <f>VLOOKUP(VALUE(A442), 'DICIONÁRIO UF'!$A:$B, 2, FALSE)</f>
        <v>Amazonas</v>
      </c>
      <c r="C442" s="3">
        <v>77020</v>
      </c>
      <c r="D442" s="5" t="str">
        <f>VLOOKUP(C442, 'DICIONÁRIO CNAES'!$A:$B, 2, FALSE)</f>
        <v>Aluguel de meios de transportes, maquinas e equipamentos sem operador e gestão de ativos intangíveis não financeiros</v>
      </c>
      <c r="E442" s="4">
        <v>683.4368252700001</v>
      </c>
      <c r="F442" s="4">
        <v>2208119.5268910001</v>
      </c>
    </row>
    <row r="443" spans="1:6" x14ac:dyDescent="0.3">
      <c r="A443" s="3" t="s">
        <v>6</v>
      </c>
      <c r="B443" s="7" t="str">
        <f>VLOOKUP(VALUE(A443), 'DICIONÁRIO UF'!$A:$B, 2, FALSE)</f>
        <v>Amazonas</v>
      </c>
      <c r="C443" s="3">
        <v>78000</v>
      </c>
      <c r="D443" s="5" t="str">
        <f>VLOOKUP(C443, 'DICIONÁRIO CNAES'!$A:$B, 2, FALSE)</f>
        <v>Seleção, agenciamento e locação de mão-de-obra</v>
      </c>
      <c r="E443" s="4">
        <v>4930.1203857700002</v>
      </c>
      <c r="F443" s="4">
        <v>7180554.4761159997</v>
      </c>
    </row>
    <row r="444" spans="1:6" x14ac:dyDescent="0.3">
      <c r="A444" s="3" t="s">
        <v>6</v>
      </c>
      <c r="B444" s="7" t="str">
        <f>VLOOKUP(VALUE(A444), 'DICIONÁRIO UF'!$A:$B, 2, FALSE)</f>
        <v>Amazonas</v>
      </c>
      <c r="C444" s="3">
        <v>79000</v>
      </c>
      <c r="D444" s="5" t="str">
        <f>VLOOKUP(C444, 'DICIONÁRIO CNAES'!$A:$B, 2, FALSE)</f>
        <v>Agências de viagens, operadores turísticos e serviços de reservas</v>
      </c>
      <c r="E444" s="4">
        <v>283.81469755000001</v>
      </c>
      <c r="F444" s="4">
        <v>689254.24557999999</v>
      </c>
    </row>
    <row r="445" spans="1:6" x14ac:dyDescent="0.3">
      <c r="A445" s="3" t="s">
        <v>6</v>
      </c>
      <c r="B445" s="7" t="str">
        <f>VLOOKUP(VALUE(A445), 'DICIONÁRIO UF'!$A:$B, 2, FALSE)</f>
        <v>Amazonas</v>
      </c>
      <c r="C445" s="3">
        <v>80000</v>
      </c>
      <c r="D445" s="5" t="str">
        <f>VLOOKUP(C445, 'DICIONÁRIO CNAES'!$A:$B, 2, FALSE)</f>
        <v>Atividades de vigilância, segurança, transporte de valores e investigação</v>
      </c>
      <c r="E445" s="4">
        <v>22751.665165409999</v>
      </c>
      <c r="F445" s="4">
        <v>37518071.409661323</v>
      </c>
    </row>
    <row r="446" spans="1:6" x14ac:dyDescent="0.3">
      <c r="A446" s="3" t="s">
        <v>6</v>
      </c>
      <c r="B446" s="7" t="str">
        <f>VLOOKUP(VALUE(A446), 'DICIONÁRIO UF'!$A:$B, 2, FALSE)</f>
        <v>Amazonas</v>
      </c>
      <c r="C446" s="3">
        <v>81011</v>
      </c>
      <c r="D446" s="5" t="str">
        <f>VLOOKUP(C446, 'DICIONÁRIO CNAES'!$A:$B, 2, FALSE)</f>
        <v>Serviços de limpeza e de apoio a edifícios, exceto condomínios prediais</v>
      </c>
      <c r="E446" s="4">
        <v>18504.930856719999</v>
      </c>
      <c r="F446" s="4">
        <v>21909301.927827701</v>
      </c>
    </row>
    <row r="447" spans="1:6" x14ac:dyDescent="0.3">
      <c r="A447" s="3" t="s">
        <v>6</v>
      </c>
      <c r="B447" s="7" t="str">
        <f>VLOOKUP(VALUE(A447), 'DICIONÁRIO UF'!$A:$B, 2, FALSE)</f>
        <v>Amazonas</v>
      </c>
      <c r="C447" s="3">
        <v>81012</v>
      </c>
      <c r="D447" s="5" t="str">
        <f>VLOOKUP(C447, 'DICIONÁRIO CNAES'!$A:$B, 2, FALSE)</f>
        <v>Condomínios prediais</v>
      </c>
      <c r="E447" s="4">
        <v>3558.90639414</v>
      </c>
      <c r="F447" s="4">
        <v>3936553.5784148001</v>
      </c>
    </row>
    <row r="448" spans="1:6" x14ac:dyDescent="0.3">
      <c r="A448" s="3" t="s">
        <v>6</v>
      </c>
      <c r="B448" s="7" t="str">
        <f>VLOOKUP(VALUE(A448), 'DICIONÁRIO UF'!$A:$B, 2, FALSE)</f>
        <v>Amazonas</v>
      </c>
      <c r="C448" s="3">
        <v>81020</v>
      </c>
      <c r="D448" s="5" t="str">
        <f>VLOOKUP(C448, 'DICIONÁRIO CNAES'!$A:$B, 2, FALSE)</f>
        <v>Atividades paisagísticas</v>
      </c>
      <c r="E448" s="4">
        <v>224.64459694000001</v>
      </c>
      <c r="F448" s="4">
        <v>112322.29846999999</v>
      </c>
    </row>
    <row r="449" spans="1:6" x14ac:dyDescent="0.3">
      <c r="A449" s="3" t="s">
        <v>6</v>
      </c>
      <c r="B449" s="7" t="str">
        <f>VLOOKUP(VALUE(A449), 'DICIONÁRIO UF'!$A:$B, 2, FALSE)</f>
        <v>Amazonas</v>
      </c>
      <c r="C449" s="3">
        <v>82001</v>
      </c>
      <c r="D449" s="5" t="str">
        <f>VLOOKUP(C449, 'DICIONÁRIO CNAES'!$A:$B, 2, FALSE)</f>
        <v>Serviços de escritório e apoio administrativo</v>
      </c>
      <c r="E449" s="4">
        <v>1919.9604491</v>
      </c>
      <c r="F449" s="4">
        <v>6097798.6589638498</v>
      </c>
    </row>
    <row r="450" spans="1:6" x14ac:dyDescent="0.3">
      <c r="A450" s="3" t="s">
        <v>6</v>
      </c>
      <c r="B450" s="7" t="str">
        <f>VLOOKUP(VALUE(A450), 'DICIONÁRIO UF'!$A:$B, 2, FALSE)</f>
        <v>Amazonas</v>
      </c>
      <c r="C450" s="3">
        <v>82002</v>
      </c>
      <c r="D450" s="5" t="str">
        <f>VLOOKUP(C450, 'DICIONÁRIO CNAES'!$A:$B, 2, FALSE)</f>
        <v>Atividades de teleatendimento</v>
      </c>
      <c r="E450" s="4">
        <v>868.07322442000009</v>
      </c>
      <c r="F450" s="4">
        <v>1145185.2261959999</v>
      </c>
    </row>
    <row r="451" spans="1:6" x14ac:dyDescent="0.3">
      <c r="A451" s="3" t="s">
        <v>6</v>
      </c>
      <c r="B451" s="7" t="str">
        <f>VLOOKUP(VALUE(A451), 'DICIONÁRIO UF'!$A:$B, 2, FALSE)</f>
        <v>Amazonas</v>
      </c>
      <c r="C451" s="3">
        <v>82003</v>
      </c>
      <c r="D451" s="5" t="str">
        <f>VLOOKUP(C451, 'DICIONÁRIO CNAES'!$A:$B, 2, FALSE)</f>
        <v>Atividades de organização de eventos, exceto culturais e esportivos</v>
      </c>
      <c r="E451" s="4">
        <v>495.59489430000002</v>
      </c>
      <c r="F451" s="4">
        <v>319394.11657000001</v>
      </c>
    </row>
    <row r="452" spans="1:6" x14ac:dyDescent="0.3">
      <c r="A452" s="3" t="s">
        <v>6</v>
      </c>
      <c r="B452" s="7" t="str">
        <f>VLOOKUP(VALUE(A452), 'DICIONÁRIO UF'!$A:$B, 2, FALSE)</f>
        <v>Amazonas</v>
      </c>
      <c r="C452" s="3">
        <v>82009</v>
      </c>
      <c r="D452" s="5" t="str">
        <f>VLOOKUP(C452, 'DICIONÁRIO CNAES'!$A:$B, 2, FALSE)</f>
        <v>Outras atividades de serviços prestados principalmente às empresas</v>
      </c>
      <c r="E452" s="4">
        <v>3118.5134038699998</v>
      </c>
      <c r="F452" s="4">
        <v>7587828.0855514007</v>
      </c>
    </row>
    <row r="453" spans="1:6" x14ac:dyDescent="0.3">
      <c r="A453" s="3" t="s">
        <v>6</v>
      </c>
      <c r="B453" s="7" t="str">
        <f>VLOOKUP(VALUE(A453), 'DICIONÁRIO UF'!$A:$B, 2, FALSE)</f>
        <v>Amazonas</v>
      </c>
      <c r="C453" s="3">
        <v>84011</v>
      </c>
      <c r="D453" s="5" t="str">
        <f>VLOOKUP(C453, 'DICIONÁRIO CNAES'!$A:$B, 2, FALSE)</f>
        <v>Administração publica e regulação da política econômica e social - Federal</v>
      </c>
      <c r="E453" s="4">
        <v>6407.5980254400001</v>
      </c>
      <c r="F453" s="4">
        <v>19462497.652875829</v>
      </c>
    </row>
    <row r="454" spans="1:6" x14ac:dyDescent="0.3">
      <c r="A454" s="3" t="s">
        <v>6</v>
      </c>
      <c r="B454" s="7" t="str">
        <f>VLOOKUP(VALUE(A454), 'DICIONÁRIO UF'!$A:$B, 2, FALSE)</f>
        <v>Amazonas</v>
      </c>
      <c r="C454" s="3">
        <v>84012</v>
      </c>
      <c r="D454" s="5" t="str">
        <f>VLOOKUP(C454, 'DICIONÁRIO CNAES'!$A:$B, 2, FALSE)</f>
        <v>Administração publica e regulação da política econômica e social - Estadual</v>
      </c>
      <c r="E454" s="4">
        <v>12119.284933430001</v>
      </c>
      <c r="F454" s="4">
        <v>51487820.659586713</v>
      </c>
    </row>
    <row r="455" spans="1:6" x14ac:dyDescent="0.3">
      <c r="A455" s="3" t="s">
        <v>6</v>
      </c>
      <c r="B455" s="7" t="str">
        <f>VLOOKUP(VALUE(A455), 'DICIONÁRIO UF'!$A:$B, 2, FALSE)</f>
        <v>Amazonas</v>
      </c>
      <c r="C455" s="3">
        <v>84013</v>
      </c>
      <c r="D455" s="5" t="str">
        <f>VLOOKUP(C455, 'DICIONÁRIO CNAES'!$A:$B, 2, FALSE)</f>
        <v>Administração publica e regulação da política econômica e social - Municipal</v>
      </c>
      <c r="E455" s="4">
        <v>45636.673605299999</v>
      </c>
      <c r="F455" s="4">
        <v>105666867.9652172</v>
      </c>
    </row>
    <row r="456" spans="1:6" x14ac:dyDescent="0.3">
      <c r="A456" s="3" t="s">
        <v>6</v>
      </c>
      <c r="B456" s="7" t="str">
        <f>VLOOKUP(VALUE(A456), 'DICIONÁRIO UF'!$A:$B, 2, FALSE)</f>
        <v>Amazonas</v>
      </c>
      <c r="C456" s="3">
        <v>84014</v>
      </c>
      <c r="D456" s="5" t="str">
        <f>VLOOKUP(C456, 'DICIONÁRIO CNAES'!$A:$B, 2, FALSE)</f>
        <v>Defesa</v>
      </c>
      <c r="E456" s="4">
        <v>10447.58725242</v>
      </c>
      <c r="F456" s="4">
        <v>29691183.283120859</v>
      </c>
    </row>
    <row r="457" spans="1:6" x14ac:dyDescent="0.3">
      <c r="A457" s="3" t="s">
        <v>6</v>
      </c>
      <c r="B457" s="7" t="str">
        <f>VLOOKUP(VALUE(A457), 'DICIONÁRIO UF'!$A:$B, 2, FALSE)</f>
        <v>Amazonas</v>
      </c>
      <c r="C457" s="3">
        <v>84015</v>
      </c>
      <c r="D457" s="5" t="str">
        <f>VLOOKUP(C457, 'DICIONÁRIO CNAES'!$A:$B, 2, FALSE)</f>
        <v>Outros serviços coletivos prestados pela administração pública - Federal</v>
      </c>
      <c r="E457" s="4">
        <v>890.15831957</v>
      </c>
      <c r="F457" s="4">
        <v>7086263.737484999</v>
      </c>
    </row>
    <row r="458" spans="1:6" x14ac:dyDescent="0.3">
      <c r="A458" s="3" t="s">
        <v>6</v>
      </c>
      <c r="B458" s="7" t="str">
        <f>VLOOKUP(VALUE(A458), 'DICIONÁRIO UF'!$A:$B, 2, FALSE)</f>
        <v>Amazonas</v>
      </c>
      <c r="C458" s="3">
        <v>84016</v>
      </c>
      <c r="D458" s="5" t="str">
        <f>VLOOKUP(C458, 'DICIONÁRIO CNAES'!$A:$B, 2, FALSE)</f>
        <v>Outros serviços coletivos prestados pela administração pública - Estadual</v>
      </c>
      <c r="E458" s="4">
        <v>21524.50450952</v>
      </c>
      <c r="F458" s="4">
        <v>145965388.13905931</v>
      </c>
    </row>
    <row r="459" spans="1:6" x14ac:dyDescent="0.3">
      <c r="A459" s="3" t="s">
        <v>6</v>
      </c>
      <c r="B459" s="7" t="str">
        <f>VLOOKUP(VALUE(A459), 'DICIONÁRIO UF'!$A:$B, 2, FALSE)</f>
        <v>Amazonas</v>
      </c>
      <c r="C459" s="3">
        <v>84017</v>
      </c>
      <c r="D459" s="5" t="str">
        <f>VLOOKUP(C459, 'DICIONÁRIO CNAES'!$A:$B, 2, FALSE)</f>
        <v>Outros serviços coletivos prestados pela administração pública - Municipal</v>
      </c>
      <c r="E459" s="4">
        <v>3242.7685417399998</v>
      </c>
      <c r="F459" s="4">
        <v>4371077.4996560002</v>
      </c>
    </row>
    <row r="460" spans="1:6" x14ac:dyDescent="0.3">
      <c r="A460" s="3" t="s">
        <v>6</v>
      </c>
      <c r="B460" s="7" t="str">
        <f>VLOOKUP(VALUE(A460), 'DICIONÁRIO UF'!$A:$B, 2, FALSE)</f>
        <v>Amazonas</v>
      </c>
      <c r="C460" s="3">
        <v>84020</v>
      </c>
      <c r="D460" s="5" t="str">
        <f>VLOOKUP(C460, 'DICIONÁRIO CNAES'!$A:$B, 2, FALSE)</f>
        <v>Seguridade social obrigatória</v>
      </c>
      <c r="E460" s="4">
        <v>248.76022334999999</v>
      </c>
      <c r="F460" s="4">
        <v>995040.89339999994</v>
      </c>
    </row>
    <row r="461" spans="1:6" x14ac:dyDescent="0.3">
      <c r="A461" s="3" t="s">
        <v>6</v>
      </c>
      <c r="B461" s="7" t="str">
        <f>VLOOKUP(VALUE(A461), 'DICIONÁRIO UF'!$A:$B, 2, FALSE)</f>
        <v>Amazonas</v>
      </c>
      <c r="C461" s="3">
        <v>85011</v>
      </c>
      <c r="D461" s="5" t="str">
        <f>VLOOKUP(C461, 'DICIONÁRIO CNAES'!$A:$B, 2, FALSE)</f>
        <v>Creche</v>
      </c>
      <c r="E461" s="4">
        <v>2636.1464046299998</v>
      </c>
      <c r="F461" s="4">
        <v>4527949.2961309999</v>
      </c>
    </row>
    <row r="462" spans="1:6" x14ac:dyDescent="0.3">
      <c r="A462" s="3" t="s">
        <v>6</v>
      </c>
      <c r="B462" s="7" t="str">
        <f>VLOOKUP(VALUE(A462), 'DICIONÁRIO UF'!$A:$B, 2, FALSE)</f>
        <v>Amazonas</v>
      </c>
      <c r="C462" s="3">
        <v>85012</v>
      </c>
      <c r="D462" s="5" t="str">
        <f>VLOOKUP(C462, 'DICIONÁRIO CNAES'!$A:$B, 2, FALSE)</f>
        <v>Pré-escola e ensino fundamental</v>
      </c>
      <c r="E462" s="4">
        <v>62984.75055687</v>
      </c>
      <c r="F462" s="4">
        <v>146629828.2778137</v>
      </c>
    </row>
    <row r="463" spans="1:6" x14ac:dyDescent="0.3">
      <c r="A463" s="3" t="s">
        <v>6</v>
      </c>
      <c r="B463" s="7" t="str">
        <f>VLOOKUP(VALUE(A463), 'DICIONÁRIO UF'!$A:$B, 2, FALSE)</f>
        <v>Amazonas</v>
      </c>
      <c r="C463" s="3">
        <v>85013</v>
      </c>
      <c r="D463" s="5" t="str">
        <f>VLOOKUP(C463, 'DICIONÁRIO CNAES'!$A:$B, 2, FALSE)</f>
        <v>Ensino médio</v>
      </c>
      <c r="E463" s="4">
        <v>17189.214865170001</v>
      </c>
      <c r="F463" s="4">
        <v>49256273.884075001</v>
      </c>
    </row>
    <row r="464" spans="1:6" x14ac:dyDescent="0.3">
      <c r="A464" s="3" t="s">
        <v>6</v>
      </c>
      <c r="B464" s="7" t="str">
        <f>VLOOKUP(VALUE(A464), 'DICIONÁRIO UF'!$A:$B, 2, FALSE)</f>
        <v>Amazonas</v>
      </c>
      <c r="C464" s="3">
        <v>85014</v>
      </c>
      <c r="D464" s="5" t="str">
        <f>VLOOKUP(C464, 'DICIONÁRIO CNAES'!$A:$B, 2, FALSE)</f>
        <v>Educação superior</v>
      </c>
      <c r="E464" s="4">
        <v>9293.6366213199999</v>
      </c>
      <c r="F464" s="4">
        <v>41410532.016829297</v>
      </c>
    </row>
    <row r="465" spans="1:6" x14ac:dyDescent="0.3">
      <c r="A465" s="3" t="s">
        <v>6</v>
      </c>
      <c r="B465" s="7" t="str">
        <f>VLOOKUP(VALUE(A465), 'DICIONÁRIO UF'!$A:$B, 2, FALSE)</f>
        <v>Amazonas</v>
      </c>
      <c r="C465" s="3">
        <v>85021</v>
      </c>
      <c r="D465" s="5" t="str">
        <f>VLOOKUP(C465, 'DICIONÁRIO CNAES'!$A:$B, 2, FALSE)</f>
        <v>Serviços auxiliares à educação</v>
      </c>
      <c r="E465" s="4">
        <v>326.51634540999999</v>
      </c>
      <c r="F465" s="4">
        <v>391819.61449200002</v>
      </c>
    </row>
    <row r="466" spans="1:6" x14ac:dyDescent="0.3">
      <c r="A466" s="3" t="s">
        <v>6</v>
      </c>
      <c r="B466" s="7" t="str">
        <f>VLOOKUP(VALUE(A466), 'DICIONÁRIO UF'!$A:$B, 2, FALSE)</f>
        <v>Amazonas</v>
      </c>
      <c r="C466" s="3">
        <v>85029</v>
      </c>
      <c r="D466" s="5" t="str">
        <f>VLOOKUP(C466, 'DICIONÁRIO CNAES'!$A:$B, 2, FALSE)</f>
        <v>Outras atividades de ensino</v>
      </c>
      <c r="E466" s="4">
        <v>7448.0148958500004</v>
      </c>
      <c r="F466" s="4">
        <v>12278867.3863234</v>
      </c>
    </row>
    <row r="467" spans="1:6" x14ac:dyDescent="0.3">
      <c r="A467" s="3" t="s">
        <v>6</v>
      </c>
      <c r="B467" s="7" t="str">
        <f>VLOOKUP(VALUE(A467), 'DICIONÁRIO UF'!$A:$B, 2, FALSE)</f>
        <v>Amazonas</v>
      </c>
      <c r="C467" s="3">
        <v>86001</v>
      </c>
      <c r="D467" s="5" t="str">
        <f>VLOOKUP(C467, 'DICIONÁRIO CNAES'!$A:$B, 2, FALSE)</f>
        <v>Atividades de atendimento hospitalar</v>
      </c>
      <c r="E467" s="4">
        <v>41651.80749444</v>
      </c>
      <c r="F467" s="4">
        <v>123954575.8970257</v>
      </c>
    </row>
    <row r="468" spans="1:6" x14ac:dyDescent="0.3">
      <c r="A468" s="3" t="s">
        <v>6</v>
      </c>
      <c r="B468" s="7" t="str">
        <f>VLOOKUP(VALUE(A468), 'DICIONÁRIO UF'!$A:$B, 2, FALSE)</f>
        <v>Amazonas</v>
      </c>
      <c r="C468" s="3">
        <v>86002</v>
      </c>
      <c r="D468" s="5" t="str">
        <f>VLOOKUP(C468, 'DICIONÁRIO CNAES'!$A:$B, 2, FALSE)</f>
        <v>Atividades de atenção ambulatorial executadas por médicos e odontólogos</v>
      </c>
      <c r="E468" s="4">
        <v>26744.481395729999</v>
      </c>
      <c r="F468" s="4">
        <v>66934583.048262499</v>
      </c>
    </row>
    <row r="469" spans="1:6" x14ac:dyDescent="0.3">
      <c r="A469" s="3" t="s">
        <v>6</v>
      </c>
      <c r="B469" s="7" t="str">
        <f>VLOOKUP(VALUE(A469), 'DICIONÁRIO UF'!$A:$B, 2, FALSE)</f>
        <v>Amazonas</v>
      </c>
      <c r="C469" s="3">
        <v>86003</v>
      </c>
      <c r="D469" s="5" t="str">
        <f>VLOOKUP(C469, 'DICIONÁRIO CNAES'!$A:$B, 2, FALSE)</f>
        <v>Atividades de serviços de complementação diagnóstica e terapêutica</v>
      </c>
      <c r="E469" s="4">
        <v>3459.1363566599998</v>
      </c>
      <c r="F469" s="4">
        <v>6788250.8999770004</v>
      </c>
    </row>
    <row r="470" spans="1:6" x14ac:dyDescent="0.3">
      <c r="A470" s="3" t="s">
        <v>6</v>
      </c>
      <c r="B470" s="7" t="str">
        <f>VLOOKUP(VALUE(A470), 'DICIONÁRIO UF'!$A:$B, 2, FALSE)</f>
        <v>Amazonas</v>
      </c>
      <c r="C470" s="3">
        <v>86004</v>
      </c>
      <c r="D470" s="5" t="str">
        <f>VLOOKUP(C470, 'DICIONÁRIO CNAES'!$A:$B, 2, FALSE)</f>
        <v>Atividades de profissionais da área de saúde, exceto médicos e odontólogos</v>
      </c>
      <c r="E470" s="4">
        <v>4044.7009462400001</v>
      </c>
      <c r="F470" s="4">
        <v>15337006.707358999</v>
      </c>
    </row>
    <row r="471" spans="1:6" x14ac:dyDescent="0.3">
      <c r="A471" s="3" t="s">
        <v>6</v>
      </c>
      <c r="B471" s="7" t="str">
        <f>VLOOKUP(VALUE(A471), 'DICIONÁRIO UF'!$A:$B, 2, FALSE)</f>
        <v>Amazonas</v>
      </c>
      <c r="C471" s="3">
        <v>86009</v>
      </c>
      <c r="D471" s="5" t="str">
        <f>VLOOKUP(C471, 'DICIONÁRIO CNAES'!$A:$B, 2, FALSE)</f>
        <v>Atividades de atenção à saúde humana não especificadas anteriormente</v>
      </c>
      <c r="E471" s="4">
        <v>1007.53900479</v>
      </c>
      <c r="F471" s="4">
        <v>2361741.9426660002</v>
      </c>
    </row>
    <row r="472" spans="1:6" x14ac:dyDescent="0.3">
      <c r="A472" s="3" t="s">
        <v>6</v>
      </c>
      <c r="B472" s="7" t="str">
        <f>VLOOKUP(VALUE(A472), 'DICIONÁRIO UF'!$A:$B, 2, FALSE)</f>
        <v>Amazonas</v>
      </c>
      <c r="C472" s="3">
        <v>87000</v>
      </c>
      <c r="D472" s="5" t="str">
        <f>VLOOKUP(C472, 'DICIONÁRIO CNAES'!$A:$B, 2, FALSE)</f>
        <v>Atividades de assistência à saude humana integradas com assistencia social, inclusive prestadas em residencias</v>
      </c>
      <c r="E472" s="4">
        <v>3465.1026085399999</v>
      </c>
      <c r="F472" s="4">
        <v>5757426.2514800001</v>
      </c>
    </row>
    <row r="473" spans="1:6" x14ac:dyDescent="0.3">
      <c r="A473" s="3" t="s">
        <v>6</v>
      </c>
      <c r="B473" s="7" t="str">
        <f>VLOOKUP(VALUE(A473), 'DICIONÁRIO UF'!$A:$B, 2, FALSE)</f>
        <v>Amazonas</v>
      </c>
      <c r="C473" s="3">
        <v>88000</v>
      </c>
      <c r="D473" s="5" t="str">
        <f>VLOOKUP(C473, 'DICIONÁRIO CNAES'!$A:$B, 2, FALSE)</f>
        <v>Serviços de assistência social sem alojamento</v>
      </c>
      <c r="E473" s="4">
        <v>44.992687539999999</v>
      </c>
      <c r="F473" s="4">
        <v>44992.687539999999</v>
      </c>
    </row>
    <row r="474" spans="1:6" x14ac:dyDescent="0.3">
      <c r="A474" s="3" t="s">
        <v>6</v>
      </c>
      <c r="B474" s="7" t="str">
        <f>VLOOKUP(VALUE(A474), 'DICIONÁRIO UF'!$A:$B, 2, FALSE)</f>
        <v>Amazonas</v>
      </c>
      <c r="C474" s="3">
        <v>90000</v>
      </c>
      <c r="D474" s="5" t="str">
        <f>VLOOKUP(C474, 'DICIONÁRIO CNAES'!$A:$B, 2, FALSE)</f>
        <v>Atividades artísticas, criativas e de espetáculos</v>
      </c>
      <c r="E474" s="4">
        <v>4708.0423588699996</v>
      </c>
      <c r="F474" s="4">
        <v>7454014.8341959994</v>
      </c>
    </row>
    <row r="475" spans="1:6" x14ac:dyDescent="0.3">
      <c r="A475" s="3" t="s">
        <v>6</v>
      </c>
      <c r="B475" s="7" t="str">
        <f>VLOOKUP(VALUE(A475), 'DICIONÁRIO UF'!$A:$B, 2, FALSE)</f>
        <v>Amazonas</v>
      </c>
      <c r="C475" s="3">
        <v>91000</v>
      </c>
      <c r="D475" s="5" t="str">
        <f>VLOOKUP(C475, 'DICIONÁRIO CNAES'!$A:$B, 2, FALSE)</f>
        <v>Atividades ligadas ao patrimônio cultural e ambiental</v>
      </c>
      <c r="E475" s="4">
        <v>1354.9006481599999</v>
      </c>
      <c r="F475" s="4">
        <v>2507031.2910259999</v>
      </c>
    </row>
    <row r="476" spans="1:6" x14ac:dyDescent="0.3">
      <c r="A476" s="3" t="s">
        <v>6</v>
      </c>
      <c r="B476" s="7" t="str">
        <f>VLOOKUP(VALUE(A476), 'DICIONÁRIO UF'!$A:$B, 2, FALSE)</f>
        <v>Amazonas</v>
      </c>
      <c r="C476" s="3">
        <v>92000</v>
      </c>
      <c r="D476" s="5" t="str">
        <f>VLOOKUP(C476, 'DICIONÁRIO CNAES'!$A:$B, 2, FALSE)</f>
        <v>Atividades de exploração de jogos de azar e apostas</v>
      </c>
      <c r="E476" s="4">
        <v>341.82476308000003</v>
      </c>
      <c r="F476" s="4">
        <v>170912.38154</v>
      </c>
    </row>
    <row r="477" spans="1:6" x14ac:dyDescent="0.3">
      <c r="A477" s="3" t="s">
        <v>6</v>
      </c>
      <c r="B477" s="7" t="str">
        <f>VLOOKUP(VALUE(A477), 'DICIONÁRIO UF'!$A:$B, 2, FALSE)</f>
        <v>Amazonas</v>
      </c>
      <c r="C477" s="3">
        <v>93012</v>
      </c>
      <c r="D477" s="5" t="str">
        <f>VLOOKUP(C477, 'DICIONÁRIO CNAES'!$A:$B, 2, FALSE)</f>
        <v>Atividades de condicionamento físico</v>
      </c>
      <c r="E477" s="4">
        <v>4340.7978968899997</v>
      </c>
      <c r="F477" s="4">
        <v>7637741.4862868004</v>
      </c>
    </row>
    <row r="478" spans="1:6" x14ac:dyDescent="0.3">
      <c r="A478" s="3" t="s">
        <v>6</v>
      </c>
      <c r="B478" s="7" t="str">
        <f>VLOOKUP(VALUE(A478), 'DICIONÁRIO UF'!$A:$B, 2, FALSE)</f>
        <v>Amazonas</v>
      </c>
      <c r="C478" s="3">
        <v>93020</v>
      </c>
      <c r="D478" s="5" t="str">
        <f>VLOOKUP(C478, 'DICIONÁRIO CNAES'!$A:$B, 2, FALSE)</f>
        <v>Atividades de recreação e lazer</v>
      </c>
      <c r="E478" s="4">
        <v>1300.1649054899999</v>
      </c>
      <c r="F478" s="4">
        <v>1350130.5311662001</v>
      </c>
    </row>
    <row r="479" spans="1:6" x14ac:dyDescent="0.3">
      <c r="A479" s="3" t="s">
        <v>6</v>
      </c>
      <c r="B479" s="7" t="str">
        <f>VLOOKUP(VALUE(A479), 'DICIONÁRIO UF'!$A:$B, 2, FALSE)</f>
        <v>Amazonas</v>
      </c>
      <c r="C479" s="3">
        <v>94010</v>
      </c>
      <c r="D479" s="5" t="str">
        <f>VLOOKUP(C479, 'DICIONÁRIO CNAES'!$A:$B, 2, FALSE)</f>
        <v>Atividades de organizações associativas patronais, empresariais e profissionais</v>
      </c>
      <c r="E479" s="4">
        <v>831.32821383999999</v>
      </c>
      <c r="F479" s="4">
        <v>805411.08351999999</v>
      </c>
    </row>
    <row r="480" spans="1:6" x14ac:dyDescent="0.3">
      <c r="A480" s="3" t="s">
        <v>6</v>
      </c>
      <c r="B480" s="7" t="str">
        <f>VLOOKUP(VALUE(A480), 'DICIONÁRIO UF'!$A:$B, 2, FALSE)</f>
        <v>Amazonas</v>
      </c>
      <c r="C480" s="3">
        <v>94020</v>
      </c>
      <c r="D480" s="5" t="str">
        <f>VLOOKUP(C480, 'DICIONÁRIO CNAES'!$A:$B, 2, FALSE)</f>
        <v>Atividades de organizações sindicais</v>
      </c>
      <c r="E480" s="4">
        <v>996.22836828000004</v>
      </c>
      <c r="F480" s="4">
        <v>3440092.8597419998</v>
      </c>
    </row>
    <row r="481" spans="1:6" x14ac:dyDescent="0.3">
      <c r="A481" s="3" t="s">
        <v>6</v>
      </c>
      <c r="B481" s="7" t="str">
        <f>VLOOKUP(VALUE(A481), 'DICIONÁRIO UF'!$A:$B, 2, FALSE)</f>
        <v>Amazonas</v>
      </c>
      <c r="C481" s="3">
        <v>94091</v>
      </c>
      <c r="D481" s="5" t="str">
        <f>VLOOKUP(C481, 'DICIONÁRIO CNAES'!$A:$B, 2, FALSE)</f>
        <v>Atividades de organizações religiosas e filosóficas</v>
      </c>
      <c r="E481" s="4">
        <v>8738.0210585799996</v>
      </c>
      <c r="F481" s="4">
        <v>15485498.921949999</v>
      </c>
    </row>
    <row r="482" spans="1:6" x14ac:dyDescent="0.3">
      <c r="A482" s="3" t="s">
        <v>6</v>
      </c>
      <c r="B482" s="7" t="str">
        <f>VLOOKUP(VALUE(A482), 'DICIONÁRIO UF'!$A:$B, 2, FALSE)</f>
        <v>Amazonas</v>
      </c>
      <c r="C482" s="3">
        <v>94099</v>
      </c>
      <c r="D482" s="5" t="str">
        <f>VLOOKUP(C482, 'DICIONÁRIO CNAES'!$A:$B, 2, FALSE)</f>
        <v xml:space="preserve">Outras atividades associativas não especificadas anteriormente </v>
      </c>
      <c r="E482" s="4">
        <v>2151.0971102499998</v>
      </c>
      <c r="F482" s="4">
        <v>4811679.6445359997</v>
      </c>
    </row>
    <row r="483" spans="1:6" x14ac:dyDescent="0.3">
      <c r="A483" s="3" t="s">
        <v>6</v>
      </c>
      <c r="B483" s="7" t="str">
        <f>VLOOKUP(VALUE(A483), 'DICIONÁRIO UF'!$A:$B, 2, FALSE)</f>
        <v>Amazonas</v>
      </c>
      <c r="C483" s="3">
        <v>95010</v>
      </c>
      <c r="D483" s="5" t="str">
        <f>VLOOKUP(C483, 'DICIONÁRIO CNAES'!$A:$B, 2, FALSE)</f>
        <v>Reparação e manutenção de equipamentos de informática e comunicação</v>
      </c>
      <c r="E483" s="4">
        <v>3815.7626253100002</v>
      </c>
      <c r="F483" s="4">
        <v>4784765.3184120003</v>
      </c>
    </row>
    <row r="484" spans="1:6" x14ac:dyDescent="0.3">
      <c r="A484" s="3" t="s">
        <v>6</v>
      </c>
      <c r="B484" s="7" t="str">
        <f>VLOOKUP(VALUE(A484), 'DICIONÁRIO UF'!$A:$B, 2, FALSE)</f>
        <v>Amazonas</v>
      </c>
      <c r="C484" s="3">
        <v>95030</v>
      </c>
      <c r="D484" s="5" t="str">
        <f>VLOOKUP(C484, 'DICIONÁRIO CNAES'!$A:$B, 2, FALSE)</f>
        <v>Reparação e manutenção de objetos e equipamentos pessoais e domésticos</v>
      </c>
      <c r="E484" s="4">
        <v>10170.30350675</v>
      </c>
      <c r="F484" s="4">
        <v>12718934.3287632</v>
      </c>
    </row>
    <row r="485" spans="1:6" x14ac:dyDescent="0.3">
      <c r="A485" s="3" t="s">
        <v>6</v>
      </c>
      <c r="B485" s="7" t="str">
        <f>VLOOKUP(VALUE(A485), 'DICIONÁRIO UF'!$A:$B, 2, FALSE)</f>
        <v>Amazonas</v>
      </c>
      <c r="C485" s="3">
        <v>96010</v>
      </c>
      <c r="D485" s="5" t="str">
        <f>VLOOKUP(C485, 'DICIONÁRIO CNAES'!$A:$B, 2, FALSE)</f>
        <v>Lavanderias, tinturarias e toalheiros</v>
      </c>
      <c r="E485" s="4">
        <v>1588.2073895999999</v>
      </c>
      <c r="F485" s="4">
        <v>1363554.8478858001</v>
      </c>
    </row>
    <row r="486" spans="1:6" x14ac:dyDescent="0.3">
      <c r="A486" s="3" t="s">
        <v>6</v>
      </c>
      <c r="B486" s="7" t="str">
        <f>VLOOKUP(VALUE(A486), 'DICIONÁRIO UF'!$A:$B, 2, FALSE)</f>
        <v>Amazonas</v>
      </c>
      <c r="C486" s="3">
        <v>96020</v>
      </c>
      <c r="D486" s="5" t="str">
        <f>VLOOKUP(C486, 'DICIONÁRIO CNAES'!$A:$B, 2, FALSE)</f>
        <v>Cabeleireiros e outras atividades de tratamento de beleza</v>
      </c>
      <c r="E486" s="4">
        <v>28321.75831913</v>
      </c>
      <c r="F486" s="4">
        <v>28630479.201788001</v>
      </c>
    </row>
    <row r="487" spans="1:6" x14ac:dyDescent="0.3">
      <c r="A487" s="3" t="s">
        <v>6</v>
      </c>
      <c r="B487" s="7" t="str">
        <f>VLOOKUP(VALUE(A487), 'DICIONÁRIO UF'!$A:$B, 2, FALSE)</f>
        <v>Amazonas</v>
      </c>
      <c r="C487" s="3">
        <v>96030</v>
      </c>
      <c r="D487" s="5" t="str">
        <f>VLOOKUP(C487, 'DICIONÁRIO CNAES'!$A:$B, 2, FALSE)</f>
        <v xml:space="preserve">Atividades funerárias e serviços relacionados </v>
      </c>
      <c r="E487" s="4">
        <v>658.10425290000001</v>
      </c>
      <c r="F487" s="4">
        <v>1181804.9754000001</v>
      </c>
    </row>
    <row r="488" spans="1:6" x14ac:dyDescent="0.3">
      <c r="A488" s="3" t="s">
        <v>6</v>
      </c>
      <c r="B488" s="7" t="str">
        <f>VLOOKUP(VALUE(A488), 'DICIONÁRIO UF'!$A:$B, 2, FALSE)</f>
        <v>Amazonas</v>
      </c>
      <c r="C488" s="3">
        <v>96090</v>
      </c>
      <c r="D488" s="5" t="str">
        <f>VLOOKUP(C488, 'DICIONÁRIO CNAES'!$A:$B, 2, FALSE)</f>
        <v>Outras atividades de serviços pessoais</v>
      </c>
      <c r="E488" s="4">
        <v>7534.6770746499997</v>
      </c>
      <c r="F488" s="4">
        <v>14328980.818426</v>
      </c>
    </row>
    <row r="489" spans="1:6" x14ac:dyDescent="0.3">
      <c r="A489" s="3" t="s">
        <v>6</v>
      </c>
      <c r="B489" s="7" t="str">
        <f>VLOOKUP(VALUE(A489), 'DICIONÁRIO UF'!$A:$B, 2, FALSE)</f>
        <v>Amazonas</v>
      </c>
      <c r="C489" s="3">
        <v>97000</v>
      </c>
      <c r="D489" s="5" t="str">
        <f>VLOOKUP(C489, 'DICIONÁRIO CNAES'!$A:$B, 2, FALSE)</f>
        <v>Serviços domésticos</v>
      </c>
      <c r="E489" s="4">
        <v>79514.148997020005</v>
      </c>
      <c r="F489" s="4">
        <v>68506986.871912003</v>
      </c>
    </row>
    <row r="490" spans="1:6" x14ac:dyDescent="0.3">
      <c r="A490" s="3" t="s">
        <v>6</v>
      </c>
      <c r="B490" s="7" t="str">
        <f>VLOOKUP(VALUE(A490), 'DICIONÁRIO UF'!$A:$B, 2, FALSE)</f>
        <v>Amazonas</v>
      </c>
      <c r="C490" s="3">
        <v>99000</v>
      </c>
      <c r="D490" s="5" t="str">
        <f>VLOOKUP(C490, 'DICIONÁRIO CNAES'!$A:$B, 2, FALSE)</f>
        <v>Organismos internacionais e outras instituições extraterritoriais</v>
      </c>
      <c r="E490" s="4">
        <v>301.83460134000001</v>
      </c>
      <c r="F490" s="4">
        <v>603669.20267999999</v>
      </c>
    </row>
    <row r="491" spans="1:6" x14ac:dyDescent="0.3">
      <c r="A491" s="3" t="s">
        <v>7</v>
      </c>
      <c r="B491" s="7" t="str">
        <f>VLOOKUP(VALUE(A491), 'DICIONÁRIO UF'!$A:$B, 2, FALSE)</f>
        <v>Roraima</v>
      </c>
      <c r="C491" s="3">
        <v>1101</v>
      </c>
      <c r="D491" s="5" t="str">
        <f>VLOOKUP(C491, 'DICIONÁRIO CNAES'!$A:$B, 2, FALSE)</f>
        <v>Cultivo de arroz</v>
      </c>
      <c r="E491" s="4">
        <v>513.32064063999997</v>
      </c>
      <c r="F491" s="4">
        <v>408765.68336299999</v>
      </c>
    </row>
    <row r="492" spans="1:6" x14ac:dyDescent="0.3">
      <c r="A492" s="3" t="s">
        <v>7</v>
      </c>
      <c r="B492" s="7" t="str">
        <f>VLOOKUP(VALUE(A492), 'DICIONÁRIO UF'!$A:$B, 2, FALSE)</f>
        <v>Roraima</v>
      </c>
      <c r="C492" s="3">
        <v>1102</v>
      </c>
      <c r="D492" s="5" t="str">
        <f>VLOOKUP(C492, 'DICIONÁRIO CNAES'!$A:$B, 2, FALSE)</f>
        <v>Cultivo de milho</v>
      </c>
      <c r="E492" s="4">
        <v>1447.3993306</v>
      </c>
      <c r="F492" s="4">
        <v>1544000.1068800001</v>
      </c>
    </row>
    <row r="493" spans="1:6" x14ac:dyDescent="0.3">
      <c r="A493" s="3" t="s">
        <v>7</v>
      </c>
      <c r="B493" s="7" t="str">
        <f>VLOOKUP(VALUE(A493), 'DICIONÁRIO UF'!$A:$B, 2, FALSE)</f>
        <v>Roraima</v>
      </c>
      <c r="C493" s="3">
        <v>1107</v>
      </c>
      <c r="D493" s="5" t="str">
        <f>VLOOKUP(C493, 'DICIONÁRIO CNAES'!$A:$B, 2, FALSE)</f>
        <v>Cultivo de soja</v>
      </c>
      <c r="E493" s="4">
        <v>208.47622867999999</v>
      </c>
      <c r="F493" s="4">
        <v>625428.68603999994</v>
      </c>
    </row>
    <row r="494" spans="1:6" x14ac:dyDescent="0.3">
      <c r="A494" s="3" t="s">
        <v>7</v>
      </c>
      <c r="B494" s="7" t="str">
        <f>VLOOKUP(VALUE(A494), 'DICIONÁRIO UF'!$A:$B, 2, FALSE)</f>
        <v>Roraima</v>
      </c>
      <c r="C494" s="3">
        <v>1108</v>
      </c>
      <c r="D494" s="5" t="str">
        <f>VLOOKUP(C494, 'DICIONÁRIO CNAES'!$A:$B, 2, FALSE)</f>
        <v>Cultivo de mandioca</v>
      </c>
      <c r="E494" s="4">
        <v>3910.7117274500001</v>
      </c>
      <c r="F494" s="4">
        <v>1726103.0356868999</v>
      </c>
    </row>
    <row r="495" spans="1:6" x14ac:dyDescent="0.3">
      <c r="A495" s="3" t="s">
        <v>7</v>
      </c>
      <c r="B495" s="7" t="str">
        <f>VLOOKUP(VALUE(A495), 'DICIONÁRIO UF'!$A:$B, 2, FALSE)</f>
        <v>Roraima</v>
      </c>
      <c r="C495" s="3">
        <v>1109</v>
      </c>
      <c r="D495" s="5" t="str">
        <f>VLOOKUP(C495, 'DICIONÁRIO CNAES'!$A:$B, 2, FALSE)</f>
        <v>Cultivo de outras lavouras temporárias não especificadas anteriormente</v>
      </c>
      <c r="E495" s="4">
        <v>298.55846826999999</v>
      </c>
      <c r="F495" s="4">
        <v>356189.30137200002</v>
      </c>
    </row>
    <row r="496" spans="1:6" x14ac:dyDescent="0.3">
      <c r="A496" s="3" t="s">
        <v>7</v>
      </c>
      <c r="B496" s="7" t="str">
        <f>VLOOKUP(VALUE(A496), 'DICIONÁRIO UF'!$A:$B, 2, FALSE)</f>
        <v>Roraima</v>
      </c>
      <c r="C496" s="3">
        <v>1110</v>
      </c>
      <c r="D496" s="5" t="str">
        <f>VLOOKUP(C496, 'DICIONÁRIO CNAES'!$A:$B, 2, FALSE)</f>
        <v>Horticultura</v>
      </c>
      <c r="E496" s="4">
        <v>1334.23096678</v>
      </c>
      <c r="F496" s="4">
        <v>1474286.4200705001</v>
      </c>
    </row>
    <row r="497" spans="1:6" x14ac:dyDescent="0.3">
      <c r="A497" s="3" t="s">
        <v>7</v>
      </c>
      <c r="B497" s="7" t="str">
        <f>VLOOKUP(VALUE(A497), 'DICIONÁRIO UF'!$A:$B, 2, FALSE)</f>
        <v>Roraima</v>
      </c>
      <c r="C497" s="3">
        <v>1112</v>
      </c>
      <c r="D497" s="5" t="str">
        <f>VLOOKUP(C497, 'DICIONÁRIO CNAES'!$A:$B, 2, FALSE)</f>
        <v>Cultivo de frutas cítricas</v>
      </c>
      <c r="E497" s="4">
        <v>555.04608471999995</v>
      </c>
      <c r="F497" s="4">
        <v>456694.97058080003</v>
      </c>
    </row>
    <row r="498" spans="1:6" x14ac:dyDescent="0.3">
      <c r="A498" s="3" t="s">
        <v>7</v>
      </c>
      <c r="B498" s="7" t="str">
        <f>VLOOKUP(VALUE(A498), 'DICIONÁRIO UF'!$A:$B, 2, FALSE)</f>
        <v>Roraima</v>
      </c>
      <c r="C498" s="3">
        <v>1116</v>
      </c>
      <c r="D498" s="5" t="str">
        <f>VLOOKUP(C498, 'DICIONÁRIO CNAES'!$A:$B, 2, FALSE)</f>
        <v>Cultivo de banana</v>
      </c>
      <c r="E498" s="4">
        <v>3777.10889542</v>
      </c>
      <c r="F498" s="4">
        <v>3797396.7357095</v>
      </c>
    </row>
    <row r="499" spans="1:6" x14ac:dyDescent="0.3">
      <c r="A499" s="3" t="s">
        <v>7</v>
      </c>
      <c r="B499" s="7" t="str">
        <f>VLOOKUP(VALUE(A499), 'DICIONÁRIO UF'!$A:$B, 2, FALSE)</f>
        <v>Roraima</v>
      </c>
      <c r="C499" s="3">
        <v>1117</v>
      </c>
      <c r="D499" s="5" t="str">
        <f>VLOOKUP(C499, 'DICIONÁRIO CNAES'!$A:$B, 2, FALSE)</f>
        <v>Cultivo de outras plantas e frutas de lavoura permanente não especificadas anteriormente</v>
      </c>
      <c r="E499" s="4">
        <v>356.13730247000001</v>
      </c>
      <c r="F499" s="4">
        <v>411008.83872200001</v>
      </c>
    </row>
    <row r="500" spans="1:6" x14ac:dyDescent="0.3">
      <c r="A500" s="3" t="s">
        <v>7</v>
      </c>
      <c r="B500" s="7" t="str">
        <f>VLOOKUP(VALUE(A500), 'DICIONÁRIO UF'!$A:$B, 2, FALSE)</f>
        <v>Roraima</v>
      </c>
      <c r="C500" s="3">
        <v>1118</v>
      </c>
      <c r="D500" s="5" t="str">
        <f>VLOOKUP(C500, 'DICIONÁRIO CNAES'!$A:$B, 2, FALSE)</f>
        <v>Produção de sementes e mudas certificadas</v>
      </c>
      <c r="E500" s="4">
        <v>53.67489509</v>
      </c>
      <c r="F500" s="4">
        <v>101982.300671</v>
      </c>
    </row>
    <row r="501" spans="1:6" x14ac:dyDescent="0.3">
      <c r="A501" s="3" t="s">
        <v>7</v>
      </c>
      <c r="B501" s="7" t="str">
        <f>VLOOKUP(VALUE(A501), 'DICIONÁRIO UF'!$A:$B, 2, FALSE)</f>
        <v>Roraima</v>
      </c>
      <c r="C501" s="3">
        <v>1119</v>
      </c>
      <c r="D501" s="5" t="str">
        <f>VLOOKUP(C501, 'DICIONÁRIO CNAES'!$A:$B, 2, FALSE)</f>
        <v>Lavoura não especificada</v>
      </c>
      <c r="E501" s="4">
        <v>359.89290424000001</v>
      </c>
      <c r="F501" s="4">
        <v>383644.81179399998</v>
      </c>
    </row>
    <row r="502" spans="1:6" x14ac:dyDescent="0.3">
      <c r="A502" s="3" t="s">
        <v>7</v>
      </c>
      <c r="B502" s="7" t="str">
        <f>VLOOKUP(VALUE(A502), 'DICIONÁRIO UF'!$A:$B, 2, FALSE)</f>
        <v>Roraima</v>
      </c>
      <c r="C502" s="3">
        <v>1201</v>
      </c>
      <c r="D502" s="5" t="str">
        <f>VLOOKUP(C502, 'DICIONÁRIO CNAES'!$A:$B, 2, FALSE)</f>
        <v>Criação de bovinos</v>
      </c>
      <c r="E502" s="4">
        <v>4234.3308398199997</v>
      </c>
      <c r="F502" s="4">
        <v>6546264.3283155002</v>
      </c>
    </row>
    <row r="503" spans="1:6" x14ac:dyDescent="0.3">
      <c r="A503" s="3" t="s">
        <v>7</v>
      </c>
      <c r="B503" s="7" t="str">
        <f>VLOOKUP(VALUE(A503), 'DICIONÁRIO UF'!$A:$B, 2, FALSE)</f>
        <v>Roraima</v>
      </c>
      <c r="C503" s="3">
        <v>1204</v>
      </c>
      <c r="D503" s="5" t="str">
        <f>VLOOKUP(C503, 'DICIONÁRIO CNAES'!$A:$B, 2, FALSE)</f>
        <v>Criação de suínos</v>
      </c>
      <c r="E503" s="4">
        <v>90.331625299999999</v>
      </c>
      <c r="F503" s="4">
        <v>108397.95036</v>
      </c>
    </row>
    <row r="504" spans="1:6" x14ac:dyDescent="0.3">
      <c r="A504" s="3" t="s">
        <v>7</v>
      </c>
      <c r="B504" s="7" t="str">
        <f>VLOOKUP(VALUE(A504), 'DICIONÁRIO UF'!$A:$B, 2, FALSE)</f>
        <v>Roraima</v>
      </c>
      <c r="C504" s="3">
        <v>1205</v>
      </c>
      <c r="D504" s="5" t="str">
        <f>VLOOKUP(C504, 'DICIONÁRIO CNAES'!$A:$B, 2, FALSE)</f>
        <v>Criação de aves</v>
      </c>
      <c r="E504" s="4">
        <v>137.47411077999999</v>
      </c>
      <c r="F504" s="4">
        <v>412422.33234000002</v>
      </c>
    </row>
    <row r="505" spans="1:6" x14ac:dyDescent="0.3">
      <c r="A505" s="3" t="s">
        <v>7</v>
      </c>
      <c r="B505" s="7" t="str">
        <f>VLOOKUP(VALUE(A505), 'DICIONÁRIO UF'!$A:$B, 2, FALSE)</f>
        <v>Roraima</v>
      </c>
      <c r="C505" s="3">
        <v>1206</v>
      </c>
      <c r="D505" s="5" t="str">
        <f>VLOOKUP(C505, 'DICIONÁRIO CNAES'!$A:$B, 2, FALSE)</f>
        <v>Apicultura</v>
      </c>
      <c r="E505" s="4">
        <v>56.51619788</v>
      </c>
      <c r="F505" s="4">
        <v>73471.057243999996</v>
      </c>
    </row>
    <row r="506" spans="1:6" x14ac:dyDescent="0.3">
      <c r="A506" s="3" t="s">
        <v>7</v>
      </c>
      <c r="B506" s="7" t="str">
        <f>VLOOKUP(VALUE(A506), 'DICIONÁRIO UF'!$A:$B, 2, FALSE)</f>
        <v>Roraima</v>
      </c>
      <c r="C506" s="3">
        <v>1401</v>
      </c>
      <c r="D506" s="5" t="str">
        <f>VLOOKUP(C506, 'DICIONÁRIO CNAES'!$A:$B, 2, FALSE)</f>
        <v>Atividades de apoio à agricultura e pós-colheita</v>
      </c>
      <c r="E506" s="4">
        <v>979.59290589</v>
      </c>
      <c r="F506" s="4">
        <v>931760.43041499995</v>
      </c>
    </row>
    <row r="507" spans="1:6" x14ac:dyDescent="0.3">
      <c r="A507" s="3" t="s">
        <v>7</v>
      </c>
      <c r="B507" s="7" t="str">
        <f>VLOOKUP(VALUE(A507), 'DICIONÁRIO UF'!$A:$B, 2, FALSE)</f>
        <v>Roraima</v>
      </c>
      <c r="C507" s="3">
        <v>1402</v>
      </c>
      <c r="D507" s="5" t="str">
        <f>VLOOKUP(C507, 'DICIONÁRIO CNAES'!$A:$B, 2, FALSE)</f>
        <v xml:space="preserve">Atividades de apoio à pecuária </v>
      </c>
      <c r="E507" s="4">
        <v>237.24317643000001</v>
      </c>
      <c r="F507" s="4">
        <v>154184.748338</v>
      </c>
    </row>
    <row r="508" spans="1:6" x14ac:dyDescent="0.3">
      <c r="A508" s="3" t="s">
        <v>7</v>
      </c>
      <c r="B508" s="7" t="str">
        <f>VLOOKUP(VALUE(A508), 'DICIONÁRIO UF'!$A:$B, 2, FALSE)</f>
        <v>Roraima</v>
      </c>
      <c r="C508" s="3">
        <v>2000</v>
      </c>
      <c r="D508" s="5" t="str">
        <f>VLOOKUP(C508, 'DICIONÁRIO CNAES'!$A:$B, 2, FALSE)</f>
        <v xml:space="preserve">Produção florestal </v>
      </c>
      <c r="E508" s="4">
        <v>846.32523923000008</v>
      </c>
      <c r="F508" s="4">
        <v>1800924.010062</v>
      </c>
    </row>
    <row r="509" spans="1:6" x14ac:dyDescent="0.3">
      <c r="A509" s="3" t="s">
        <v>7</v>
      </c>
      <c r="B509" s="7" t="str">
        <f>VLOOKUP(VALUE(A509), 'DICIONÁRIO UF'!$A:$B, 2, FALSE)</f>
        <v>Roraima</v>
      </c>
      <c r="C509" s="3">
        <v>3001</v>
      </c>
      <c r="D509" s="5" t="str">
        <f>VLOOKUP(C509, 'DICIONÁRIO CNAES'!$A:$B, 2, FALSE)</f>
        <v>Pesca</v>
      </c>
      <c r="E509" s="4">
        <v>2184.64003013</v>
      </c>
      <c r="F509" s="4">
        <v>1887565.520271</v>
      </c>
    </row>
    <row r="510" spans="1:6" x14ac:dyDescent="0.3">
      <c r="A510" s="3" t="s">
        <v>7</v>
      </c>
      <c r="B510" s="7" t="str">
        <f>VLOOKUP(VALUE(A510), 'DICIONÁRIO UF'!$A:$B, 2, FALSE)</f>
        <v>Roraima</v>
      </c>
      <c r="C510" s="3">
        <v>3002</v>
      </c>
      <c r="D510" s="5" t="str">
        <f>VLOOKUP(C510, 'DICIONÁRIO CNAES'!$A:$B, 2, FALSE)</f>
        <v>Aqüicultura</v>
      </c>
      <c r="E510" s="4">
        <v>447.32651917999999</v>
      </c>
      <c r="F510" s="4">
        <v>2728786.5322790002</v>
      </c>
    </row>
    <row r="511" spans="1:6" x14ac:dyDescent="0.3">
      <c r="A511" s="3" t="s">
        <v>7</v>
      </c>
      <c r="B511" s="7" t="str">
        <f>VLOOKUP(VALUE(A511), 'DICIONÁRIO UF'!$A:$B, 2, FALSE)</f>
        <v>Roraima</v>
      </c>
      <c r="C511" s="3">
        <v>7001</v>
      </c>
      <c r="D511" s="5" t="str">
        <f>VLOOKUP(C511, 'DICIONÁRIO CNAES'!$A:$B, 2, FALSE)</f>
        <v>Extração de minérios de metais preciosos</v>
      </c>
      <c r="E511" s="4">
        <v>1337.99805758</v>
      </c>
      <c r="F511" s="4">
        <v>3472998.6367230001</v>
      </c>
    </row>
    <row r="512" spans="1:6" x14ac:dyDescent="0.3">
      <c r="A512" s="3" t="s">
        <v>7</v>
      </c>
      <c r="B512" s="7" t="str">
        <f>VLOOKUP(VALUE(A512), 'DICIONÁRIO UF'!$A:$B, 2, FALSE)</f>
        <v>Roraima</v>
      </c>
      <c r="C512" s="3">
        <v>8001</v>
      </c>
      <c r="D512" s="5" t="str">
        <f>VLOOKUP(C512, 'DICIONÁRIO CNAES'!$A:$B, 2, FALSE)</f>
        <v>Extração de pedras, areia e argila</v>
      </c>
      <c r="E512" s="4">
        <v>67.203854669999998</v>
      </c>
      <c r="F512" s="4">
        <v>268815.41868</v>
      </c>
    </row>
    <row r="513" spans="1:6" x14ac:dyDescent="0.3">
      <c r="A513" s="3" t="s">
        <v>7</v>
      </c>
      <c r="B513" s="7" t="str">
        <f>VLOOKUP(VALUE(A513), 'DICIONÁRIO UF'!$A:$B, 2, FALSE)</f>
        <v>Roraima</v>
      </c>
      <c r="C513" s="3">
        <v>10010</v>
      </c>
      <c r="D513" s="5" t="str">
        <f>VLOOKUP(C513, 'DICIONÁRIO CNAES'!$A:$B, 2, FALSE)</f>
        <v xml:space="preserve">Abate e fabricação de produtos de carne e pescado </v>
      </c>
      <c r="E513" s="4">
        <v>294.48807531</v>
      </c>
      <c r="F513" s="4">
        <v>476891.8306625</v>
      </c>
    </row>
    <row r="514" spans="1:6" x14ac:dyDescent="0.3">
      <c r="A514" s="3" t="s">
        <v>7</v>
      </c>
      <c r="B514" s="7" t="str">
        <f>VLOOKUP(VALUE(A514), 'DICIONÁRIO UF'!$A:$B, 2, FALSE)</f>
        <v>Roraima</v>
      </c>
      <c r="C514" s="3">
        <v>10021</v>
      </c>
      <c r="D514" s="5" t="str">
        <f>VLOOKUP(C514, 'DICIONÁRIO CNAES'!$A:$B, 2, FALSE)</f>
        <v>Fabricação de conservas de frutas, legumes e outros vegetais</v>
      </c>
      <c r="E514" s="4">
        <v>65.573691060000002</v>
      </c>
      <c r="F514" s="4">
        <v>72131.060165999996</v>
      </c>
    </row>
    <row r="515" spans="1:6" x14ac:dyDescent="0.3">
      <c r="A515" s="3" t="s">
        <v>7</v>
      </c>
      <c r="B515" s="7" t="str">
        <f>VLOOKUP(VALUE(A515), 'DICIONÁRIO UF'!$A:$B, 2, FALSE)</f>
        <v>Roraima</v>
      </c>
      <c r="C515" s="3">
        <v>10022</v>
      </c>
      <c r="D515" s="5" t="str">
        <f>VLOOKUP(C515, 'DICIONÁRIO CNAES'!$A:$B, 2, FALSE)</f>
        <v>Fabricação de óleos vegetais e gorduras vegetais e animais</v>
      </c>
      <c r="E515" s="4">
        <v>519.28580218000002</v>
      </c>
      <c r="F515" s="4">
        <v>627682.08359930001</v>
      </c>
    </row>
    <row r="516" spans="1:6" x14ac:dyDescent="0.3">
      <c r="A516" s="3" t="s">
        <v>7</v>
      </c>
      <c r="B516" s="7" t="str">
        <f>VLOOKUP(VALUE(A516), 'DICIONÁRIO UF'!$A:$B, 2, FALSE)</f>
        <v>Roraima</v>
      </c>
      <c r="C516" s="3">
        <v>10030</v>
      </c>
      <c r="D516" s="5" t="str">
        <f>VLOOKUP(C516, 'DICIONÁRIO CNAES'!$A:$B, 2, FALSE)</f>
        <v>Laticínios</v>
      </c>
      <c r="E516" s="4">
        <v>195.62959565</v>
      </c>
      <c r="F516" s="4">
        <v>183969.22844149999</v>
      </c>
    </row>
    <row r="517" spans="1:6" x14ac:dyDescent="0.3">
      <c r="A517" s="3" t="s">
        <v>7</v>
      </c>
      <c r="B517" s="7" t="str">
        <f>VLOOKUP(VALUE(A517), 'DICIONÁRIO UF'!$A:$B, 2, FALSE)</f>
        <v>Roraima</v>
      </c>
      <c r="C517" s="3">
        <v>10099</v>
      </c>
      <c r="D517" s="5" t="str">
        <f>VLOOKUP(C517, 'DICIONÁRIO CNAES'!$A:$B, 2, FALSE)</f>
        <v>Fabricação de outros produtos alimentícios</v>
      </c>
      <c r="E517" s="4">
        <v>391.24450881000001</v>
      </c>
      <c r="F517" s="4">
        <v>329727.63139499997</v>
      </c>
    </row>
    <row r="518" spans="1:6" x14ac:dyDescent="0.3">
      <c r="A518" s="3" t="s">
        <v>7</v>
      </c>
      <c r="B518" s="7" t="str">
        <f>VLOOKUP(VALUE(A518), 'DICIONÁRIO UF'!$A:$B, 2, FALSE)</f>
        <v>Roraima</v>
      </c>
      <c r="C518" s="3">
        <v>11000</v>
      </c>
      <c r="D518" s="5" t="str">
        <f>VLOOKUP(C518, 'DICIONÁRIO CNAES'!$A:$B, 2, FALSE)</f>
        <v>Fabricação de bebidas</v>
      </c>
      <c r="E518" s="4">
        <v>84.064897790000003</v>
      </c>
      <c r="F518" s="4">
        <v>92471.387568999999</v>
      </c>
    </row>
    <row r="519" spans="1:6" x14ac:dyDescent="0.3">
      <c r="A519" s="3" t="s">
        <v>7</v>
      </c>
      <c r="B519" s="7" t="str">
        <f>VLOOKUP(VALUE(A519), 'DICIONÁRIO UF'!$A:$B, 2, FALSE)</f>
        <v>Roraima</v>
      </c>
      <c r="C519" s="3">
        <v>13002</v>
      </c>
      <c r="D519" s="5" t="str">
        <f>VLOOKUP(C519, 'DICIONÁRIO CNAES'!$A:$B, 2, FALSE)</f>
        <v>Fabricação de artefatos têxteis, exceto vestuário</v>
      </c>
      <c r="E519" s="4">
        <v>79.493600860000001</v>
      </c>
      <c r="F519" s="4">
        <v>29306.492941</v>
      </c>
    </row>
    <row r="520" spans="1:6" x14ac:dyDescent="0.3">
      <c r="A520" s="3" t="s">
        <v>7</v>
      </c>
      <c r="B520" s="7" t="str">
        <f>VLOOKUP(VALUE(A520), 'DICIONÁRIO UF'!$A:$B, 2, FALSE)</f>
        <v>Roraima</v>
      </c>
      <c r="C520" s="3">
        <v>14001</v>
      </c>
      <c r="D520" s="5" t="str">
        <f>VLOOKUP(C520, 'DICIONÁRIO CNAES'!$A:$B, 2, FALSE)</f>
        <v>Confecção de artigos do vestuário e acessórios, exceto sob medida</v>
      </c>
      <c r="E520" s="4">
        <v>238.00248944000001</v>
      </c>
      <c r="F520" s="4">
        <v>87044.835662000012</v>
      </c>
    </row>
    <row r="521" spans="1:6" x14ac:dyDescent="0.3">
      <c r="A521" s="3" t="s">
        <v>7</v>
      </c>
      <c r="B521" s="7" t="str">
        <f>VLOOKUP(VALUE(A521), 'DICIONÁRIO UF'!$A:$B, 2, FALSE)</f>
        <v>Roraima</v>
      </c>
      <c r="C521" s="3">
        <v>14002</v>
      </c>
      <c r="D521" s="5" t="str">
        <f>VLOOKUP(C521, 'DICIONÁRIO CNAES'!$A:$B, 2, FALSE)</f>
        <v>Confecção, sob medida, de artigos do vestuário</v>
      </c>
      <c r="E521" s="4">
        <v>507.33526589000002</v>
      </c>
      <c r="F521" s="4">
        <v>675508.53196200007</v>
      </c>
    </row>
    <row r="522" spans="1:6" x14ac:dyDescent="0.3">
      <c r="A522" s="3" t="s">
        <v>7</v>
      </c>
      <c r="B522" s="7" t="str">
        <f>VLOOKUP(VALUE(A522), 'DICIONÁRIO UF'!$A:$B, 2, FALSE)</f>
        <v>Roraima</v>
      </c>
      <c r="C522" s="3">
        <v>16001</v>
      </c>
      <c r="D522" s="5" t="str">
        <f>VLOOKUP(C522, 'DICIONÁRIO CNAES'!$A:$B, 2, FALSE)</f>
        <v>Serrarias</v>
      </c>
      <c r="E522" s="4">
        <v>303.13048956</v>
      </c>
      <c r="F522" s="4">
        <v>705480.36144000001</v>
      </c>
    </row>
    <row r="523" spans="1:6" x14ac:dyDescent="0.3">
      <c r="A523" s="3" t="s">
        <v>7</v>
      </c>
      <c r="B523" s="7" t="str">
        <f>VLOOKUP(VALUE(A523), 'DICIONÁRIO UF'!$A:$B, 2, FALSE)</f>
        <v>Roraima</v>
      </c>
      <c r="C523" s="3">
        <v>16002</v>
      </c>
      <c r="D523" s="5" t="str">
        <f>VLOOKUP(C523, 'DICIONÁRIO CNAES'!$A:$B, 2, FALSE)</f>
        <v>Fabricação de produtos de madeira, cortiça e material trançado, exceto móveis</v>
      </c>
      <c r="E523" s="4">
        <v>340.35978503000001</v>
      </c>
      <c r="F523" s="4">
        <v>397121.760373</v>
      </c>
    </row>
    <row r="524" spans="1:6" x14ac:dyDescent="0.3">
      <c r="A524" s="3" t="s">
        <v>7</v>
      </c>
      <c r="B524" s="7" t="str">
        <f>VLOOKUP(VALUE(A524), 'DICIONÁRIO UF'!$A:$B, 2, FALSE)</f>
        <v>Roraima</v>
      </c>
      <c r="C524" s="3">
        <v>18000</v>
      </c>
      <c r="D524" s="5" t="str">
        <f>VLOOKUP(C524, 'DICIONÁRIO CNAES'!$A:$B, 2, FALSE)</f>
        <v>Impressão e reprodução de gravações</v>
      </c>
      <c r="E524" s="4">
        <v>197.61795828000001</v>
      </c>
      <c r="F524" s="4">
        <v>289527.49443600001</v>
      </c>
    </row>
    <row r="525" spans="1:6" x14ac:dyDescent="0.3">
      <c r="A525" s="3" t="s">
        <v>7</v>
      </c>
      <c r="B525" s="7" t="str">
        <f>VLOOKUP(VALUE(A525), 'DICIONÁRIO UF'!$A:$B, 2, FALSE)</f>
        <v>Roraima</v>
      </c>
      <c r="C525" s="3">
        <v>19020</v>
      </c>
      <c r="D525" s="5" t="str">
        <f>VLOOKUP(C525, 'DICIONÁRIO CNAES'!$A:$B, 2, FALSE)</f>
        <v>Fabricação de produtos derivados do petróleo</v>
      </c>
      <c r="E525" s="4">
        <v>98.600286679999996</v>
      </c>
      <c r="F525" s="4">
        <v>147900.43002</v>
      </c>
    </row>
    <row r="526" spans="1:6" x14ac:dyDescent="0.3">
      <c r="A526" s="3" t="s">
        <v>7</v>
      </c>
      <c r="B526" s="7" t="str">
        <f>VLOOKUP(VALUE(A526), 'DICIONÁRIO UF'!$A:$B, 2, FALSE)</f>
        <v>Roraima</v>
      </c>
      <c r="C526" s="3">
        <v>20090</v>
      </c>
      <c r="D526" s="5" t="str">
        <f>VLOOKUP(C526, 'DICIONÁRIO CNAES'!$A:$B, 2, FALSE)</f>
        <v>Fabricação de outros produtos químicos não especificados anteriormente</v>
      </c>
      <c r="E526" s="4">
        <v>24.204694270000001</v>
      </c>
      <c r="F526" s="4">
        <v>26625.163697</v>
      </c>
    </row>
    <row r="527" spans="1:6" x14ac:dyDescent="0.3">
      <c r="A527" s="3" t="s">
        <v>7</v>
      </c>
      <c r="B527" s="7" t="str">
        <f>VLOOKUP(VALUE(A527), 'DICIONÁRIO UF'!$A:$B, 2, FALSE)</f>
        <v>Roraima</v>
      </c>
      <c r="C527" s="3">
        <v>22010</v>
      </c>
      <c r="D527" s="5" t="str">
        <f>VLOOKUP(C527, 'DICIONÁRIO CNAES'!$A:$B, 2, FALSE)</f>
        <v>Fabricação de produtos de borracha</v>
      </c>
      <c r="E527" s="4">
        <v>150.14567765999999</v>
      </c>
      <c r="F527" s="4">
        <v>225218.51649000001</v>
      </c>
    </row>
    <row r="528" spans="1:6" x14ac:dyDescent="0.3">
      <c r="A528" s="3" t="s">
        <v>7</v>
      </c>
      <c r="B528" s="7" t="str">
        <f>VLOOKUP(VALUE(A528), 'DICIONÁRIO UF'!$A:$B, 2, FALSE)</f>
        <v>Roraima</v>
      </c>
      <c r="C528" s="3">
        <v>22020</v>
      </c>
      <c r="D528" s="5" t="str">
        <f>VLOOKUP(C528, 'DICIONÁRIO CNAES'!$A:$B, 2, FALSE)</f>
        <v>Fabricação de produtos de material plástico</v>
      </c>
      <c r="E528" s="4">
        <v>69.55977455</v>
      </c>
      <c r="F528" s="4">
        <v>153031.50401</v>
      </c>
    </row>
    <row r="529" spans="1:6" x14ac:dyDescent="0.3">
      <c r="A529" s="3" t="s">
        <v>7</v>
      </c>
      <c r="B529" s="7" t="str">
        <f>VLOOKUP(VALUE(A529), 'DICIONÁRIO UF'!$A:$B, 2, FALSE)</f>
        <v>Roraima</v>
      </c>
      <c r="C529" s="3">
        <v>23091</v>
      </c>
      <c r="D529" s="5" t="str">
        <f>VLOOKUP(C529, 'DICIONÁRIO CNAES'!$A:$B, 2, FALSE)</f>
        <v>Fabricação de produtos cerâmicos</v>
      </c>
      <c r="E529" s="4">
        <v>1165.8741768800001</v>
      </c>
      <c r="F529" s="4">
        <v>1273309.8757435</v>
      </c>
    </row>
    <row r="530" spans="1:6" x14ac:dyDescent="0.3">
      <c r="A530" s="3" t="s">
        <v>7</v>
      </c>
      <c r="B530" s="7" t="str">
        <f>VLOOKUP(VALUE(A530), 'DICIONÁRIO UF'!$A:$B, 2, FALSE)</f>
        <v>Roraima</v>
      </c>
      <c r="C530" s="3">
        <v>23099</v>
      </c>
      <c r="D530" s="5" t="str">
        <f>VLOOKUP(C530, 'DICIONÁRIO CNAES'!$A:$B, 2, FALSE)</f>
        <v>Fabricação de outros produtos de minerais não-metálicos não especificados anteriormente</v>
      </c>
      <c r="E530" s="4">
        <v>70.811999349999994</v>
      </c>
      <c r="F530" s="4">
        <v>77893.199284999995</v>
      </c>
    </row>
    <row r="531" spans="1:6" x14ac:dyDescent="0.3">
      <c r="A531" s="3" t="s">
        <v>7</v>
      </c>
      <c r="B531" s="7" t="str">
        <f>VLOOKUP(VALUE(A531), 'DICIONÁRIO UF'!$A:$B, 2, FALSE)</f>
        <v>Roraima</v>
      </c>
      <c r="C531" s="3">
        <v>25001</v>
      </c>
      <c r="D531" s="5" t="str">
        <f>VLOOKUP(C531, 'DICIONÁRIO CNAES'!$A:$B, 2, FALSE)</f>
        <v>Fabricação de produtos de metal, exceto máquinas e equipamentos</v>
      </c>
      <c r="E531" s="4">
        <v>1290.44000241</v>
      </c>
      <c r="F531" s="4">
        <v>1477493.752776</v>
      </c>
    </row>
    <row r="532" spans="1:6" x14ac:dyDescent="0.3">
      <c r="A532" s="3" t="s">
        <v>7</v>
      </c>
      <c r="B532" s="7" t="str">
        <f>VLOOKUP(VALUE(A532), 'DICIONÁRIO UF'!$A:$B, 2, FALSE)</f>
        <v>Roraima</v>
      </c>
      <c r="C532" s="3">
        <v>25002</v>
      </c>
      <c r="D532" s="5" t="str">
        <f>VLOOKUP(C532, 'DICIONÁRIO CNAES'!$A:$B, 2, FALSE)</f>
        <v>Forjaria, estamparia, metalurgia do pó e serviços de tratamento de metais</v>
      </c>
      <c r="E532" s="4">
        <v>455.06982121999999</v>
      </c>
      <c r="F532" s="4">
        <v>646687.5871890001</v>
      </c>
    </row>
    <row r="533" spans="1:6" x14ac:dyDescent="0.3">
      <c r="A533" s="3" t="s">
        <v>7</v>
      </c>
      <c r="B533" s="7" t="str">
        <f>VLOOKUP(VALUE(A533), 'DICIONÁRIO UF'!$A:$B, 2, FALSE)</f>
        <v>Roraima</v>
      </c>
      <c r="C533" s="3">
        <v>29002</v>
      </c>
      <c r="D533" s="5" t="str">
        <f>VLOOKUP(C533, 'DICIONÁRIO CNAES'!$A:$B, 2, FALSE)</f>
        <v>Fabricação de cabines, carrocerias, reboques e peças para veículos automotores</v>
      </c>
      <c r="E533" s="4">
        <v>224.29506284000001</v>
      </c>
      <c r="F533" s="4">
        <v>224295.06284</v>
      </c>
    </row>
    <row r="534" spans="1:6" x14ac:dyDescent="0.3">
      <c r="A534" s="3" t="s">
        <v>7</v>
      </c>
      <c r="B534" s="7" t="str">
        <f>VLOOKUP(VALUE(A534), 'DICIONÁRIO UF'!$A:$B, 2, FALSE)</f>
        <v>Roraima</v>
      </c>
      <c r="C534" s="3">
        <v>31000</v>
      </c>
      <c r="D534" s="5" t="str">
        <f>VLOOKUP(C534, 'DICIONÁRIO CNAES'!$A:$B, 2, FALSE)</f>
        <v>Fabricação de móveis</v>
      </c>
      <c r="E534" s="4">
        <v>1169.0924119599999</v>
      </c>
      <c r="F534" s="4">
        <v>1933945.2276280001</v>
      </c>
    </row>
    <row r="535" spans="1:6" x14ac:dyDescent="0.3">
      <c r="A535" s="3" t="s">
        <v>7</v>
      </c>
      <c r="B535" s="7" t="str">
        <f>VLOOKUP(VALUE(A535), 'DICIONÁRIO UF'!$A:$B, 2, FALSE)</f>
        <v>Roraima</v>
      </c>
      <c r="C535" s="3">
        <v>32001</v>
      </c>
      <c r="D535" s="5" t="str">
        <f>VLOOKUP(C535, 'DICIONÁRIO CNAES'!$A:$B, 2, FALSE)</f>
        <v>Fabricação de artigos de joalheria, bijuteria e semelhantes</v>
      </c>
      <c r="E535" s="4">
        <v>347.66025302999998</v>
      </c>
      <c r="F535" s="4">
        <v>521490.37954499997</v>
      </c>
    </row>
    <row r="536" spans="1:6" x14ac:dyDescent="0.3">
      <c r="A536" s="3" t="s">
        <v>7</v>
      </c>
      <c r="B536" s="7" t="str">
        <f>VLOOKUP(VALUE(A536), 'DICIONÁRIO UF'!$A:$B, 2, FALSE)</f>
        <v>Roraima</v>
      </c>
      <c r="C536" s="3">
        <v>32009</v>
      </c>
      <c r="D536" s="5" t="str">
        <f>VLOOKUP(C536, 'DICIONÁRIO CNAES'!$A:$B, 2, FALSE)</f>
        <v>Fabricação de produtos diversos</v>
      </c>
      <c r="E536" s="4">
        <v>189.51314704999999</v>
      </c>
      <c r="F536" s="4">
        <v>103303.53489</v>
      </c>
    </row>
    <row r="537" spans="1:6" x14ac:dyDescent="0.3">
      <c r="A537" s="3" t="s">
        <v>7</v>
      </c>
      <c r="B537" s="7" t="str">
        <f>VLOOKUP(VALUE(A537), 'DICIONÁRIO UF'!$A:$B, 2, FALSE)</f>
        <v>Roraima</v>
      </c>
      <c r="C537" s="3">
        <v>35010</v>
      </c>
      <c r="D537" s="5" t="str">
        <f>VLOOKUP(C537, 'DICIONÁRIO CNAES'!$A:$B, 2, FALSE)</f>
        <v>Geração, transmissão e distribuição de energia elétrica</v>
      </c>
      <c r="E537" s="4">
        <v>737.60472950999997</v>
      </c>
      <c r="F537" s="4">
        <v>1601241.5163690001</v>
      </c>
    </row>
    <row r="538" spans="1:6" x14ac:dyDescent="0.3">
      <c r="A538" s="3" t="s">
        <v>7</v>
      </c>
      <c r="B538" s="7" t="str">
        <f>VLOOKUP(VALUE(A538), 'DICIONÁRIO UF'!$A:$B, 2, FALSE)</f>
        <v>Roraima</v>
      </c>
      <c r="C538" s="3">
        <v>35021</v>
      </c>
      <c r="D538" s="5" t="str">
        <f>VLOOKUP(C538, 'DICIONÁRIO CNAES'!$A:$B, 2, FALSE)</f>
        <v>Produção e distribuição de combustíveis gasosos por redes urbanas</v>
      </c>
      <c r="E538" s="4">
        <v>31.743592809999999</v>
      </c>
      <c r="F538" s="4">
        <v>63487.185619999997</v>
      </c>
    </row>
    <row r="539" spans="1:6" x14ac:dyDescent="0.3">
      <c r="A539" s="3" t="s">
        <v>7</v>
      </c>
      <c r="B539" s="7" t="str">
        <f>VLOOKUP(VALUE(A539), 'DICIONÁRIO UF'!$A:$B, 2, FALSE)</f>
        <v>Roraima</v>
      </c>
      <c r="C539" s="3">
        <v>36000</v>
      </c>
      <c r="D539" s="5" t="str">
        <f>VLOOKUP(C539, 'DICIONÁRIO CNAES'!$A:$B, 2, FALSE)</f>
        <v>Captação, tratamento e distribuição de água</v>
      </c>
      <c r="E539" s="4">
        <v>917.98939375999998</v>
      </c>
      <c r="F539" s="4">
        <v>2735612.6889530001</v>
      </c>
    </row>
    <row r="540" spans="1:6" x14ac:dyDescent="0.3">
      <c r="A540" s="3" t="s">
        <v>7</v>
      </c>
      <c r="B540" s="7" t="str">
        <f>VLOOKUP(VALUE(A540), 'DICIONÁRIO UF'!$A:$B, 2, FALSE)</f>
        <v>Roraima</v>
      </c>
      <c r="C540" s="3">
        <v>38000</v>
      </c>
      <c r="D540" s="5" t="str">
        <f>VLOOKUP(C540, 'DICIONÁRIO CNAES'!$A:$B, 2, FALSE)</f>
        <v>Coleta, tratamento e disposição de resíduos; recuperação de materiais</v>
      </c>
      <c r="E540" s="4">
        <v>450.77790723999999</v>
      </c>
      <c r="F540" s="4">
        <v>366333.36069499998</v>
      </c>
    </row>
    <row r="541" spans="1:6" x14ac:dyDescent="0.3">
      <c r="A541" s="3" t="s">
        <v>7</v>
      </c>
      <c r="B541" s="7" t="str">
        <f>VLOOKUP(VALUE(A541), 'DICIONÁRIO UF'!$A:$B, 2, FALSE)</f>
        <v>Roraima</v>
      </c>
      <c r="C541" s="3">
        <v>41000</v>
      </c>
      <c r="D541" s="5" t="str">
        <f>VLOOKUP(C541, 'DICIONÁRIO CNAES'!$A:$B, 2, FALSE)</f>
        <v>Construção de edifícios</v>
      </c>
      <c r="E541" s="4">
        <v>15425.223924399999</v>
      </c>
      <c r="F541" s="4">
        <v>17123221.089779679</v>
      </c>
    </row>
    <row r="542" spans="1:6" x14ac:dyDescent="0.3">
      <c r="A542" s="3" t="s">
        <v>7</v>
      </c>
      <c r="B542" s="7" t="str">
        <f>VLOOKUP(VALUE(A542), 'DICIONÁRIO UF'!$A:$B, 2, FALSE)</f>
        <v>Roraima</v>
      </c>
      <c r="C542" s="3">
        <v>42000</v>
      </c>
      <c r="D542" s="5" t="str">
        <f>VLOOKUP(C542, 'DICIONÁRIO CNAES'!$A:$B, 2, FALSE)</f>
        <v>Construção de obras de infra-estrutura</v>
      </c>
      <c r="E542" s="4">
        <v>1513.9020587</v>
      </c>
      <c r="F542" s="4">
        <v>2904546.0780420001</v>
      </c>
    </row>
    <row r="543" spans="1:6" x14ac:dyDescent="0.3">
      <c r="A543" s="3" t="s">
        <v>7</v>
      </c>
      <c r="B543" s="7" t="str">
        <f>VLOOKUP(VALUE(A543), 'DICIONÁRIO UF'!$A:$B, 2, FALSE)</f>
        <v>Roraima</v>
      </c>
      <c r="C543" s="3">
        <v>43000</v>
      </c>
      <c r="D543" s="5" t="str">
        <f>VLOOKUP(C543, 'DICIONÁRIO CNAES'!$A:$B, 2, FALSE)</f>
        <v>Serviços especializados para construção</v>
      </c>
      <c r="E543" s="4">
        <v>5744.1130300599998</v>
      </c>
      <c r="F543" s="4">
        <v>8873166.6016850006</v>
      </c>
    </row>
    <row r="544" spans="1:6" x14ac:dyDescent="0.3">
      <c r="A544" s="3" t="s">
        <v>7</v>
      </c>
      <c r="B544" s="7" t="str">
        <f>VLOOKUP(VALUE(A544), 'DICIONÁRIO UF'!$A:$B, 2, FALSE)</f>
        <v>Roraima</v>
      </c>
      <c r="C544" s="3">
        <v>45010</v>
      </c>
      <c r="D544" s="5" t="str">
        <f>VLOOKUP(C544, 'DICIONÁRIO CNAES'!$A:$B, 2, FALSE)</f>
        <v>Comércio de veículos automotores</v>
      </c>
      <c r="E544" s="4">
        <v>1199.8442411000001</v>
      </c>
      <c r="F544" s="4">
        <v>2722877.6382800001</v>
      </c>
    </row>
    <row r="545" spans="1:6" x14ac:dyDescent="0.3">
      <c r="A545" s="3" t="s">
        <v>7</v>
      </c>
      <c r="B545" s="7" t="str">
        <f>VLOOKUP(VALUE(A545), 'DICIONÁRIO UF'!$A:$B, 2, FALSE)</f>
        <v>Roraima</v>
      </c>
      <c r="C545" s="3">
        <v>45020</v>
      </c>
      <c r="D545" s="5" t="str">
        <f>VLOOKUP(C545, 'DICIONÁRIO CNAES'!$A:$B, 2, FALSE)</f>
        <v>Manutenção e reparação de veículos automotores</v>
      </c>
      <c r="E545" s="4">
        <v>4704.0519307699997</v>
      </c>
      <c r="F545" s="4">
        <v>6920754.7079924</v>
      </c>
    </row>
    <row r="546" spans="1:6" x14ac:dyDescent="0.3">
      <c r="A546" s="3" t="s">
        <v>7</v>
      </c>
      <c r="B546" s="7" t="str">
        <f>VLOOKUP(VALUE(A546), 'DICIONÁRIO UF'!$A:$B, 2, FALSE)</f>
        <v>Roraima</v>
      </c>
      <c r="C546" s="3">
        <v>45030</v>
      </c>
      <c r="D546" s="5" t="str">
        <f>VLOOKUP(C546, 'DICIONÁRIO CNAES'!$A:$B, 2, FALSE)</f>
        <v>Comércio de peças e acessórios para veículos automotores</v>
      </c>
      <c r="E546" s="4">
        <v>961.20132734000003</v>
      </c>
      <c r="F546" s="4">
        <v>1389581.712386</v>
      </c>
    </row>
    <row r="547" spans="1:6" x14ac:dyDescent="0.3">
      <c r="A547" s="3" t="s">
        <v>7</v>
      </c>
      <c r="B547" s="7" t="str">
        <f>VLOOKUP(VALUE(A547), 'DICIONÁRIO UF'!$A:$B, 2, FALSE)</f>
        <v>Roraima</v>
      </c>
      <c r="C547" s="3">
        <v>45040</v>
      </c>
      <c r="D547" s="5" t="str">
        <f>VLOOKUP(C547, 'DICIONÁRIO CNAES'!$A:$B, 2, FALSE)</f>
        <v>Comércio, manutenção e reparação de motocicletas, peças e acessórios</v>
      </c>
      <c r="E547" s="4">
        <v>420.08755789000003</v>
      </c>
      <c r="F547" s="4">
        <v>462140.78263999999</v>
      </c>
    </row>
    <row r="548" spans="1:6" x14ac:dyDescent="0.3">
      <c r="A548" s="3" t="s">
        <v>7</v>
      </c>
      <c r="B548" s="7" t="str">
        <f>VLOOKUP(VALUE(A548), 'DICIONÁRIO UF'!$A:$B, 2, FALSE)</f>
        <v>Roraima</v>
      </c>
      <c r="C548" s="3">
        <v>48030</v>
      </c>
      <c r="D548" s="5" t="str">
        <f>VLOOKUP(C548, 'DICIONÁRIO CNAES'!$A:$B, 2, FALSE)</f>
        <v>Comércio de produtos alimentícios, bebidas e fumo</v>
      </c>
      <c r="E548" s="4">
        <v>9035.6173472999999</v>
      </c>
      <c r="F548" s="4">
        <v>13269018.321148099</v>
      </c>
    </row>
    <row r="549" spans="1:6" x14ac:dyDescent="0.3">
      <c r="A549" s="3" t="s">
        <v>7</v>
      </c>
      <c r="B549" s="7" t="str">
        <f>VLOOKUP(VALUE(A549), 'DICIONÁRIO UF'!$A:$B, 2, FALSE)</f>
        <v>Roraima</v>
      </c>
      <c r="C549" s="3">
        <v>48041</v>
      </c>
      <c r="D549" s="5" t="str">
        <f>VLOOKUP(C549, 'DICIONÁRIO CNAES'!$A:$B, 2, FALSE)</f>
        <v>Comércio de tecidos, artefatos de tecidos e armarinho</v>
      </c>
      <c r="E549" s="4">
        <v>647.70897690000004</v>
      </c>
      <c r="F549" s="4">
        <v>1129490.0802849999</v>
      </c>
    </row>
    <row r="550" spans="1:6" x14ac:dyDescent="0.3">
      <c r="A550" s="3" t="s">
        <v>7</v>
      </c>
      <c r="B550" s="7" t="str">
        <f>VLOOKUP(VALUE(A550), 'DICIONÁRIO UF'!$A:$B, 2, FALSE)</f>
        <v>Roraima</v>
      </c>
      <c r="C550" s="3">
        <v>48042</v>
      </c>
      <c r="D550" s="5" t="str">
        <f>VLOOKUP(C550, 'DICIONÁRIO CNAES'!$A:$B, 2, FALSE)</f>
        <v>Comércio de artigos do vestuário, complementos, calçados e artigos de viagem</v>
      </c>
      <c r="E550" s="4">
        <v>6290.53683301</v>
      </c>
      <c r="F550" s="4">
        <v>8111521.1820695</v>
      </c>
    </row>
    <row r="551" spans="1:6" x14ac:dyDescent="0.3">
      <c r="A551" s="3" t="s">
        <v>7</v>
      </c>
      <c r="B551" s="7" t="str">
        <f>VLOOKUP(VALUE(A551), 'DICIONÁRIO UF'!$A:$B, 2, FALSE)</f>
        <v>Roraima</v>
      </c>
      <c r="C551" s="3">
        <v>48050</v>
      </c>
      <c r="D551" s="5" t="str">
        <f>VLOOKUP(C551, 'DICIONÁRIO CNAES'!$A:$B, 2, FALSE)</f>
        <v>Comércio de madeira, material de construção, ferragens e ferramentas</v>
      </c>
      <c r="E551" s="4">
        <v>3013.0930018200002</v>
      </c>
      <c r="F551" s="4">
        <v>4569486.1803933997</v>
      </c>
    </row>
    <row r="552" spans="1:6" x14ac:dyDescent="0.3">
      <c r="A552" s="3" t="s">
        <v>7</v>
      </c>
      <c r="B552" s="7" t="str">
        <f>VLOOKUP(VALUE(A552), 'DICIONÁRIO UF'!$A:$B, 2, FALSE)</f>
        <v>Roraima</v>
      </c>
      <c r="C552" s="3">
        <v>48060</v>
      </c>
      <c r="D552" s="5" t="str">
        <f>VLOOKUP(C552, 'DICIONÁRIO CNAES'!$A:$B, 2, FALSE)</f>
        <v>Comércio de combustíveis para veículos automotores</v>
      </c>
      <c r="E552" s="4">
        <v>2083.2934179200001</v>
      </c>
      <c r="F552" s="4">
        <v>2900960.8118691202</v>
      </c>
    </row>
    <row r="553" spans="1:6" x14ac:dyDescent="0.3">
      <c r="A553" s="3" t="s">
        <v>7</v>
      </c>
      <c r="B553" s="7" t="str">
        <f>VLOOKUP(VALUE(A553), 'DICIONÁRIO UF'!$A:$B, 2, FALSE)</f>
        <v>Roraima</v>
      </c>
      <c r="C553" s="3">
        <v>48071</v>
      </c>
      <c r="D553" s="5" t="str">
        <f>VLOOKUP(C553, 'DICIONÁRIO CNAES'!$A:$B, 2, FALSE)</f>
        <v>Comércio de produtos farmaceuticos, médicos, ortopédicos, odontológicos e de cosméticos e perfumaria</v>
      </c>
      <c r="E553" s="4">
        <v>5913.3957325299998</v>
      </c>
      <c r="F553" s="4">
        <v>8694724.0803817008</v>
      </c>
    </row>
    <row r="554" spans="1:6" x14ac:dyDescent="0.3">
      <c r="A554" s="3" t="s">
        <v>7</v>
      </c>
      <c r="B554" s="7" t="str">
        <f>VLOOKUP(VALUE(A554), 'DICIONÁRIO UF'!$A:$B, 2, FALSE)</f>
        <v>Roraima</v>
      </c>
      <c r="C554" s="3">
        <v>48072</v>
      </c>
      <c r="D554" s="5" t="str">
        <f>VLOOKUP(C554, 'DICIONÁRIO CNAES'!$A:$B, 2, FALSE)</f>
        <v>Comércio de artigos de escritório e de papelaria; livros, jornais e outras publicações</v>
      </c>
      <c r="E554" s="4">
        <v>757.78725341000006</v>
      </c>
      <c r="F554" s="4">
        <v>995719.52613500005</v>
      </c>
    </row>
    <row r="555" spans="1:6" x14ac:dyDescent="0.3">
      <c r="A555" s="3" t="s">
        <v>7</v>
      </c>
      <c r="B555" s="7" t="str">
        <f>VLOOKUP(VALUE(A555), 'DICIONÁRIO UF'!$A:$B, 2, FALSE)</f>
        <v>Roraima</v>
      </c>
      <c r="C555" s="3">
        <v>48073</v>
      </c>
      <c r="D555" s="5" t="str">
        <f>VLOOKUP(C555, 'DICIONÁRIO CNAES'!$A:$B, 2, FALSE)</f>
        <v>Comércio de eletrodomésticos, móveis e outros artigos de residência</v>
      </c>
      <c r="E555" s="4">
        <v>2383.73420506</v>
      </c>
      <c r="F555" s="4">
        <v>4087016.9653864</v>
      </c>
    </row>
    <row r="556" spans="1:6" x14ac:dyDescent="0.3">
      <c r="A556" s="3" t="s">
        <v>7</v>
      </c>
      <c r="B556" s="7" t="str">
        <f>VLOOKUP(VALUE(A556), 'DICIONÁRIO UF'!$A:$B, 2, FALSE)</f>
        <v>Roraima</v>
      </c>
      <c r="C556" s="3">
        <v>48074</v>
      </c>
      <c r="D556" s="5" t="str">
        <f>VLOOKUP(C556, 'DICIONÁRIO CNAES'!$A:$B, 2, FALSE)</f>
        <v>Comércio de equipamentos e produtos de tecnologias de informação e comunicação</v>
      </c>
      <c r="E556" s="4">
        <v>345.68356396000001</v>
      </c>
      <c r="F556" s="4">
        <v>894308.59065449995</v>
      </c>
    </row>
    <row r="557" spans="1:6" x14ac:dyDescent="0.3">
      <c r="A557" s="3" t="s">
        <v>7</v>
      </c>
      <c r="B557" s="7" t="str">
        <f>VLOOKUP(VALUE(A557), 'DICIONÁRIO UF'!$A:$B, 2, FALSE)</f>
        <v>Roraima</v>
      </c>
      <c r="C557" s="3">
        <v>48075</v>
      </c>
      <c r="D557" s="5" t="str">
        <f>VLOOKUP(C557, 'DICIONÁRIO CNAES'!$A:$B, 2, FALSE)</f>
        <v xml:space="preserve">Comércio de máquinas, aparelhos e equipamentos, exceto eletrodomésticos </v>
      </c>
      <c r="E557" s="4">
        <v>1474.67505824</v>
      </c>
      <c r="F557" s="4">
        <v>3774286.3858360001</v>
      </c>
    </row>
    <row r="558" spans="1:6" x14ac:dyDescent="0.3">
      <c r="A558" s="3" t="s">
        <v>7</v>
      </c>
      <c r="B558" s="7" t="str">
        <f>VLOOKUP(VALUE(A558), 'DICIONÁRIO UF'!$A:$B, 2, FALSE)</f>
        <v>Roraima</v>
      </c>
      <c r="C558" s="3">
        <v>48076</v>
      </c>
      <c r="D558" s="5" t="str">
        <f>VLOOKUP(C558, 'DICIONÁRIO CNAES'!$A:$B, 2, FALSE)</f>
        <v>Comércio de combustíveis sólidos, líquidos e gasosos, exceto para veículos automotores</v>
      </c>
      <c r="E558" s="4">
        <v>512.57537378999996</v>
      </c>
      <c r="F558" s="4">
        <v>626071.602327</v>
      </c>
    </row>
    <row r="559" spans="1:6" x14ac:dyDescent="0.3">
      <c r="A559" s="3" t="s">
        <v>7</v>
      </c>
      <c r="B559" s="7" t="str">
        <f>VLOOKUP(VALUE(A559), 'DICIONÁRIO UF'!$A:$B, 2, FALSE)</f>
        <v>Roraima</v>
      </c>
      <c r="C559" s="3">
        <v>48078</v>
      </c>
      <c r="D559" s="5" t="str">
        <f>VLOOKUP(C559, 'DICIONÁRIO CNAES'!$A:$B, 2, FALSE)</f>
        <v>Comercio de residuos e sucatas</v>
      </c>
      <c r="E559" s="4">
        <v>769.49204847999999</v>
      </c>
      <c r="F559" s="4">
        <v>391302.21990199998</v>
      </c>
    </row>
    <row r="560" spans="1:6" x14ac:dyDescent="0.3">
      <c r="A560" s="3" t="s">
        <v>7</v>
      </c>
      <c r="B560" s="7" t="str">
        <f>VLOOKUP(VALUE(A560), 'DICIONÁRIO UF'!$A:$B, 2, FALSE)</f>
        <v>Roraima</v>
      </c>
      <c r="C560" s="3">
        <v>48079</v>
      </c>
      <c r="D560" s="5" t="str">
        <f>VLOOKUP(C560, 'DICIONÁRIO CNAES'!$A:$B, 2, FALSE)</f>
        <v>Comércio de produtos novos não especificados anteriormente</v>
      </c>
      <c r="E560" s="4">
        <v>1797.92062904</v>
      </c>
      <c r="F560" s="4">
        <v>3748350.0452129999</v>
      </c>
    </row>
    <row r="561" spans="1:6" x14ac:dyDescent="0.3">
      <c r="A561" s="3" t="s">
        <v>7</v>
      </c>
      <c r="B561" s="7" t="str">
        <f>VLOOKUP(VALUE(A561), 'DICIONÁRIO UF'!$A:$B, 2, FALSE)</f>
        <v>Roraima</v>
      </c>
      <c r="C561" s="3">
        <v>48080</v>
      </c>
      <c r="D561" s="5" t="str">
        <f>VLOOKUP(C561, 'DICIONÁRIO CNAES'!$A:$B, 2, FALSE)</f>
        <v>Supermercado e hipermercado</v>
      </c>
      <c r="E561" s="4">
        <v>6582.0838490100004</v>
      </c>
      <c r="F561" s="4">
        <v>8556407.7866459992</v>
      </c>
    </row>
    <row r="562" spans="1:6" x14ac:dyDescent="0.3">
      <c r="A562" s="3" t="s">
        <v>7</v>
      </c>
      <c r="B562" s="7" t="str">
        <f>VLOOKUP(VALUE(A562), 'DICIONÁRIO UF'!$A:$B, 2, FALSE)</f>
        <v>Roraima</v>
      </c>
      <c r="C562" s="3">
        <v>48090</v>
      </c>
      <c r="D562" s="5" t="str">
        <f>VLOOKUP(C562, 'DICIONÁRIO CNAES'!$A:$B, 2, FALSE)</f>
        <v>Lojas de departamento e outros comércios não especializados, sem predominância de produtos alimentícios</v>
      </c>
      <c r="E562" s="4">
        <v>177.86390412</v>
      </c>
      <c r="F562" s="4">
        <v>249624.89551500001</v>
      </c>
    </row>
    <row r="563" spans="1:6" x14ac:dyDescent="0.3">
      <c r="A563" s="3" t="s">
        <v>7</v>
      </c>
      <c r="B563" s="7" t="str">
        <f>VLOOKUP(VALUE(A563), 'DICIONÁRIO UF'!$A:$B, 2, FALSE)</f>
        <v>Roraima</v>
      </c>
      <c r="C563" s="3">
        <v>48100</v>
      </c>
      <c r="D563" s="5" t="str">
        <f>VLOOKUP(C563, 'DICIONÁRIO CNAES'!$A:$B, 2, FALSE)</f>
        <v>Comércio ambulante e feiras</v>
      </c>
      <c r="E563" s="4">
        <v>2020.75802443</v>
      </c>
      <c r="F563" s="4">
        <v>2827102.9428645</v>
      </c>
    </row>
    <row r="564" spans="1:6" x14ac:dyDescent="0.3">
      <c r="A564" s="3" t="s">
        <v>7</v>
      </c>
      <c r="B564" s="7" t="str">
        <f>VLOOKUP(VALUE(A564), 'DICIONÁRIO UF'!$A:$B, 2, FALSE)</f>
        <v>Roraima</v>
      </c>
      <c r="C564" s="3">
        <v>49030</v>
      </c>
      <c r="D564" s="5" t="str">
        <f>VLOOKUP(C564, 'DICIONÁRIO CNAES'!$A:$B, 2, FALSE)</f>
        <v>Transporte rodoviário de passageiros</v>
      </c>
      <c r="E564" s="4">
        <v>5721.4752629200002</v>
      </c>
      <c r="F564" s="4">
        <v>9554776.6063758004</v>
      </c>
    </row>
    <row r="565" spans="1:6" x14ac:dyDescent="0.3">
      <c r="A565" s="3" t="s">
        <v>7</v>
      </c>
      <c r="B565" s="7" t="str">
        <f>VLOOKUP(VALUE(A565), 'DICIONÁRIO UF'!$A:$B, 2, FALSE)</f>
        <v>Roraima</v>
      </c>
      <c r="C565" s="3">
        <v>49040</v>
      </c>
      <c r="D565" s="5" t="str">
        <f>VLOOKUP(C565, 'DICIONÁRIO CNAES'!$A:$B, 2, FALSE)</f>
        <v>Transporte rodoviário de carga</v>
      </c>
      <c r="E565" s="4">
        <v>3715.7437881800001</v>
      </c>
      <c r="F565" s="4">
        <v>8758113.8924474996</v>
      </c>
    </row>
    <row r="566" spans="1:6" x14ac:dyDescent="0.3">
      <c r="A566" s="3" t="s">
        <v>7</v>
      </c>
      <c r="B566" s="7" t="str">
        <f>VLOOKUP(VALUE(A566), 'DICIONÁRIO UF'!$A:$B, 2, FALSE)</f>
        <v>Roraima</v>
      </c>
      <c r="C566" s="3">
        <v>52010</v>
      </c>
      <c r="D566" s="5" t="str">
        <f>VLOOKUP(C566, 'DICIONÁRIO CNAES'!$A:$B, 2, FALSE)</f>
        <v>Armazenamento, carga e descarga</v>
      </c>
      <c r="E566" s="4">
        <v>288.02357878999999</v>
      </c>
      <c r="F566" s="4">
        <v>476093.98659699998</v>
      </c>
    </row>
    <row r="567" spans="1:6" x14ac:dyDescent="0.3">
      <c r="A567" s="3" t="s">
        <v>7</v>
      </c>
      <c r="B567" s="7" t="str">
        <f>VLOOKUP(VALUE(A567), 'DICIONÁRIO UF'!$A:$B, 2, FALSE)</f>
        <v>Roraima</v>
      </c>
      <c r="C567" s="3">
        <v>52020</v>
      </c>
      <c r="D567" s="5" t="str">
        <f>VLOOKUP(C567, 'DICIONÁRIO CNAES'!$A:$B, 2, FALSE)</f>
        <v xml:space="preserve">Atividades auxiliares dos transportes e atividades relacionadas à organização do transporte de carga </v>
      </c>
      <c r="E567" s="4">
        <v>363.46256900999998</v>
      </c>
      <c r="F567" s="4">
        <v>331526.15129900002</v>
      </c>
    </row>
    <row r="568" spans="1:6" x14ac:dyDescent="0.3">
      <c r="A568" s="3" t="s">
        <v>7</v>
      </c>
      <c r="B568" s="7" t="str">
        <f>VLOOKUP(VALUE(A568), 'DICIONÁRIO UF'!$A:$B, 2, FALSE)</f>
        <v>Roraima</v>
      </c>
      <c r="C568" s="3">
        <v>53001</v>
      </c>
      <c r="D568" s="5" t="str">
        <f>VLOOKUP(C568, 'DICIONÁRIO CNAES'!$A:$B, 2, FALSE)</f>
        <v>Atividades de Correio</v>
      </c>
      <c r="E568" s="4">
        <v>71.604694690000002</v>
      </c>
      <c r="F568" s="4">
        <v>143209.38938000001</v>
      </c>
    </row>
    <row r="569" spans="1:6" x14ac:dyDescent="0.3">
      <c r="A569" s="3" t="s">
        <v>7</v>
      </c>
      <c r="B569" s="7" t="str">
        <f>VLOOKUP(VALUE(A569), 'DICIONÁRIO UF'!$A:$B, 2, FALSE)</f>
        <v>Roraima</v>
      </c>
      <c r="C569" s="3">
        <v>53002</v>
      </c>
      <c r="D569" s="5" t="str">
        <f>VLOOKUP(C569, 'DICIONÁRIO CNAES'!$A:$B, 2, FALSE)</f>
        <v>Atividades de malote e de entrega</v>
      </c>
      <c r="E569" s="4">
        <v>348.97826279999998</v>
      </c>
      <c r="F569" s="4">
        <v>407778.281602</v>
      </c>
    </row>
    <row r="570" spans="1:6" x14ac:dyDescent="0.3">
      <c r="A570" s="3" t="s">
        <v>7</v>
      </c>
      <c r="B570" s="7" t="str">
        <f>VLOOKUP(VALUE(A570), 'DICIONÁRIO UF'!$A:$B, 2, FALSE)</f>
        <v>Roraima</v>
      </c>
      <c r="C570" s="3">
        <v>55000</v>
      </c>
      <c r="D570" s="5" t="str">
        <f>VLOOKUP(C570, 'DICIONÁRIO CNAES'!$A:$B, 2, FALSE)</f>
        <v>Alojamento</v>
      </c>
      <c r="E570" s="4">
        <v>735.97562484000002</v>
      </c>
      <c r="F570" s="4">
        <v>1185930.5316310001</v>
      </c>
    </row>
    <row r="571" spans="1:6" x14ac:dyDescent="0.3">
      <c r="A571" s="3" t="s">
        <v>7</v>
      </c>
      <c r="B571" s="7" t="str">
        <f>VLOOKUP(VALUE(A571), 'DICIONÁRIO UF'!$A:$B, 2, FALSE)</f>
        <v>Roraima</v>
      </c>
      <c r="C571" s="3">
        <v>56011</v>
      </c>
      <c r="D571" s="5" t="str">
        <f>VLOOKUP(C571, 'DICIONÁRIO CNAES'!$A:$B, 2, FALSE)</f>
        <v>Restaurantes e outros estabelecimentos de serviços de alimentação e bebidas</v>
      </c>
      <c r="E571" s="4">
        <v>8549.7070055000004</v>
      </c>
      <c r="F571" s="4">
        <v>11304785.449989101</v>
      </c>
    </row>
    <row r="572" spans="1:6" x14ac:dyDescent="0.3">
      <c r="A572" s="3" t="s">
        <v>7</v>
      </c>
      <c r="B572" s="7" t="str">
        <f>VLOOKUP(VALUE(A572), 'DICIONÁRIO UF'!$A:$B, 2, FALSE)</f>
        <v>Roraima</v>
      </c>
      <c r="C572" s="3">
        <v>56012</v>
      </c>
      <c r="D572" s="5" t="str">
        <f>VLOOKUP(C572, 'DICIONÁRIO CNAES'!$A:$B, 2, FALSE)</f>
        <v>Serviços de catering, bufê e outros serviços de comida preparada</v>
      </c>
      <c r="E572" s="4">
        <v>809.88967595999998</v>
      </c>
      <c r="F572" s="4">
        <v>2009444.3344350001</v>
      </c>
    </row>
    <row r="573" spans="1:6" x14ac:dyDescent="0.3">
      <c r="A573" s="3" t="s">
        <v>7</v>
      </c>
      <c r="B573" s="7" t="str">
        <f>VLOOKUP(VALUE(A573), 'DICIONÁRIO UF'!$A:$B, 2, FALSE)</f>
        <v>Roraima</v>
      </c>
      <c r="C573" s="3">
        <v>56020</v>
      </c>
      <c r="D573" s="5" t="str">
        <f>VLOOKUP(C573, 'DICIONÁRIO CNAES'!$A:$B, 2, FALSE)</f>
        <v>Serviços ambulantes de alimentação</v>
      </c>
      <c r="E573" s="4">
        <v>1817.0861523799999</v>
      </c>
      <c r="F573" s="4">
        <v>1573379.223983</v>
      </c>
    </row>
    <row r="574" spans="1:6" x14ac:dyDescent="0.3">
      <c r="A574" s="3" t="s">
        <v>7</v>
      </c>
      <c r="B574" s="7" t="str">
        <f>VLOOKUP(VALUE(A574), 'DICIONÁRIO UF'!$A:$B, 2, FALSE)</f>
        <v>Roraima</v>
      </c>
      <c r="C574" s="3">
        <v>58000</v>
      </c>
      <c r="D574" s="5" t="str">
        <f>VLOOKUP(C574, 'DICIONÁRIO CNAES'!$A:$B, 2, FALSE)</f>
        <v xml:space="preserve">Edição e Edição integrada à impressão </v>
      </c>
      <c r="E574" s="4">
        <v>128.58900492999999</v>
      </c>
      <c r="F574" s="4">
        <v>192883.50739499999</v>
      </c>
    </row>
    <row r="575" spans="1:6" x14ac:dyDescent="0.3">
      <c r="A575" s="3" t="s">
        <v>7</v>
      </c>
      <c r="B575" s="7" t="str">
        <f>VLOOKUP(VALUE(A575), 'DICIONÁRIO UF'!$A:$B, 2, FALSE)</f>
        <v>Roraima</v>
      </c>
      <c r="C575" s="3">
        <v>60001</v>
      </c>
      <c r="D575" s="5" t="str">
        <f>VLOOKUP(C575, 'DICIONÁRIO CNAES'!$A:$B, 2, FALSE)</f>
        <v>Atividades de rádio</v>
      </c>
      <c r="E575" s="4">
        <v>195.11081698999999</v>
      </c>
      <c r="F575" s="4">
        <v>541683.71046500001</v>
      </c>
    </row>
    <row r="576" spans="1:6" x14ac:dyDescent="0.3">
      <c r="A576" s="3" t="s">
        <v>7</v>
      </c>
      <c r="B576" s="7" t="str">
        <f>VLOOKUP(VALUE(A576), 'DICIONÁRIO UF'!$A:$B, 2, FALSE)</f>
        <v>Roraima</v>
      </c>
      <c r="C576" s="3">
        <v>61000</v>
      </c>
      <c r="D576" s="5" t="str">
        <f>VLOOKUP(C576, 'DICIONÁRIO CNAES'!$A:$B, 2, FALSE)</f>
        <v>Telecomunicações</v>
      </c>
      <c r="E576" s="4">
        <v>236.80237226</v>
      </c>
      <c r="F576" s="4">
        <v>522090.16886500001</v>
      </c>
    </row>
    <row r="577" spans="1:6" x14ac:dyDescent="0.3">
      <c r="A577" s="3" t="s">
        <v>7</v>
      </c>
      <c r="B577" s="7" t="str">
        <f>VLOOKUP(VALUE(A577), 'DICIONÁRIO UF'!$A:$B, 2, FALSE)</f>
        <v>Roraima</v>
      </c>
      <c r="C577" s="3">
        <v>62000</v>
      </c>
      <c r="D577" s="5" t="str">
        <f>VLOOKUP(C577, 'DICIONÁRIO CNAES'!$A:$B, 2, FALSE)</f>
        <v>Atividades dos serviços de tecnologia da informação</v>
      </c>
      <c r="E577" s="4">
        <v>704.64378691000002</v>
      </c>
      <c r="F577" s="4">
        <v>3005801.4936520001</v>
      </c>
    </row>
    <row r="578" spans="1:6" x14ac:dyDescent="0.3">
      <c r="A578" s="3" t="s">
        <v>7</v>
      </c>
      <c r="B578" s="7" t="str">
        <f>VLOOKUP(VALUE(A578), 'DICIONÁRIO UF'!$A:$B, 2, FALSE)</f>
        <v>Roraima</v>
      </c>
      <c r="C578" s="3">
        <v>64000</v>
      </c>
      <c r="D578" s="5" t="str">
        <f>VLOOKUP(C578, 'DICIONÁRIO CNAES'!$A:$B, 2, FALSE)</f>
        <v>Serviços financeiros</v>
      </c>
      <c r="E578" s="4">
        <v>1919.7425119500001</v>
      </c>
      <c r="F578" s="4">
        <v>5896028.084369</v>
      </c>
    </row>
    <row r="579" spans="1:6" x14ac:dyDescent="0.3">
      <c r="A579" s="3" t="s">
        <v>7</v>
      </c>
      <c r="B579" s="7" t="str">
        <f>VLOOKUP(VALUE(A579), 'DICIONÁRIO UF'!$A:$B, 2, FALSE)</f>
        <v>Roraima</v>
      </c>
      <c r="C579" s="3">
        <v>65000</v>
      </c>
      <c r="D579" s="5" t="str">
        <f>VLOOKUP(C579, 'DICIONÁRIO CNAES'!$A:$B, 2, FALSE)</f>
        <v>Seguros e previdência privada</v>
      </c>
      <c r="E579" s="4">
        <v>114.41607848</v>
      </c>
      <c r="F579" s="4">
        <v>228832.15695999999</v>
      </c>
    </row>
    <row r="580" spans="1:6" x14ac:dyDescent="0.3">
      <c r="A580" s="3" t="s">
        <v>7</v>
      </c>
      <c r="B580" s="7" t="str">
        <f>VLOOKUP(VALUE(A580), 'DICIONÁRIO UF'!$A:$B, 2, FALSE)</f>
        <v>Roraima</v>
      </c>
      <c r="C580" s="3">
        <v>66001</v>
      </c>
      <c r="D580" s="5" t="str">
        <f>VLOOKUP(C580, 'DICIONÁRIO CNAES'!$A:$B, 2, FALSE)</f>
        <v>Atividades auxiliares dos serviços financeiros</v>
      </c>
      <c r="E580" s="4">
        <v>107.15735056</v>
      </c>
      <c r="F580" s="4">
        <v>282425.70361999999</v>
      </c>
    </row>
    <row r="581" spans="1:6" x14ac:dyDescent="0.3">
      <c r="A581" s="3" t="s">
        <v>7</v>
      </c>
      <c r="B581" s="7" t="str">
        <f>VLOOKUP(VALUE(A581), 'DICIONÁRIO UF'!$A:$B, 2, FALSE)</f>
        <v>Roraima</v>
      </c>
      <c r="C581" s="3">
        <v>68000</v>
      </c>
      <c r="D581" s="5" t="str">
        <f>VLOOKUP(C581, 'DICIONÁRIO CNAES'!$A:$B, 2, FALSE)</f>
        <v>Atividades imobiliárias</v>
      </c>
      <c r="E581" s="4">
        <v>514.75852283000006</v>
      </c>
      <c r="F581" s="4">
        <v>1206088.1459580001</v>
      </c>
    </row>
    <row r="582" spans="1:6" x14ac:dyDescent="0.3">
      <c r="A582" s="3" t="s">
        <v>7</v>
      </c>
      <c r="B582" s="7" t="str">
        <f>VLOOKUP(VALUE(A582), 'DICIONÁRIO UF'!$A:$B, 2, FALSE)</f>
        <v>Roraima</v>
      </c>
      <c r="C582" s="3">
        <v>69000</v>
      </c>
      <c r="D582" s="5" t="str">
        <f>VLOOKUP(C582, 'DICIONÁRIO CNAES'!$A:$B, 2, FALSE)</f>
        <v xml:space="preserve">Atividades jurídicas, de contabilidade e de auditoria </v>
      </c>
      <c r="E582" s="4">
        <v>2548.8676207600001</v>
      </c>
      <c r="F582" s="4">
        <v>10778592.112055</v>
      </c>
    </row>
    <row r="583" spans="1:6" x14ac:dyDescent="0.3">
      <c r="A583" s="3" t="s">
        <v>7</v>
      </c>
      <c r="B583" s="7" t="str">
        <f>VLOOKUP(VALUE(A583), 'DICIONÁRIO UF'!$A:$B, 2, FALSE)</f>
        <v>Roraima</v>
      </c>
      <c r="C583" s="3">
        <v>70000</v>
      </c>
      <c r="D583" s="5" t="str">
        <f>VLOOKUP(C583, 'DICIONÁRIO CNAES'!$A:$B, 2, FALSE)</f>
        <v>Atividades de consultoria em gestão empresarial</v>
      </c>
      <c r="E583" s="4">
        <v>83.987994659999998</v>
      </c>
      <c r="F583" s="4">
        <v>503927.96795999998</v>
      </c>
    </row>
    <row r="584" spans="1:6" x14ac:dyDescent="0.3">
      <c r="A584" s="3" t="s">
        <v>7</v>
      </c>
      <c r="B584" s="7" t="str">
        <f>VLOOKUP(VALUE(A584), 'DICIONÁRIO UF'!$A:$B, 2, FALSE)</f>
        <v>Roraima</v>
      </c>
      <c r="C584" s="3">
        <v>71000</v>
      </c>
      <c r="D584" s="5" t="str">
        <f>VLOOKUP(C584, 'DICIONÁRIO CNAES'!$A:$B, 2, FALSE)</f>
        <v>Serviços de arquitetura e engenharia e atividades técnicas relacionadas; Testes e análises técnicas</v>
      </c>
      <c r="E584" s="4">
        <v>296.21671247</v>
      </c>
      <c r="F584" s="4">
        <v>1432313.37154</v>
      </c>
    </row>
    <row r="585" spans="1:6" x14ac:dyDescent="0.3">
      <c r="A585" s="3" t="s">
        <v>7</v>
      </c>
      <c r="B585" s="7" t="str">
        <f>VLOOKUP(VALUE(A585), 'DICIONÁRIO UF'!$A:$B, 2, FALSE)</f>
        <v>Roraima</v>
      </c>
      <c r="C585" s="3">
        <v>72000</v>
      </c>
      <c r="D585" s="5" t="str">
        <f>VLOOKUP(C585, 'DICIONÁRIO CNAES'!$A:$B, 2, FALSE)</f>
        <v>Pesquisa e desenvolvimento científico</v>
      </c>
      <c r="E585" s="4">
        <v>154.97502695</v>
      </c>
      <c r="F585" s="4">
        <v>1115200.5620500001</v>
      </c>
    </row>
    <row r="586" spans="1:6" x14ac:dyDescent="0.3">
      <c r="A586" s="3" t="s">
        <v>7</v>
      </c>
      <c r="B586" s="7" t="str">
        <f>VLOOKUP(VALUE(A586), 'DICIONÁRIO UF'!$A:$B, 2, FALSE)</f>
        <v>Roraima</v>
      </c>
      <c r="C586" s="3">
        <v>73010</v>
      </c>
      <c r="D586" s="5" t="str">
        <f>VLOOKUP(C586, 'DICIONÁRIO CNAES'!$A:$B, 2, FALSE)</f>
        <v>Publicidade</v>
      </c>
      <c r="E586" s="4">
        <v>375.24017814000001</v>
      </c>
      <c r="F586" s="4">
        <v>583068.56094999996</v>
      </c>
    </row>
    <row r="587" spans="1:6" x14ac:dyDescent="0.3">
      <c r="A587" s="3" t="s">
        <v>7</v>
      </c>
      <c r="B587" s="7" t="str">
        <f>VLOOKUP(VALUE(A587), 'DICIONÁRIO UF'!$A:$B, 2, FALSE)</f>
        <v>Roraima</v>
      </c>
      <c r="C587" s="3">
        <v>74000</v>
      </c>
      <c r="D587" s="5" t="str">
        <f>VLOOKUP(C587, 'DICIONÁRIO CNAES'!$A:$B, 2, FALSE)</f>
        <v>Outras atividades profissionais, científicas e técnicas não especificadas anteriormente</v>
      </c>
      <c r="E587" s="4">
        <v>359.46626216999999</v>
      </c>
      <c r="F587" s="4">
        <v>1823085.512172</v>
      </c>
    </row>
    <row r="588" spans="1:6" x14ac:dyDescent="0.3">
      <c r="A588" s="3" t="s">
        <v>7</v>
      </c>
      <c r="B588" s="7" t="str">
        <f>VLOOKUP(VALUE(A588), 'DICIONÁRIO UF'!$A:$B, 2, FALSE)</f>
        <v>Roraima</v>
      </c>
      <c r="C588" s="3">
        <v>75000</v>
      </c>
      <c r="D588" s="5" t="str">
        <f>VLOOKUP(C588, 'DICIONÁRIO CNAES'!$A:$B, 2, FALSE)</f>
        <v>Atividades veterinárias</v>
      </c>
      <c r="E588" s="4">
        <v>693.18647074</v>
      </c>
      <c r="F588" s="4">
        <v>3775511.3804950002</v>
      </c>
    </row>
    <row r="589" spans="1:6" x14ac:dyDescent="0.3">
      <c r="A589" s="3" t="s">
        <v>7</v>
      </c>
      <c r="B589" s="7" t="str">
        <f>VLOOKUP(VALUE(A589), 'DICIONÁRIO UF'!$A:$B, 2, FALSE)</f>
        <v>Roraima</v>
      </c>
      <c r="C589" s="3">
        <v>77020</v>
      </c>
      <c r="D589" s="5" t="str">
        <f>VLOOKUP(C589, 'DICIONÁRIO CNAES'!$A:$B, 2, FALSE)</f>
        <v>Aluguel de meios de transportes, maquinas e equipamentos sem operador e gestão de ativos intangíveis não financeiros</v>
      </c>
      <c r="E589" s="4">
        <v>213.10721548000001</v>
      </c>
      <c r="F589" s="4">
        <v>628785.16927399999</v>
      </c>
    </row>
    <row r="590" spans="1:6" x14ac:dyDescent="0.3">
      <c r="A590" s="3" t="s">
        <v>7</v>
      </c>
      <c r="B590" s="7" t="str">
        <f>VLOOKUP(VALUE(A590), 'DICIONÁRIO UF'!$A:$B, 2, FALSE)</f>
        <v>Roraima</v>
      </c>
      <c r="C590" s="3">
        <v>78000</v>
      </c>
      <c r="D590" s="5" t="str">
        <f>VLOOKUP(C590, 'DICIONÁRIO CNAES'!$A:$B, 2, FALSE)</f>
        <v>Seleção, agenciamento e locação de mão-de-obra</v>
      </c>
      <c r="E590" s="4">
        <v>1050.87402069</v>
      </c>
      <c r="F590" s="4">
        <v>1407523.1359319999</v>
      </c>
    </row>
    <row r="591" spans="1:6" x14ac:dyDescent="0.3">
      <c r="A591" s="3" t="s">
        <v>7</v>
      </c>
      <c r="B591" s="7" t="str">
        <f>VLOOKUP(VALUE(A591), 'DICIONÁRIO UF'!$A:$B, 2, FALSE)</f>
        <v>Roraima</v>
      </c>
      <c r="C591" s="3">
        <v>79000</v>
      </c>
      <c r="D591" s="5" t="str">
        <f>VLOOKUP(C591, 'DICIONÁRIO CNAES'!$A:$B, 2, FALSE)</f>
        <v>Agências de viagens, operadores turísticos e serviços de reservas</v>
      </c>
      <c r="E591" s="4">
        <v>83.788202670000004</v>
      </c>
      <c r="F591" s="4">
        <v>92167.022937000002</v>
      </c>
    </row>
    <row r="592" spans="1:6" x14ac:dyDescent="0.3">
      <c r="A592" s="3" t="s">
        <v>7</v>
      </c>
      <c r="B592" s="7" t="str">
        <f>VLOOKUP(VALUE(A592), 'DICIONÁRIO UF'!$A:$B, 2, FALSE)</f>
        <v>Roraima</v>
      </c>
      <c r="C592" s="3">
        <v>80000</v>
      </c>
      <c r="D592" s="5" t="str">
        <f>VLOOKUP(C592, 'DICIONÁRIO CNAES'!$A:$B, 2, FALSE)</f>
        <v>Atividades de vigilância, segurança, transporte de valores e investigação</v>
      </c>
      <c r="E592" s="4">
        <v>2090.2130198700002</v>
      </c>
      <c r="F592" s="4">
        <v>3261970.7493039998</v>
      </c>
    </row>
    <row r="593" spans="1:6" x14ac:dyDescent="0.3">
      <c r="A593" s="3" t="s">
        <v>7</v>
      </c>
      <c r="B593" s="7" t="str">
        <f>VLOOKUP(VALUE(A593), 'DICIONÁRIO UF'!$A:$B, 2, FALSE)</f>
        <v>Roraima</v>
      </c>
      <c r="C593" s="3">
        <v>81011</v>
      </c>
      <c r="D593" s="5" t="str">
        <f>VLOOKUP(C593, 'DICIONÁRIO CNAES'!$A:$B, 2, FALSE)</f>
        <v>Serviços de limpeza e de apoio a edifícios, exceto condomínios prediais</v>
      </c>
      <c r="E593" s="4">
        <v>3817.0324657299998</v>
      </c>
      <c r="F593" s="4">
        <v>4493937.5817730986</v>
      </c>
    </row>
    <row r="594" spans="1:6" x14ac:dyDescent="0.3">
      <c r="A594" s="3" t="s">
        <v>7</v>
      </c>
      <c r="B594" s="7" t="str">
        <f>VLOOKUP(VALUE(A594), 'DICIONÁRIO UF'!$A:$B, 2, FALSE)</f>
        <v>Roraima</v>
      </c>
      <c r="C594" s="3">
        <v>81012</v>
      </c>
      <c r="D594" s="5" t="str">
        <f>VLOOKUP(C594, 'DICIONÁRIO CNAES'!$A:$B, 2, FALSE)</f>
        <v>Condomínios prediais</v>
      </c>
      <c r="E594" s="4">
        <v>80.611570479999997</v>
      </c>
      <c r="F594" s="4">
        <v>96733.884575999997</v>
      </c>
    </row>
    <row r="595" spans="1:6" x14ac:dyDescent="0.3">
      <c r="A595" s="3" t="s">
        <v>7</v>
      </c>
      <c r="B595" s="7" t="str">
        <f>VLOOKUP(VALUE(A595), 'DICIONÁRIO UF'!$A:$B, 2, FALSE)</f>
        <v>Roraima</v>
      </c>
      <c r="C595" s="3">
        <v>81020</v>
      </c>
      <c r="D595" s="5" t="str">
        <f>VLOOKUP(C595, 'DICIONÁRIO CNAES'!$A:$B, 2, FALSE)</f>
        <v>Atividades paisagísticas</v>
      </c>
      <c r="E595" s="4">
        <v>73.445407189999997</v>
      </c>
      <c r="F595" s="4">
        <v>22033.622157000002</v>
      </c>
    </row>
    <row r="596" spans="1:6" x14ac:dyDescent="0.3">
      <c r="A596" s="3" t="s">
        <v>7</v>
      </c>
      <c r="B596" s="7" t="str">
        <f>VLOOKUP(VALUE(A596), 'DICIONÁRIO UF'!$A:$B, 2, FALSE)</f>
        <v>Roraima</v>
      </c>
      <c r="C596" s="3">
        <v>82001</v>
      </c>
      <c r="D596" s="5" t="str">
        <f>VLOOKUP(C596, 'DICIONÁRIO CNAES'!$A:$B, 2, FALSE)</f>
        <v>Serviços de escritório e apoio administrativo</v>
      </c>
      <c r="E596" s="4">
        <v>451.24756947999998</v>
      </c>
      <c r="F596" s="4">
        <v>735801.55628959998</v>
      </c>
    </row>
    <row r="597" spans="1:6" x14ac:dyDescent="0.3">
      <c r="A597" s="3" t="s">
        <v>7</v>
      </c>
      <c r="B597" s="7" t="str">
        <f>VLOOKUP(VALUE(A597), 'DICIONÁRIO UF'!$A:$B, 2, FALSE)</f>
        <v>Roraima</v>
      </c>
      <c r="C597" s="3">
        <v>82002</v>
      </c>
      <c r="D597" s="5" t="str">
        <f>VLOOKUP(C597, 'DICIONÁRIO CNAES'!$A:$B, 2, FALSE)</f>
        <v>Atividades de teleatendimento</v>
      </c>
      <c r="E597" s="4">
        <v>327.63174428000002</v>
      </c>
      <c r="F597" s="4">
        <v>641379.96411399997</v>
      </c>
    </row>
    <row r="598" spans="1:6" x14ac:dyDescent="0.3">
      <c r="A598" s="3" t="s">
        <v>7</v>
      </c>
      <c r="B598" s="7" t="str">
        <f>VLOOKUP(VALUE(A598), 'DICIONÁRIO UF'!$A:$B, 2, FALSE)</f>
        <v>Roraima</v>
      </c>
      <c r="C598" s="3">
        <v>82003</v>
      </c>
      <c r="D598" s="5" t="str">
        <f>VLOOKUP(C598, 'DICIONÁRIO CNAES'!$A:$B, 2, FALSE)</f>
        <v>Atividades de organização de eventos, exceto culturais e esportivos</v>
      </c>
      <c r="E598" s="4">
        <v>93.879840979999997</v>
      </c>
      <c r="F598" s="4">
        <v>375519.36391999997</v>
      </c>
    </row>
    <row r="599" spans="1:6" x14ac:dyDescent="0.3">
      <c r="A599" s="3" t="s">
        <v>7</v>
      </c>
      <c r="B599" s="7" t="str">
        <f>VLOOKUP(VALUE(A599), 'DICIONÁRIO UF'!$A:$B, 2, FALSE)</f>
        <v>Roraima</v>
      </c>
      <c r="C599" s="3">
        <v>82009</v>
      </c>
      <c r="D599" s="5" t="str">
        <f>VLOOKUP(C599, 'DICIONÁRIO CNAES'!$A:$B, 2, FALSE)</f>
        <v>Outras atividades de serviços prestados principalmente às empresas</v>
      </c>
      <c r="E599" s="4">
        <v>860.33758380999996</v>
      </c>
      <c r="F599" s="4">
        <v>2175467.7956249998</v>
      </c>
    </row>
    <row r="600" spans="1:6" x14ac:dyDescent="0.3">
      <c r="A600" s="3" t="s">
        <v>7</v>
      </c>
      <c r="B600" s="7" t="str">
        <f>VLOOKUP(VALUE(A600), 'DICIONÁRIO UF'!$A:$B, 2, FALSE)</f>
        <v>Roraima</v>
      </c>
      <c r="C600" s="3">
        <v>84011</v>
      </c>
      <c r="D600" s="5" t="str">
        <f>VLOOKUP(C600, 'DICIONÁRIO CNAES'!$A:$B, 2, FALSE)</f>
        <v>Administração publica e regulação da política econômica e social - Federal</v>
      </c>
      <c r="E600" s="4">
        <v>1590.3763018300001</v>
      </c>
      <c r="F600" s="4">
        <v>8466681.9646701999</v>
      </c>
    </row>
    <row r="601" spans="1:6" x14ac:dyDescent="0.3">
      <c r="A601" s="3" t="s">
        <v>7</v>
      </c>
      <c r="B601" s="7" t="str">
        <f>VLOOKUP(VALUE(A601), 'DICIONÁRIO UF'!$A:$B, 2, FALSE)</f>
        <v>Roraima</v>
      </c>
      <c r="C601" s="3">
        <v>84012</v>
      </c>
      <c r="D601" s="5" t="str">
        <f>VLOOKUP(C601, 'DICIONÁRIO CNAES'!$A:$B, 2, FALSE)</f>
        <v>Administração publica e regulação da política econômica e social - Estadual</v>
      </c>
      <c r="E601" s="4">
        <v>8818.2520044400007</v>
      </c>
      <c r="F601" s="4">
        <v>38804759.769000858</v>
      </c>
    </row>
    <row r="602" spans="1:6" x14ac:dyDescent="0.3">
      <c r="A602" s="3" t="s">
        <v>7</v>
      </c>
      <c r="B602" s="7" t="str">
        <f>VLOOKUP(VALUE(A602), 'DICIONÁRIO UF'!$A:$B, 2, FALSE)</f>
        <v>Roraima</v>
      </c>
      <c r="C602" s="3">
        <v>84013</v>
      </c>
      <c r="D602" s="5" t="str">
        <f>VLOOKUP(C602, 'DICIONÁRIO CNAES'!$A:$B, 2, FALSE)</f>
        <v>Administração publica e regulação da política econômica e social - Municipal</v>
      </c>
      <c r="E602" s="4">
        <v>8682.2049753600004</v>
      </c>
      <c r="F602" s="4">
        <v>23702623.694247819</v>
      </c>
    </row>
    <row r="603" spans="1:6" x14ac:dyDescent="0.3">
      <c r="A603" s="3" t="s">
        <v>7</v>
      </c>
      <c r="B603" s="7" t="str">
        <f>VLOOKUP(VALUE(A603), 'DICIONÁRIO UF'!$A:$B, 2, FALSE)</f>
        <v>Roraima</v>
      </c>
      <c r="C603" s="3">
        <v>84014</v>
      </c>
      <c r="D603" s="5" t="str">
        <f>VLOOKUP(C603, 'DICIONÁRIO CNAES'!$A:$B, 2, FALSE)</f>
        <v>Defesa</v>
      </c>
      <c r="E603" s="4">
        <v>4315.0820127699999</v>
      </c>
      <c r="F603" s="4">
        <v>17580281.51743</v>
      </c>
    </row>
    <row r="604" spans="1:6" x14ac:dyDescent="0.3">
      <c r="A604" s="3" t="s">
        <v>7</v>
      </c>
      <c r="B604" s="7" t="str">
        <f>VLOOKUP(VALUE(A604), 'DICIONÁRIO UF'!$A:$B, 2, FALSE)</f>
        <v>Roraima</v>
      </c>
      <c r="C604" s="3">
        <v>84015</v>
      </c>
      <c r="D604" s="5" t="str">
        <f>VLOOKUP(C604, 'DICIONÁRIO CNAES'!$A:$B, 2, FALSE)</f>
        <v>Outros serviços coletivos prestados pela administração pública - Federal</v>
      </c>
      <c r="E604" s="4">
        <v>852.65833114999998</v>
      </c>
      <c r="F604" s="4">
        <v>11085015.24839</v>
      </c>
    </row>
    <row r="605" spans="1:6" x14ac:dyDescent="0.3">
      <c r="A605" s="3" t="s">
        <v>7</v>
      </c>
      <c r="B605" s="7" t="str">
        <f>VLOOKUP(VALUE(A605), 'DICIONÁRIO UF'!$A:$B, 2, FALSE)</f>
        <v>Roraima</v>
      </c>
      <c r="C605" s="3">
        <v>84016</v>
      </c>
      <c r="D605" s="5" t="str">
        <f>VLOOKUP(C605, 'DICIONÁRIO CNAES'!$A:$B, 2, FALSE)</f>
        <v>Outros serviços coletivos prestados pela administração pública - Estadual</v>
      </c>
      <c r="E605" s="4">
        <v>8016.7491943200002</v>
      </c>
      <c r="F605" s="4">
        <v>52323721.639014997</v>
      </c>
    </row>
    <row r="606" spans="1:6" x14ac:dyDescent="0.3">
      <c r="A606" s="3" t="s">
        <v>7</v>
      </c>
      <c r="B606" s="7" t="str">
        <f>VLOOKUP(VALUE(A606), 'DICIONÁRIO UF'!$A:$B, 2, FALSE)</f>
        <v>Roraima</v>
      </c>
      <c r="C606" s="3">
        <v>84017</v>
      </c>
      <c r="D606" s="5" t="str">
        <f>VLOOKUP(C606, 'DICIONÁRIO CNAES'!$A:$B, 2, FALSE)</f>
        <v>Outros serviços coletivos prestados pela administração pública - Municipal</v>
      </c>
      <c r="E606" s="4">
        <v>671.13149885999997</v>
      </c>
      <c r="F606" s="4">
        <v>2013568.115311</v>
      </c>
    </row>
    <row r="607" spans="1:6" x14ac:dyDescent="0.3">
      <c r="A607" s="3" t="s">
        <v>7</v>
      </c>
      <c r="B607" s="7" t="str">
        <f>VLOOKUP(VALUE(A607), 'DICIONÁRIO UF'!$A:$B, 2, FALSE)</f>
        <v>Roraima</v>
      </c>
      <c r="C607" s="3">
        <v>84020</v>
      </c>
      <c r="D607" s="5" t="str">
        <f>VLOOKUP(C607, 'DICIONÁRIO CNAES'!$A:$B, 2, FALSE)</f>
        <v>Seguridade social obrigatória</v>
      </c>
      <c r="E607" s="4">
        <v>204.55103015</v>
      </c>
      <c r="F607" s="4">
        <v>518587.11800920003</v>
      </c>
    </row>
    <row r="608" spans="1:6" x14ac:dyDescent="0.3">
      <c r="A608" s="3" t="s">
        <v>7</v>
      </c>
      <c r="B608" s="7" t="str">
        <f>VLOOKUP(VALUE(A608), 'DICIONÁRIO UF'!$A:$B, 2, FALSE)</f>
        <v>Roraima</v>
      </c>
      <c r="C608" s="3">
        <v>85011</v>
      </c>
      <c r="D608" s="5" t="str">
        <f>VLOOKUP(C608, 'DICIONÁRIO CNAES'!$A:$B, 2, FALSE)</f>
        <v>Creche</v>
      </c>
      <c r="E608" s="4">
        <v>958.56163856000001</v>
      </c>
      <c r="F608" s="4">
        <v>5348677.5137136001</v>
      </c>
    </row>
    <row r="609" spans="1:6" x14ac:dyDescent="0.3">
      <c r="A609" s="3" t="s">
        <v>7</v>
      </c>
      <c r="B609" s="7" t="str">
        <f>VLOOKUP(VALUE(A609), 'DICIONÁRIO UF'!$A:$B, 2, FALSE)</f>
        <v>Roraima</v>
      </c>
      <c r="C609" s="3">
        <v>85012</v>
      </c>
      <c r="D609" s="5" t="str">
        <f>VLOOKUP(C609, 'DICIONÁRIO CNAES'!$A:$B, 2, FALSE)</f>
        <v>Pré-escola e ensino fundamental</v>
      </c>
      <c r="E609" s="4">
        <v>8548.27720391</v>
      </c>
      <c r="F609" s="4">
        <v>23242491.723375171</v>
      </c>
    </row>
    <row r="610" spans="1:6" x14ac:dyDescent="0.3">
      <c r="A610" s="3" t="s">
        <v>7</v>
      </c>
      <c r="B610" s="7" t="str">
        <f>VLOOKUP(VALUE(A610), 'DICIONÁRIO UF'!$A:$B, 2, FALSE)</f>
        <v>Roraima</v>
      </c>
      <c r="C610" s="3">
        <v>85013</v>
      </c>
      <c r="D610" s="5" t="str">
        <f>VLOOKUP(C610, 'DICIONÁRIO CNAES'!$A:$B, 2, FALSE)</f>
        <v>Ensino médio</v>
      </c>
      <c r="E610" s="4">
        <v>3997.7386422200002</v>
      </c>
      <c r="F610" s="4">
        <v>15151232.464831</v>
      </c>
    </row>
    <row r="611" spans="1:6" x14ac:dyDescent="0.3">
      <c r="A611" s="3" t="s">
        <v>7</v>
      </c>
      <c r="B611" s="7" t="str">
        <f>VLOOKUP(VALUE(A611), 'DICIONÁRIO UF'!$A:$B, 2, FALSE)</f>
        <v>Roraima</v>
      </c>
      <c r="C611" s="3">
        <v>85014</v>
      </c>
      <c r="D611" s="5" t="str">
        <f>VLOOKUP(C611, 'DICIONÁRIO CNAES'!$A:$B, 2, FALSE)</f>
        <v>Educação superior</v>
      </c>
      <c r="E611" s="4">
        <v>3342.76183287</v>
      </c>
      <c r="F611" s="4">
        <v>16360318.637211001</v>
      </c>
    </row>
    <row r="612" spans="1:6" x14ac:dyDescent="0.3">
      <c r="A612" s="3" t="s">
        <v>7</v>
      </c>
      <c r="B612" s="7" t="str">
        <f>VLOOKUP(VALUE(A612), 'DICIONÁRIO UF'!$A:$B, 2, FALSE)</f>
        <v>Roraima</v>
      </c>
      <c r="C612" s="3">
        <v>85029</v>
      </c>
      <c r="D612" s="5" t="str">
        <f>VLOOKUP(C612, 'DICIONÁRIO CNAES'!$A:$B, 2, FALSE)</f>
        <v>Outras atividades de ensino</v>
      </c>
      <c r="E612" s="4">
        <v>1624.0303776000001</v>
      </c>
      <c r="F612" s="4">
        <v>2529646.7099700002</v>
      </c>
    </row>
    <row r="613" spans="1:6" x14ac:dyDescent="0.3">
      <c r="A613" s="3" t="s">
        <v>7</v>
      </c>
      <c r="B613" s="7" t="str">
        <f>VLOOKUP(VALUE(A613), 'DICIONÁRIO UF'!$A:$B, 2, FALSE)</f>
        <v>Roraima</v>
      </c>
      <c r="C613" s="3">
        <v>86001</v>
      </c>
      <c r="D613" s="5" t="str">
        <f>VLOOKUP(C613, 'DICIONÁRIO CNAES'!$A:$B, 2, FALSE)</f>
        <v>Atividades de atendimento hospitalar</v>
      </c>
      <c r="E613" s="4">
        <v>6474.2470727299997</v>
      </c>
      <c r="F613" s="4">
        <v>28225794.373689819</v>
      </c>
    </row>
    <row r="614" spans="1:6" x14ac:dyDescent="0.3">
      <c r="A614" s="3" t="s">
        <v>7</v>
      </c>
      <c r="B614" s="7" t="str">
        <f>VLOOKUP(VALUE(A614), 'DICIONÁRIO UF'!$A:$B, 2, FALSE)</f>
        <v>Roraima</v>
      </c>
      <c r="C614" s="3">
        <v>86002</v>
      </c>
      <c r="D614" s="5" t="str">
        <f>VLOOKUP(C614, 'DICIONÁRIO CNAES'!$A:$B, 2, FALSE)</f>
        <v>Atividades de atenção ambulatorial executadas por médicos e odontólogos</v>
      </c>
      <c r="E614" s="4">
        <v>4684.1346776500004</v>
      </c>
      <c r="F614" s="4">
        <v>19398860.539002001</v>
      </c>
    </row>
    <row r="615" spans="1:6" x14ac:dyDescent="0.3">
      <c r="A615" s="3" t="s">
        <v>7</v>
      </c>
      <c r="B615" s="7" t="str">
        <f>VLOOKUP(VALUE(A615), 'DICIONÁRIO UF'!$A:$B, 2, FALSE)</f>
        <v>Roraima</v>
      </c>
      <c r="C615" s="3">
        <v>86003</v>
      </c>
      <c r="D615" s="5" t="str">
        <f>VLOOKUP(C615, 'DICIONÁRIO CNAES'!$A:$B, 2, FALSE)</f>
        <v>Atividades de serviços de complementação diagnóstica e terapêutica</v>
      </c>
      <c r="E615" s="4">
        <v>387.37239684000002</v>
      </c>
      <c r="F615" s="4">
        <v>869516.93480272999</v>
      </c>
    </row>
    <row r="616" spans="1:6" x14ac:dyDescent="0.3">
      <c r="A616" s="3" t="s">
        <v>7</v>
      </c>
      <c r="B616" s="7" t="str">
        <f>VLOOKUP(VALUE(A616), 'DICIONÁRIO UF'!$A:$B, 2, FALSE)</f>
        <v>Roraima</v>
      </c>
      <c r="C616" s="3">
        <v>86004</v>
      </c>
      <c r="D616" s="5" t="str">
        <f>VLOOKUP(C616, 'DICIONÁRIO CNAES'!$A:$B, 2, FALSE)</f>
        <v>Atividades de profissionais da área de saúde, exceto médicos e odontólogos</v>
      </c>
      <c r="E616" s="4">
        <v>783.54452827</v>
      </c>
      <c r="F616" s="4">
        <v>879157.53404599999</v>
      </c>
    </row>
    <row r="617" spans="1:6" x14ac:dyDescent="0.3">
      <c r="A617" s="3" t="s">
        <v>7</v>
      </c>
      <c r="B617" s="7" t="str">
        <f>VLOOKUP(VALUE(A617), 'DICIONÁRIO UF'!$A:$B, 2, FALSE)</f>
        <v>Roraima</v>
      </c>
      <c r="C617" s="3">
        <v>86009</v>
      </c>
      <c r="D617" s="5" t="str">
        <f>VLOOKUP(C617, 'DICIONÁRIO CNAES'!$A:$B, 2, FALSE)</f>
        <v>Atividades de atenção à saúde humana não especificadas anteriormente</v>
      </c>
      <c r="E617" s="4">
        <v>60.668633450000002</v>
      </c>
      <c r="F617" s="4">
        <v>151671.583625</v>
      </c>
    </row>
    <row r="618" spans="1:6" x14ac:dyDescent="0.3">
      <c r="A618" s="3" t="s">
        <v>7</v>
      </c>
      <c r="B618" s="7" t="str">
        <f>VLOOKUP(VALUE(A618), 'DICIONÁRIO UF'!$A:$B, 2, FALSE)</f>
        <v>Roraima</v>
      </c>
      <c r="C618" s="3">
        <v>87000</v>
      </c>
      <c r="D618" s="5" t="str">
        <f>VLOOKUP(C618, 'DICIONÁRIO CNAES'!$A:$B, 2, FALSE)</f>
        <v>Atividades de assistência à saude humana integradas com assistencia social, inclusive prestadas em residencias</v>
      </c>
      <c r="E618" s="4">
        <v>647.96720949999997</v>
      </c>
      <c r="F618" s="4">
        <v>1205625.6544270001</v>
      </c>
    </row>
    <row r="619" spans="1:6" x14ac:dyDescent="0.3">
      <c r="A619" s="3" t="s">
        <v>7</v>
      </c>
      <c r="B619" s="7" t="str">
        <f>VLOOKUP(VALUE(A619), 'DICIONÁRIO UF'!$A:$B, 2, FALSE)</f>
        <v>Roraima</v>
      </c>
      <c r="C619" s="3">
        <v>88000</v>
      </c>
      <c r="D619" s="5" t="str">
        <f>VLOOKUP(C619, 'DICIONÁRIO CNAES'!$A:$B, 2, FALSE)</f>
        <v>Serviços de assistência social sem alojamento</v>
      </c>
      <c r="E619" s="4">
        <v>86.72642544</v>
      </c>
      <c r="F619" s="4">
        <v>260179.27632</v>
      </c>
    </row>
    <row r="620" spans="1:6" x14ac:dyDescent="0.3">
      <c r="A620" s="3" t="s">
        <v>7</v>
      </c>
      <c r="B620" s="7" t="str">
        <f>VLOOKUP(VALUE(A620), 'DICIONÁRIO UF'!$A:$B, 2, FALSE)</f>
        <v>Roraima</v>
      </c>
      <c r="C620" s="3">
        <v>90000</v>
      </c>
      <c r="D620" s="5" t="str">
        <f>VLOOKUP(C620, 'DICIONÁRIO CNAES'!$A:$B, 2, FALSE)</f>
        <v>Atividades artísticas, criativas e de espetáculos</v>
      </c>
      <c r="E620" s="4">
        <v>174.96893796000001</v>
      </c>
      <c r="F620" s="4">
        <v>98136.050969000004</v>
      </c>
    </row>
    <row r="621" spans="1:6" x14ac:dyDescent="0.3">
      <c r="A621" s="3" t="s">
        <v>7</v>
      </c>
      <c r="B621" s="7" t="str">
        <f>VLOOKUP(VALUE(A621), 'DICIONÁRIO UF'!$A:$B, 2, FALSE)</f>
        <v>Roraima</v>
      </c>
      <c r="C621" s="3">
        <v>93012</v>
      </c>
      <c r="D621" s="5" t="str">
        <f>VLOOKUP(C621, 'DICIONÁRIO CNAES'!$A:$B, 2, FALSE)</f>
        <v>Atividades de condicionamento físico</v>
      </c>
      <c r="E621" s="4">
        <v>833.32243053000002</v>
      </c>
      <c r="F621" s="4">
        <v>2168178.6261180001</v>
      </c>
    </row>
    <row r="622" spans="1:6" x14ac:dyDescent="0.3">
      <c r="A622" s="3" t="s">
        <v>7</v>
      </c>
      <c r="B622" s="7" t="str">
        <f>VLOOKUP(VALUE(A622), 'DICIONÁRIO UF'!$A:$B, 2, FALSE)</f>
        <v>Roraima</v>
      </c>
      <c r="C622" s="3">
        <v>94010</v>
      </c>
      <c r="D622" s="5" t="str">
        <f>VLOOKUP(C622, 'DICIONÁRIO CNAES'!$A:$B, 2, FALSE)</f>
        <v>Atividades de organizações associativas patronais, empresariais e profissionais</v>
      </c>
      <c r="E622" s="4">
        <v>84.285816479999994</v>
      </c>
      <c r="F622" s="4">
        <v>92714.398128000001</v>
      </c>
    </row>
    <row r="623" spans="1:6" x14ac:dyDescent="0.3">
      <c r="A623" s="3" t="s">
        <v>7</v>
      </c>
      <c r="B623" s="7" t="str">
        <f>VLOOKUP(VALUE(A623), 'DICIONÁRIO UF'!$A:$B, 2, FALSE)</f>
        <v>Roraima</v>
      </c>
      <c r="C623" s="3">
        <v>94020</v>
      </c>
      <c r="D623" s="5" t="str">
        <f>VLOOKUP(C623, 'DICIONÁRIO CNAES'!$A:$B, 2, FALSE)</f>
        <v>Atividades de organizações sindicais</v>
      </c>
      <c r="E623" s="4">
        <v>148.48023742000001</v>
      </c>
      <c r="F623" s="4">
        <v>163328.26116200001</v>
      </c>
    </row>
    <row r="624" spans="1:6" x14ac:dyDescent="0.3">
      <c r="A624" s="3" t="s">
        <v>7</v>
      </c>
      <c r="B624" s="7" t="str">
        <f>VLOOKUP(VALUE(A624), 'DICIONÁRIO UF'!$A:$B, 2, FALSE)</f>
        <v>Roraima</v>
      </c>
      <c r="C624" s="3">
        <v>94091</v>
      </c>
      <c r="D624" s="5" t="str">
        <f>VLOOKUP(C624, 'DICIONÁRIO CNAES'!$A:$B, 2, FALSE)</f>
        <v>Atividades de organizações religiosas e filosóficas</v>
      </c>
      <c r="E624" s="4">
        <v>272.28353000999999</v>
      </c>
      <c r="F624" s="4">
        <v>503629.03867600003</v>
      </c>
    </row>
    <row r="625" spans="1:6" x14ac:dyDescent="0.3">
      <c r="A625" s="3" t="s">
        <v>7</v>
      </c>
      <c r="B625" s="7" t="str">
        <f>VLOOKUP(VALUE(A625), 'DICIONÁRIO UF'!$A:$B, 2, FALSE)</f>
        <v>Roraima</v>
      </c>
      <c r="C625" s="3">
        <v>94099</v>
      </c>
      <c r="D625" s="5" t="str">
        <f>VLOOKUP(C625, 'DICIONÁRIO CNAES'!$A:$B, 2, FALSE)</f>
        <v xml:space="preserve">Outras atividades associativas não especificadas anteriormente </v>
      </c>
      <c r="E625" s="4">
        <v>217.09041402</v>
      </c>
      <c r="F625" s="4">
        <v>554303.963292</v>
      </c>
    </row>
    <row r="626" spans="1:6" x14ac:dyDescent="0.3">
      <c r="A626" s="3" t="s">
        <v>7</v>
      </c>
      <c r="B626" s="7" t="str">
        <f>VLOOKUP(VALUE(A626), 'DICIONÁRIO UF'!$A:$B, 2, FALSE)</f>
        <v>Roraima</v>
      </c>
      <c r="C626" s="3">
        <v>95010</v>
      </c>
      <c r="D626" s="5" t="str">
        <f>VLOOKUP(C626, 'DICIONÁRIO CNAES'!$A:$B, 2, FALSE)</f>
        <v>Reparação e manutenção de equipamentos de informática e comunicação</v>
      </c>
      <c r="E626" s="4">
        <v>269.52680427000001</v>
      </c>
      <c r="F626" s="4">
        <v>339169.62141800002</v>
      </c>
    </row>
    <row r="627" spans="1:6" x14ac:dyDescent="0.3">
      <c r="A627" s="3" t="s">
        <v>7</v>
      </c>
      <c r="B627" s="7" t="str">
        <f>VLOOKUP(VALUE(A627), 'DICIONÁRIO UF'!$A:$B, 2, FALSE)</f>
        <v>Roraima</v>
      </c>
      <c r="C627" s="3">
        <v>95030</v>
      </c>
      <c r="D627" s="5" t="str">
        <f>VLOOKUP(C627, 'DICIONÁRIO CNAES'!$A:$B, 2, FALSE)</f>
        <v>Reparação e manutenção de objetos e equipamentos pessoais e domésticos</v>
      </c>
      <c r="E627" s="4">
        <v>1331.33784034</v>
      </c>
      <c r="F627" s="4">
        <v>1755129.6134510001</v>
      </c>
    </row>
    <row r="628" spans="1:6" x14ac:dyDescent="0.3">
      <c r="A628" s="3" t="s">
        <v>7</v>
      </c>
      <c r="B628" s="7" t="str">
        <f>VLOOKUP(VALUE(A628), 'DICIONÁRIO UF'!$A:$B, 2, FALSE)</f>
        <v>Roraima</v>
      </c>
      <c r="C628" s="3">
        <v>96020</v>
      </c>
      <c r="D628" s="5" t="str">
        <f>VLOOKUP(C628, 'DICIONÁRIO CNAES'!$A:$B, 2, FALSE)</f>
        <v>Cabeleireiros e outras atividades de tratamento de beleza</v>
      </c>
      <c r="E628" s="4">
        <v>6557.2750013300001</v>
      </c>
      <c r="F628" s="4">
        <v>17728837.983720999</v>
      </c>
    </row>
    <row r="629" spans="1:6" x14ac:dyDescent="0.3">
      <c r="A629" s="3" t="s">
        <v>7</v>
      </c>
      <c r="B629" s="7" t="str">
        <f>VLOOKUP(VALUE(A629), 'DICIONÁRIO UF'!$A:$B, 2, FALSE)</f>
        <v>Roraima</v>
      </c>
      <c r="C629" s="3">
        <v>96090</v>
      </c>
      <c r="D629" s="5" t="str">
        <f>VLOOKUP(C629, 'DICIONÁRIO CNAES'!$A:$B, 2, FALSE)</f>
        <v>Outras atividades de serviços pessoais</v>
      </c>
      <c r="E629" s="4">
        <v>893.70983864000004</v>
      </c>
      <c r="F629" s="4">
        <v>1749836.1237039999</v>
      </c>
    </row>
    <row r="630" spans="1:6" x14ac:dyDescent="0.3">
      <c r="A630" s="3" t="s">
        <v>7</v>
      </c>
      <c r="B630" s="7" t="str">
        <f>VLOOKUP(VALUE(A630), 'DICIONÁRIO UF'!$A:$B, 2, FALSE)</f>
        <v>Roraima</v>
      </c>
      <c r="C630" s="3">
        <v>97000</v>
      </c>
      <c r="D630" s="5" t="str">
        <f>VLOOKUP(C630, 'DICIONÁRIO CNAES'!$A:$B, 2, FALSE)</f>
        <v>Serviços domésticos</v>
      </c>
      <c r="E630" s="4">
        <v>15165.943067210001</v>
      </c>
      <c r="F630" s="4">
        <v>14496692.35707883</v>
      </c>
    </row>
    <row r="631" spans="1:6" x14ac:dyDescent="0.3">
      <c r="A631" s="3" t="s">
        <v>7</v>
      </c>
      <c r="B631" s="7" t="str">
        <f>VLOOKUP(VALUE(A631), 'DICIONÁRIO UF'!$A:$B, 2, FALSE)</f>
        <v>Roraima</v>
      </c>
      <c r="C631" s="3">
        <v>99000</v>
      </c>
      <c r="D631" s="5" t="str">
        <f>VLOOKUP(C631, 'DICIONÁRIO CNAES'!$A:$B, 2, FALSE)</f>
        <v>Organismos internacionais e outras instituições extraterritoriais</v>
      </c>
      <c r="E631" s="4">
        <v>239.47319268000001</v>
      </c>
      <c r="F631" s="4">
        <v>2873678.3121600002</v>
      </c>
    </row>
    <row r="632" spans="1:6" x14ac:dyDescent="0.3">
      <c r="A632" s="3" t="s">
        <v>8</v>
      </c>
      <c r="B632" s="7" t="str">
        <f>VLOOKUP(VALUE(A632), 'DICIONÁRIO UF'!$A:$B, 2, FALSE)</f>
        <v>Pará</v>
      </c>
      <c r="C632" s="3">
        <v>0</v>
      </c>
      <c r="D632" s="5" t="str">
        <f>VLOOKUP(C632, 'DICIONÁRIO CNAES'!$A:$B, 2, FALSE)</f>
        <v xml:space="preserve">Atividades mal definidas </v>
      </c>
      <c r="E632" s="4">
        <v>300.99704163000001</v>
      </c>
      <c r="F632" s="4">
        <v>120398.81665199999</v>
      </c>
    </row>
    <row r="633" spans="1:6" x14ac:dyDescent="0.3">
      <c r="A633" s="3" t="s">
        <v>8</v>
      </c>
      <c r="B633" s="7" t="str">
        <f>VLOOKUP(VALUE(A633), 'DICIONÁRIO UF'!$A:$B, 2, FALSE)</f>
        <v>Pará</v>
      </c>
      <c r="C633" s="3">
        <v>1101</v>
      </c>
      <c r="D633" s="5" t="str">
        <f>VLOOKUP(C633, 'DICIONÁRIO CNAES'!$A:$B, 2, FALSE)</f>
        <v>Cultivo de arroz</v>
      </c>
      <c r="E633" s="4">
        <v>3753.2476252299998</v>
      </c>
      <c r="F633" s="4">
        <v>1541760.519325</v>
      </c>
    </row>
    <row r="634" spans="1:6" x14ac:dyDescent="0.3">
      <c r="A634" s="3" t="s">
        <v>8</v>
      </c>
      <c r="B634" s="7" t="str">
        <f>VLOOKUP(VALUE(A634), 'DICIONÁRIO UF'!$A:$B, 2, FALSE)</f>
        <v>Pará</v>
      </c>
      <c r="C634" s="3">
        <v>1102</v>
      </c>
      <c r="D634" s="5" t="str">
        <f>VLOOKUP(C634, 'DICIONÁRIO CNAES'!$A:$B, 2, FALSE)</f>
        <v>Cultivo de milho</v>
      </c>
      <c r="E634" s="4">
        <v>3076.9967355499998</v>
      </c>
      <c r="F634" s="4">
        <v>1569167.0157564001</v>
      </c>
    </row>
    <row r="635" spans="1:6" x14ac:dyDescent="0.3">
      <c r="A635" s="3" t="s">
        <v>8</v>
      </c>
      <c r="B635" s="7" t="str">
        <f>VLOOKUP(VALUE(A635), 'DICIONÁRIO UF'!$A:$B, 2, FALSE)</f>
        <v>Pará</v>
      </c>
      <c r="C635" s="3">
        <v>1105</v>
      </c>
      <c r="D635" s="5" t="str">
        <f>VLOOKUP(C635, 'DICIONÁRIO CNAES'!$A:$B, 2, FALSE)</f>
        <v>Cultivo de cana-de-açúcar</v>
      </c>
      <c r="E635" s="4">
        <v>687.57524489000002</v>
      </c>
      <c r="F635" s="4">
        <v>756332.76937900006</v>
      </c>
    </row>
    <row r="636" spans="1:6" x14ac:dyDescent="0.3">
      <c r="A636" s="3" t="s">
        <v>8</v>
      </c>
      <c r="B636" s="7" t="str">
        <f>VLOOKUP(VALUE(A636), 'DICIONÁRIO UF'!$A:$B, 2, FALSE)</f>
        <v>Pará</v>
      </c>
      <c r="C636" s="3">
        <v>1107</v>
      </c>
      <c r="D636" s="5" t="str">
        <f>VLOOKUP(C636, 'DICIONÁRIO CNAES'!$A:$B, 2, FALSE)</f>
        <v>Cultivo de soja</v>
      </c>
      <c r="E636" s="4">
        <v>6741.2984482800002</v>
      </c>
      <c r="F636" s="4">
        <v>13931999.339051001</v>
      </c>
    </row>
    <row r="637" spans="1:6" x14ac:dyDescent="0.3">
      <c r="A637" s="3" t="s">
        <v>8</v>
      </c>
      <c r="B637" s="7" t="str">
        <f>VLOOKUP(VALUE(A637), 'DICIONÁRIO UF'!$A:$B, 2, FALSE)</f>
        <v>Pará</v>
      </c>
      <c r="C637" s="3">
        <v>1108</v>
      </c>
      <c r="D637" s="5" t="str">
        <f>VLOOKUP(C637, 'DICIONÁRIO CNAES'!$A:$B, 2, FALSE)</f>
        <v>Cultivo de mandioca</v>
      </c>
      <c r="E637" s="4">
        <v>114243.98491992</v>
      </c>
      <c r="F637" s="4">
        <v>43395553.793534033</v>
      </c>
    </row>
    <row r="638" spans="1:6" x14ac:dyDescent="0.3">
      <c r="A638" s="3" t="s">
        <v>8</v>
      </c>
      <c r="B638" s="7" t="str">
        <f>VLOOKUP(VALUE(A638), 'DICIONÁRIO UF'!$A:$B, 2, FALSE)</f>
        <v>Pará</v>
      </c>
      <c r="C638" s="3">
        <v>1109</v>
      </c>
      <c r="D638" s="5" t="str">
        <f>VLOOKUP(C638, 'DICIONÁRIO CNAES'!$A:$B, 2, FALSE)</f>
        <v>Cultivo de outras lavouras temporárias não especificadas anteriormente</v>
      </c>
      <c r="E638" s="4">
        <v>12837.209321689999</v>
      </c>
      <c r="F638" s="4">
        <v>11399484.35210906</v>
      </c>
    </row>
    <row r="639" spans="1:6" x14ac:dyDescent="0.3">
      <c r="A639" s="3" t="s">
        <v>8</v>
      </c>
      <c r="B639" s="7" t="str">
        <f>VLOOKUP(VALUE(A639), 'DICIONÁRIO UF'!$A:$B, 2, FALSE)</f>
        <v>Pará</v>
      </c>
      <c r="C639" s="3">
        <v>1110</v>
      </c>
      <c r="D639" s="5" t="str">
        <f>VLOOKUP(C639, 'DICIONÁRIO CNAES'!$A:$B, 2, FALSE)</f>
        <v>Horticultura</v>
      </c>
      <c r="E639" s="4">
        <v>36276.443103630001</v>
      </c>
      <c r="F639" s="4">
        <v>23023554.591660399</v>
      </c>
    </row>
    <row r="640" spans="1:6" x14ac:dyDescent="0.3">
      <c r="A640" s="3" t="s">
        <v>8</v>
      </c>
      <c r="B640" s="7" t="str">
        <f>VLOOKUP(VALUE(A640), 'DICIONÁRIO UF'!$A:$B, 2, FALSE)</f>
        <v>Pará</v>
      </c>
      <c r="C640" s="3">
        <v>1112</v>
      </c>
      <c r="D640" s="5" t="str">
        <f>VLOOKUP(C640, 'DICIONÁRIO CNAES'!$A:$B, 2, FALSE)</f>
        <v>Cultivo de frutas cítricas</v>
      </c>
      <c r="E640" s="4">
        <v>2855.63009663</v>
      </c>
      <c r="F640" s="4">
        <v>2344390.2166030002</v>
      </c>
    </row>
    <row r="641" spans="1:6" x14ac:dyDescent="0.3">
      <c r="A641" s="3" t="s">
        <v>8</v>
      </c>
      <c r="B641" s="7" t="str">
        <f>VLOOKUP(VALUE(A641), 'DICIONÁRIO UF'!$A:$B, 2, FALSE)</f>
        <v>Pará</v>
      </c>
      <c r="C641" s="3">
        <v>1114</v>
      </c>
      <c r="D641" s="5" t="str">
        <f>VLOOKUP(C641, 'DICIONÁRIO CNAES'!$A:$B, 2, FALSE)</f>
        <v>Cultivo de cacau</v>
      </c>
      <c r="E641" s="4">
        <v>30658.059537460002</v>
      </c>
      <c r="F641" s="4">
        <v>39050048.005195051</v>
      </c>
    </row>
    <row r="642" spans="1:6" x14ac:dyDescent="0.3">
      <c r="A642" s="3" t="s">
        <v>8</v>
      </c>
      <c r="B642" s="7" t="str">
        <f>VLOOKUP(VALUE(A642), 'DICIONÁRIO UF'!$A:$B, 2, FALSE)</f>
        <v>Pará</v>
      </c>
      <c r="C642" s="3">
        <v>1116</v>
      </c>
      <c r="D642" s="5" t="str">
        <f>VLOOKUP(C642, 'DICIONÁRIO CNAES'!$A:$B, 2, FALSE)</f>
        <v>Cultivo de banana</v>
      </c>
      <c r="E642" s="4">
        <v>1887.7483142799999</v>
      </c>
      <c r="F642" s="4">
        <v>2933735.5486778002</v>
      </c>
    </row>
    <row r="643" spans="1:6" x14ac:dyDescent="0.3">
      <c r="A643" s="3" t="s">
        <v>8</v>
      </c>
      <c r="B643" s="7" t="str">
        <f>VLOOKUP(VALUE(A643), 'DICIONÁRIO UF'!$A:$B, 2, FALSE)</f>
        <v>Pará</v>
      </c>
      <c r="C643" s="3">
        <v>1117</v>
      </c>
      <c r="D643" s="5" t="str">
        <f>VLOOKUP(C643, 'DICIONÁRIO CNAES'!$A:$B, 2, FALSE)</f>
        <v>Cultivo de outras plantas e frutas de lavoura permanente não especificadas anteriormente</v>
      </c>
      <c r="E643" s="4">
        <v>93732.447014660007</v>
      </c>
      <c r="F643" s="4">
        <v>89019844.891619399</v>
      </c>
    </row>
    <row r="644" spans="1:6" x14ac:dyDescent="0.3">
      <c r="A644" s="3" t="s">
        <v>8</v>
      </c>
      <c r="B644" s="7" t="str">
        <f>VLOOKUP(VALUE(A644), 'DICIONÁRIO UF'!$A:$B, 2, FALSE)</f>
        <v>Pará</v>
      </c>
      <c r="C644" s="3">
        <v>1118</v>
      </c>
      <c r="D644" s="5" t="str">
        <f>VLOOKUP(C644, 'DICIONÁRIO CNAES'!$A:$B, 2, FALSE)</f>
        <v>Produção de sementes e mudas certificadas</v>
      </c>
      <c r="E644" s="4">
        <v>225.43944819000001</v>
      </c>
      <c r="F644" s="4">
        <v>112719.724095</v>
      </c>
    </row>
    <row r="645" spans="1:6" x14ac:dyDescent="0.3">
      <c r="A645" s="3" t="s">
        <v>8</v>
      </c>
      <c r="B645" s="7" t="str">
        <f>VLOOKUP(VALUE(A645), 'DICIONÁRIO UF'!$A:$B, 2, FALSE)</f>
        <v>Pará</v>
      </c>
      <c r="C645" s="3">
        <v>1119</v>
      </c>
      <c r="D645" s="5" t="str">
        <f>VLOOKUP(C645, 'DICIONÁRIO CNAES'!$A:$B, 2, FALSE)</f>
        <v>Lavoura não especificada</v>
      </c>
      <c r="E645" s="4">
        <v>5706.3199419299999</v>
      </c>
      <c r="F645" s="4">
        <v>3799416.2178620002</v>
      </c>
    </row>
    <row r="646" spans="1:6" x14ac:dyDescent="0.3">
      <c r="A646" s="3" t="s">
        <v>8</v>
      </c>
      <c r="B646" s="7" t="str">
        <f>VLOOKUP(VALUE(A646), 'DICIONÁRIO UF'!$A:$B, 2, FALSE)</f>
        <v>Pará</v>
      </c>
      <c r="C646" s="3">
        <v>1201</v>
      </c>
      <c r="D646" s="5" t="str">
        <f>VLOOKUP(C646, 'DICIONÁRIO CNAES'!$A:$B, 2, FALSE)</f>
        <v>Criação de bovinos</v>
      </c>
      <c r="E646" s="4">
        <v>146587.25597746999</v>
      </c>
      <c r="F646" s="4">
        <v>225216545.66716</v>
      </c>
    </row>
    <row r="647" spans="1:6" x14ac:dyDescent="0.3">
      <c r="A647" s="3" t="s">
        <v>8</v>
      </c>
      <c r="B647" s="7" t="str">
        <f>VLOOKUP(VALUE(A647), 'DICIONÁRIO UF'!$A:$B, 2, FALSE)</f>
        <v>Pará</v>
      </c>
      <c r="C647" s="3">
        <v>1202</v>
      </c>
      <c r="D647" s="5" t="str">
        <f>VLOOKUP(C647, 'DICIONÁRIO CNAES'!$A:$B, 2, FALSE)</f>
        <v>Criação de outros animais de grande porte não especificados anteriormente</v>
      </c>
      <c r="E647" s="4">
        <v>1192.7553418099999</v>
      </c>
      <c r="F647" s="4">
        <v>723446.18316299992</v>
      </c>
    </row>
    <row r="648" spans="1:6" x14ac:dyDescent="0.3">
      <c r="A648" s="3" t="s">
        <v>8</v>
      </c>
      <c r="B648" s="7" t="str">
        <f>VLOOKUP(VALUE(A648), 'DICIONÁRIO UF'!$A:$B, 2, FALSE)</f>
        <v>Pará</v>
      </c>
      <c r="C648" s="3">
        <v>1204</v>
      </c>
      <c r="D648" s="5" t="str">
        <f>VLOOKUP(C648, 'DICIONÁRIO CNAES'!$A:$B, 2, FALSE)</f>
        <v>Criação de suínos</v>
      </c>
      <c r="E648" s="4">
        <v>2448.5799321300001</v>
      </c>
      <c r="F648" s="4">
        <v>1105948.85374864</v>
      </c>
    </row>
    <row r="649" spans="1:6" x14ac:dyDescent="0.3">
      <c r="A649" s="3" t="s">
        <v>8</v>
      </c>
      <c r="B649" s="7" t="str">
        <f>VLOOKUP(VALUE(A649), 'DICIONÁRIO UF'!$A:$B, 2, FALSE)</f>
        <v>Pará</v>
      </c>
      <c r="C649" s="3">
        <v>1205</v>
      </c>
      <c r="D649" s="5" t="str">
        <f>VLOOKUP(C649, 'DICIONÁRIO CNAES'!$A:$B, 2, FALSE)</f>
        <v>Criação de aves</v>
      </c>
      <c r="E649" s="4">
        <v>8128.1858432500003</v>
      </c>
      <c r="F649" s="4">
        <v>10554650.827655001</v>
      </c>
    </row>
    <row r="650" spans="1:6" x14ac:dyDescent="0.3">
      <c r="A650" s="3" t="s">
        <v>8</v>
      </c>
      <c r="B650" s="7" t="str">
        <f>VLOOKUP(VALUE(A650), 'DICIONÁRIO UF'!$A:$B, 2, FALSE)</f>
        <v>Pará</v>
      </c>
      <c r="C650" s="3">
        <v>1206</v>
      </c>
      <c r="D650" s="5" t="str">
        <f>VLOOKUP(C650, 'DICIONÁRIO CNAES'!$A:$B, 2, FALSE)</f>
        <v>Apicultura</v>
      </c>
      <c r="E650" s="4">
        <v>563.76525498000001</v>
      </c>
      <c r="F650" s="4">
        <v>281882.62748999998</v>
      </c>
    </row>
    <row r="651" spans="1:6" x14ac:dyDescent="0.3">
      <c r="A651" s="3" t="s">
        <v>8</v>
      </c>
      <c r="B651" s="7" t="str">
        <f>VLOOKUP(VALUE(A651), 'DICIONÁRIO UF'!$A:$B, 2, FALSE)</f>
        <v>Pará</v>
      </c>
      <c r="C651" s="3">
        <v>1209</v>
      </c>
      <c r="D651" s="5" t="str">
        <f>VLOOKUP(C651, 'DICIONÁRIO CNAES'!$A:$B, 2, FALSE)</f>
        <v>Pecuária não especificada</v>
      </c>
      <c r="E651" s="4">
        <v>246.04085631999999</v>
      </c>
      <c r="F651" s="4">
        <v>86114.299711999993</v>
      </c>
    </row>
    <row r="652" spans="1:6" x14ac:dyDescent="0.3">
      <c r="A652" s="3" t="s">
        <v>8</v>
      </c>
      <c r="B652" s="7" t="str">
        <f>VLOOKUP(VALUE(A652), 'DICIONÁRIO UF'!$A:$B, 2, FALSE)</f>
        <v>Pará</v>
      </c>
      <c r="C652" s="3">
        <v>1401</v>
      </c>
      <c r="D652" s="5" t="str">
        <f>VLOOKUP(C652, 'DICIONÁRIO CNAES'!$A:$B, 2, FALSE)</f>
        <v>Atividades de apoio à agricultura e pós-colheita</v>
      </c>
      <c r="E652" s="4">
        <v>9127.8765574699992</v>
      </c>
      <c r="F652" s="4">
        <v>4621530.5998277999</v>
      </c>
    </row>
    <row r="653" spans="1:6" x14ac:dyDescent="0.3">
      <c r="A653" s="3" t="s">
        <v>8</v>
      </c>
      <c r="B653" s="7" t="str">
        <f>VLOOKUP(VALUE(A653), 'DICIONÁRIO UF'!$A:$B, 2, FALSE)</f>
        <v>Pará</v>
      </c>
      <c r="C653" s="3">
        <v>1402</v>
      </c>
      <c r="D653" s="5" t="str">
        <f>VLOOKUP(C653, 'DICIONÁRIO CNAES'!$A:$B, 2, FALSE)</f>
        <v xml:space="preserve">Atividades de apoio à pecuária </v>
      </c>
      <c r="E653" s="4">
        <v>15544.119989659999</v>
      </c>
      <c r="F653" s="4">
        <v>12422286.257510001</v>
      </c>
    </row>
    <row r="654" spans="1:6" x14ac:dyDescent="0.3">
      <c r="A654" s="3" t="s">
        <v>8</v>
      </c>
      <c r="B654" s="7" t="str">
        <f>VLOOKUP(VALUE(A654), 'DICIONÁRIO UF'!$A:$B, 2, FALSE)</f>
        <v>Pará</v>
      </c>
      <c r="C654" s="3">
        <v>1999</v>
      </c>
      <c r="D654" s="5" t="str">
        <f>VLOOKUP(C654, 'DICIONÁRIO CNAES'!$A:$B, 2, FALSE)</f>
        <v>Agropecuária</v>
      </c>
      <c r="E654" s="4">
        <v>348.88598825000003</v>
      </c>
      <c r="F654" s="4">
        <v>872214.97062500007</v>
      </c>
    </row>
    <row r="655" spans="1:6" x14ac:dyDescent="0.3">
      <c r="A655" s="3" t="s">
        <v>8</v>
      </c>
      <c r="B655" s="7" t="str">
        <f>VLOOKUP(VALUE(A655), 'DICIONÁRIO UF'!$A:$B, 2, FALSE)</f>
        <v>Pará</v>
      </c>
      <c r="C655" s="3">
        <v>2000</v>
      </c>
      <c r="D655" s="5" t="str">
        <f>VLOOKUP(C655, 'DICIONÁRIO CNAES'!$A:$B, 2, FALSE)</f>
        <v xml:space="preserve">Produção florestal </v>
      </c>
      <c r="E655" s="4">
        <v>88509.034327660003</v>
      </c>
      <c r="F655" s="4">
        <v>53942229.175057262</v>
      </c>
    </row>
    <row r="656" spans="1:6" x14ac:dyDescent="0.3">
      <c r="A656" s="3" t="s">
        <v>8</v>
      </c>
      <c r="B656" s="7" t="str">
        <f>VLOOKUP(VALUE(A656), 'DICIONÁRIO UF'!$A:$B, 2, FALSE)</f>
        <v>Pará</v>
      </c>
      <c r="C656" s="3">
        <v>3001</v>
      </c>
      <c r="D656" s="5" t="str">
        <f>VLOOKUP(C656, 'DICIONÁRIO CNAES'!$A:$B, 2, FALSE)</f>
        <v>Pesca</v>
      </c>
      <c r="E656" s="4">
        <v>89115.090231270005</v>
      </c>
      <c r="F656" s="4">
        <v>57178119.394900903</v>
      </c>
    </row>
    <row r="657" spans="1:6" x14ac:dyDescent="0.3">
      <c r="A657" s="3" t="s">
        <v>8</v>
      </c>
      <c r="B657" s="7" t="str">
        <f>VLOOKUP(VALUE(A657), 'DICIONÁRIO UF'!$A:$B, 2, FALSE)</f>
        <v>Pará</v>
      </c>
      <c r="C657" s="3">
        <v>3002</v>
      </c>
      <c r="D657" s="5" t="str">
        <f>VLOOKUP(C657, 'DICIONÁRIO CNAES'!$A:$B, 2, FALSE)</f>
        <v>Aqüicultura</v>
      </c>
      <c r="E657" s="4">
        <v>994.07951190000006</v>
      </c>
      <c r="F657" s="4">
        <v>49703.975595000004</v>
      </c>
    </row>
    <row r="658" spans="1:6" x14ac:dyDescent="0.3">
      <c r="A658" s="3" t="s">
        <v>8</v>
      </c>
      <c r="B658" s="7" t="str">
        <f>VLOOKUP(VALUE(A658), 'DICIONÁRIO UF'!$A:$B, 2, FALSE)</f>
        <v>Pará</v>
      </c>
      <c r="C658" s="3">
        <v>7001</v>
      </c>
      <c r="D658" s="5" t="str">
        <f>VLOOKUP(C658, 'DICIONÁRIO CNAES'!$A:$B, 2, FALSE)</f>
        <v>Extração de minérios de metais preciosos</v>
      </c>
      <c r="E658" s="4">
        <v>13905.020703370001</v>
      </c>
      <c r="F658" s="4">
        <v>33529612.912698999</v>
      </c>
    </row>
    <row r="659" spans="1:6" x14ac:dyDescent="0.3">
      <c r="A659" s="3" t="s">
        <v>8</v>
      </c>
      <c r="B659" s="7" t="str">
        <f>VLOOKUP(VALUE(A659), 'DICIONÁRIO UF'!$A:$B, 2, FALSE)</f>
        <v>Pará</v>
      </c>
      <c r="C659" s="3">
        <v>7002</v>
      </c>
      <c r="D659" s="5" t="str">
        <f>VLOOKUP(C659, 'DICIONÁRIO CNAES'!$A:$B, 2, FALSE)</f>
        <v xml:space="preserve">Extração de minerais metálicos não especificados anteriormente </v>
      </c>
      <c r="E659" s="4">
        <v>17629.805375780001</v>
      </c>
      <c r="F659" s="4">
        <v>52296991.885112517</v>
      </c>
    </row>
    <row r="660" spans="1:6" x14ac:dyDescent="0.3">
      <c r="A660" s="3" t="s">
        <v>8</v>
      </c>
      <c r="B660" s="7" t="str">
        <f>VLOOKUP(VALUE(A660), 'DICIONÁRIO UF'!$A:$B, 2, FALSE)</f>
        <v>Pará</v>
      </c>
      <c r="C660" s="3">
        <v>8001</v>
      </c>
      <c r="D660" s="5" t="str">
        <f>VLOOKUP(C660, 'DICIONÁRIO CNAES'!$A:$B, 2, FALSE)</f>
        <v>Extração de pedras, areia e argila</v>
      </c>
      <c r="E660" s="4">
        <v>3805.0705027600002</v>
      </c>
      <c r="F660" s="4">
        <v>15975320.86295685</v>
      </c>
    </row>
    <row r="661" spans="1:6" x14ac:dyDescent="0.3">
      <c r="A661" s="3" t="s">
        <v>8</v>
      </c>
      <c r="B661" s="7" t="str">
        <f>VLOOKUP(VALUE(A661), 'DICIONÁRIO UF'!$A:$B, 2, FALSE)</f>
        <v>Pará</v>
      </c>
      <c r="C661" s="3">
        <v>10010</v>
      </c>
      <c r="D661" s="5" t="str">
        <f>VLOOKUP(C661, 'DICIONÁRIO CNAES'!$A:$B, 2, FALSE)</f>
        <v xml:space="preserve">Abate e fabricação de produtos de carne e pescado </v>
      </c>
      <c r="E661" s="4">
        <v>17592.308431640002</v>
      </c>
      <c r="F661" s="4">
        <v>26550253.175046079</v>
      </c>
    </row>
    <row r="662" spans="1:6" x14ac:dyDescent="0.3">
      <c r="A662" s="3" t="s">
        <v>8</v>
      </c>
      <c r="B662" s="7" t="str">
        <f>VLOOKUP(VALUE(A662), 'DICIONÁRIO UF'!$A:$B, 2, FALSE)</f>
        <v>Pará</v>
      </c>
      <c r="C662" s="3">
        <v>10021</v>
      </c>
      <c r="D662" s="5" t="str">
        <f>VLOOKUP(C662, 'DICIONÁRIO CNAES'!$A:$B, 2, FALSE)</f>
        <v>Fabricação de conservas de frutas, legumes e outros vegetais</v>
      </c>
      <c r="E662" s="4">
        <v>21607.17797303</v>
      </c>
      <c r="F662" s="4">
        <v>28867206.005760498</v>
      </c>
    </row>
    <row r="663" spans="1:6" x14ac:dyDescent="0.3">
      <c r="A663" s="3" t="s">
        <v>8</v>
      </c>
      <c r="B663" s="7" t="str">
        <f>VLOOKUP(VALUE(A663), 'DICIONÁRIO UF'!$A:$B, 2, FALSE)</f>
        <v>Pará</v>
      </c>
      <c r="C663" s="3">
        <v>10022</v>
      </c>
      <c r="D663" s="5" t="str">
        <f>VLOOKUP(C663, 'DICIONÁRIO CNAES'!$A:$B, 2, FALSE)</f>
        <v>Fabricação de óleos vegetais e gorduras vegetais e animais</v>
      </c>
      <c r="E663" s="4">
        <v>3785.50536814</v>
      </c>
      <c r="F663" s="4">
        <v>6676721.0200757599</v>
      </c>
    </row>
    <row r="664" spans="1:6" x14ac:dyDescent="0.3">
      <c r="A664" s="3" t="s">
        <v>8</v>
      </c>
      <c r="B664" s="7" t="str">
        <f>VLOOKUP(VALUE(A664), 'DICIONÁRIO UF'!$A:$B, 2, FALSE)</f>
        <v>Pará</v>
      </c>
      <c r="C664" s="3">
        <v>10030</v>
      </c>
      <c r="D664" s="5" t="str">
        <f>VLOOKUP(C664, 'DICIONÁRIO CNAES'!$A:$B, 2, FALSE)</f>
        <v>Laticínios</v>
      </c>
      <c r="E664" s="4">
        <v>15163.765847279999</v>
      </c>
      <c r="F664" s="4">
        <v>8398534.2941183001</v>
      </c>
    </row>
    <row r="665" spans="1:6" x14ac:dyDescent="0.3">
      <c r="A665" s="3" t="s">
        <v>8</v>
      </c>
      <c r="B665" s="7" t="str">
        <f>VLOOKUP(VALUE(A665), 'DICIONÁRIO UF'!$A:$B, 2, FALSE)</f>
        <v>Pará</v>
      </c>
      <c r="C665" s="3">
        <v>10091</v>
      </c>
      <c r="D665" s="5" t="str">
        <f>VLOOKUP(C665, 'DICIONÁRIO CNAES'!$A:$B, 2, FALSE)</f>
        <v>Moagem, fabricação de produtos amiláceos e de alimentos para animais</v>
      </c>
      <c r="E665" s="4">
        <v>75928.602908190005</v>
      </c>
      <c r="F665" s="4">
        <v>35956679.864046097</v>
      </c>
    </row>
    <row r="666" spans="1:6" x14ac:dyDescent="0.3">
      <c r="A666" s="3" t="s">
        <v>8</v>
      </c>
      <c r="B666" s="7" t="str">
        <f>VLOOKUP(VALUE(A666), 'DICIONÁRIO UF'!$A:$B, 2, FALSE)</f>
        <v>Pará</v>
      </c>
      <c r="C666" s="3">
        <v>10099</v>
      </c>
      <c r="D666" s="5" t="str">
        <f>VLOOKUP(C666, 'DICIONÁRIO CNAES'!$A:$B, 2, FALSE)</f>
        <v>Fabricação de outros produtos alimentícios</v>
      </c>
      <c r="E666" s="4">
        <v>9088.2898127299995</v>
      </c>
      <c r="F666" s="4">
        <v>11513469.939476</v>
      </c>
    </row>
    <row r="667" spans="1:6" x14ac:dyDescent="0.3">
      <c r="A667" s="3" t="s">
        <v>8</v>
      </c>
      <c r="B667" s="7" t="str">
        <f>VLOOKUP(VALUE(A667), 'DICIONÁRIO UF'!$A:$B, 2, FALSE)</f>
        <v>Pará</v>
      </c>
      <c r="C667" s="3">
        <v>11000</v>
      </c>
      <c r="D667" s="5" t="str">
        <f>VLOOKUP(C667, 'DICIONÁRIO CNAES'!$A:$B, 2, FALSE)</f>
        <v>Fabricação de bebidas</v>
      </c>
      <c r="E667" s="4">
        <v>6063.5009639199998</v>
      </c>
      <c r="F667" s="4">
        <v>8207305.2433835007</v>
      </c>
    </row>
    <row r="668" spans="1:6" x14ac:dyDescent="0.3">
      <c r="A668" s="3" t="s">
        <v>8</v>
      </c>
      <c r="B668" s="7" t="str">
        <f>VLOOKUP(VALUE(A668), 'DICIONÁRIO UF'!$A:$B, 2, FALSE)</f>
        <v>Pará</v>
      </c>
      <c r="C668" s="3">
        <v>13001</v>
      </c>
      <c r="D668" s="5" t="str">
        <f>VLOOKUP(C668, 'DICIONÁRIO CNAES'!$A:$B, 2, FALSE)</f>
        <v>Preparação de fibras, fiação e tecelagem</v>
      </c>
      <c r="E668" s="4">
        <v>3424.0190517000001</v>
      </c>
      <c r="F668" s="4">
        <v>2000418.9716695</v>
      </c>
    </row>
    <row r="669" spans="1:6" x14ac:dyDescent="0.3">
      <c r="A669" s="3" t="s">
        <v>8</v>
      </c>
      <c r="B669" s="7" t="str">
        <f>VLOOKUP(VALUE(A669), 'DICIONÁRIO UF'!$A:$B, 2, FALSE)</f>
        <v>Pará</v>
      </c>
      <c r="C669" s="3">
        <v>13002</v>
      </c>
      <c r="D669" s="5" t="str">
        <f>VLOOKUP(C669, 'DICIONÁRIO CNAES'!$A:$B, 2, FALSE)</f>
        <v>Fabricação de artefatos têxteis, exceto vestuário</v>
      </c>
      <c r="E669" s="4">
        <v>14459.40531815</v>
      </c>
      <c r="F669" s="4">
        <v>9336045.7205882203</v>
      </c>
    </row>
    <row r="670" spans="1:6" x14ac:dyDescent="0.3">
      <c r="A670" s="3" t="s">
        <v>8</v>
      </c>
      <c r="B670" s="7" t="str">
        <f>VLOOKUP(VALUE(A670), 'DICIONÁRIO UF'!$A:$B, 2, FALSE)</f>
        <v>Pará</v>
      </c>
      <c r="C670" s="3">
        <v>14001</v>
      </c>
      <c r="D670" s="5" t="str">
        <f>VLOOKUP(C670, 'DICIONÁRIO CNAES'!$A:$B, 2, FALSE)</f>
        <v>Confecção de artigos do vestuário e acessórios, exceto sob medida</v>
      </c>
      <c r="E670" s="4">
        <v>5652.2610368599999</v>
      </c>
      <c r="F670" s="4">
        <v>18284068.960012998</v>
      </c>
    </row>
    <row r="671" spans="1:6" x14ac:dyDescent="0.3">
      <c r="A671" s="3" t="s">
        <v>8</v>
      </c>
      <c r="B671" s="7" t="str">
        <f>VLOOKUP(VALUE(A671), 'DICIONÁRIO UF'!$A:$B, 2, FALSE)</f>
        <v>Pará</v>
      </c>
      <c r="C671" s="3">
        <v>14002</v>
      </c>
      <c r="D671" s="5" t="str">
        <f>VLOOKUP(C671, 'DICIONÁRIO CNAES'!$A:$B, 2, FALSE)</f>
        <v>Confecção, sob medida, de artigos do vestuário</v>
      </c>
      <c r="E671" s="4">
        <v>23071.60390274</v>
      </c>
      <c r="F671" s="4">
        <v>29191070.165458102</v>
      </c>
    </row>
    <row r="672" spans="1:6" x14ac:dyDescent="0.3">
      <c r="A672" s="3" t="s">
        <v>8</v>
      </c>
      <c r="B672" s="7" t="str">
        <f>VLOOKUP(VALUE(A672), 'DICIONÁRIO UF'!$A:$B, 2, FALSE)</f>
        <v>Pará</v>
      </c>
      <c r="C672" s="3">
        <v>15011</v>
      </c>
      <c r="D672" s="5" t="str">
        <f>VLOOKUP(C672, 'DICIONÁRIO CNAES'!$A:$B, 2, FALSE)</f>
        <v>Curtimento e outras preparações de couro</v>
      </c>
      <c r="E672" s="4">
        <v>319.37702053999999</v>
      </c>
      <c r="F672" s="4">
        <v>958131.06161999993</v>
      </c>
    </row>
    <row r="673" spans="1:6" x14ac:dyDescent="0.3">
      <c r="A673" s="3" t="s">
        <v>8</v>
      </c>
      <c r="B673" s="7" t="str">
        <f>VLOOKUP(VALUE(A673), 'DICIONÁRIO UF'!$A:$B, 2, FALSE)</f>
        <v>Pará</v>
      </c>
      <c r="C673" s="3">
        <v>15012</v>
      </c>
      <c r="D673" s="5" t="str">
        <f>VLOOKUP(C673, 'DICIONÁRIO CNAES'!$A:$B, 2, FALSE)</f>
        <v>Fabricação de artigos de viagem e de artefatos diversos de couro</v>
      </c>
      <c r="E673" s="4">
        <v>1023.78999864</v>
      </c>
      <c r="F673" s="4">
        <v>767842.49898000003</v>
      </c>
    </row>
    <row r="674" spans="1:6" x14ac:dyDescent="0.3">
      <c r="A674" s="3" t="s">
        <v>8</v>
      </c>
      <c r="B674" s="7" t="str">
        <f>VLOOKUP(VALUE(A674), 'DICIONÁRIO UF'!$A:$B, 2, FALSE)</f>
        <v>Pará</v>
      </c>
      <c r="C674" s="3">
        <v>15020</v>
      </c>
      <c r="D674" s="5" t="str">
        <f>VLOOKUP(C674, 'DICIONÁRIO CNAES'!$A:$B, 2, FALSE)</f>
        <v>Fabricação de calçados e partes para calçados, de qualquer material</v>
      </c>
      <c r="E674" s="4">
        <v>3126.8689239</v>
      </c>
      <c r="F674" s="4">
        <v>3811052.0564839998</v>
      </c>
    </row>
    <row r="675" spans="1:6" x14ac:dyDescent="0.3">
      <c r="A675" s="3" t="s">
        <v>8</v>
      </c>
      <c r="B675" s="7" t="str">
        <f>VLOOKUP(VALUE(A675), 'DICIONÁRIO UF'!$A:$B, 2, FALSE)</f>
        <v>Pará</v>
      </c>
      <c r="C675" s="3">
        <v>16001</v>
      </c>
      <c r="D675" s="5" t="str">
        <f>VLOOKUP(C675, 'DICIONÁRIO CNAES'!$A:$B, 2, FALSE)</f>
        <v>Serrarias</v>
      </c>
      <c r="E675" s="4">
        <v>12700.40710414</v>
      </c>
      <c r="F675" s="4">
        <v>18181389.521630201</v>
      </c>
    </row>
    <row r="676" spans="1:6" x14ac:dyDescent="0.3">
      <c r="A676" s="3" t="s">
        <v>8</v>
      </c>
      <c r="B676" s="7" t="str">
        <f>VLOOKUP(VALUE(A676), 'DICIONÁRIO UF'!$A:$B, 2, FALSE)</f>
        <v>Pará</v>
      </c>
      <c r="C676" s="3">
        <v>16002</v>
      </c>
      <c r="D676" s="5" t="str">
        <f>VLOOKUP(C676, 'DICIONÁRIO CNAES'!$A:$B, 2, FALSE)</f>
        <v>Fabricação de produtos de madeira, cortiça e material trançado, exceto móveis</v>
      </c>
      <c r="E676" s="4">
        <v>15350.450478659999</v>
      </c>
      <c r="F676" s="4">
        <v>17635785.57957444</v>
      </c>
    </row>
    <row r="677" spans="1:6" x14ac:dyDescent="0.3">
      <c r="A677" s="3" t="s">
        <v>8</v>
      </c>
      <c r="B677" s="7" t="str">
        <f>VLOOKUP(VALUE(A677), 'DICIONÁRIO UF'!$A:$B, 2, FALSE)</f>
        <v>Pará</v>
      </c>
      <c r="C677" s="3">
        <v>17001</v>
      </c>
      <c r="D677" s="5" t="str">
        <f>VLOOKUP(C677, 'DICIONÁRIO CNAES'!$A:$B, 2, FALSE)</f>
        <v>Fabricação de celulose, papel, cartolina e papel-cartão</v>
      </c>
      <c r="E677" s="4">
        <v>162.62939821000001</v>
      </c>
      <c r="F677" s="4">
        <v>617991.71319799998</v>
      </c>
    </row>
    <row r="678" spans="1:6" x14ac:dyDescent="0.3">
      <c r="A678" s="3" t="s">
        <v>8</v>
      </c>
      <c r="B678" s="7" t="str">
        <f>VLOOKUP(VALUE(A678), 'DICIONÁRIO UF'!$A:$B, 2, FALSE)</f>
        <v>Pará</v>
      </c>
      <c r="C678" s="3">
        <v>17002</v>
      </c>
      <c r="D678" s="5" t="str">
        <f>VLOOKUP(C678, 'DICIONÁRIO CNAES'!$A:$B, 2, FALSE)</f>
        <v>Fabricação de embalagens e de produtos diversos de papel, cartolina, papel-cartão e papelão ondulado</v>
      </c>
      <c r="E678" s="4">
        <v>3540.5982727599999</v>
      </c>
      <c r="F678" s="4">
        <v>2705748.8596589998</v>
      </c>
    </row>
    <row r="679" spans="1:6" x14ac:dyDescent="0.3">
      <c r="A679" s="3" t="s">
        <v>8</v>
      </c>
      <c r="B679" s="7" t="str">
        <f>VLOOKUP(VALUE(A679), 'DICIONÁRIO UF'!$A:$B, 2, FALSE)</f>
        <v>Pará</v>
      </c>
      <c r="C679" s="3">
        <v>18000</v>
      </c>
      <c r="D679" s="5" t="str">
        <f>VLOOKUP(C679, 'DICIONÁRIO CNAES'!$A:$B, 2, FALSE)</f>
        <v>Impressão e reprodução de gravações</v>
      </c>
      <c r="E679" s="4">
        <v>6653.7036282199997</v>
      </c>
      <c r="F679" s="4">
        <v>6174968.7057902003</v>
      </c>
    </row>
    <row r="680" spans="1:6" x14ac:dyDescent="0.3">
      <c r="A680" s="3" t="s">
        <v>8</v>
      </c>
      <c r="B680" s="7" t="str">
        <f>VLOOKUP(VALUE(A680), 'DICIONÁRIO UF'!$A:$B, 2, FALSE)</f>
        <v>Pará</v>
      </c>
      <c r="C680" s="3">
        <v>19010</v>
      </c>
      <c r="D680" s="5" t="str">
        <f>VLOOKUP(C680, 'DICIONÁRIO CNAES'!$A:$B, 2, FALSE)</f>
        <v>Coquerias</v>
      </c>
      <c r="E680" s="4">
        <v>410.37160499999999</v>
      </c>
      <c r="F680" s="4">
        <v>738668.88899999997</v>
      </c>
    </row>
    <row r="681" spans="1:6" x14ac:dyDescent="0.3">
      <c r="A681" s="3" t="s">
        <v>8</v>
      </c>
      <c r="B681" s="7" t="str">
        <f>VLOOKUP(VALUE(A681), 'DICIONÁRIO UF'!$A:$B, 2, FALSE)</f>
        <v>Pará</v>
      </c>
      <c r="C681" s="3">
        <v>19030</v>
      </c>
      <c r="D681" s="5" t="str">
        <f>VLOOKUP(C681, 'DICIONÁRIO CNAES'!$A:$B, 2, FALSE)</f>
        <v>Produção de biocombustíveis</v>
      </c>
      <c r="E681" s="4">
        <v>225.43944819000001</v>
      </c>
      <c r="F681" s="4">
        <v>293071.28264699999</v>
      </c>
    </row>
    <row r="682" spans="1:6" x14ac:dyDescent="0.3">
      <c r="A682" s="3" t="s">
        <v>8</v>
      </c>
      <c r="B682" s="7" t="str">
        <f>VLOOKUP(VALUE(A682), 'DICIONÁRIO UF'!$A:$B, 2, FALSE)</f>
        <v>Pará</v>
      </c>
      <c r="C682" s="3">
        <v>20010</v>
      </c>
      <c r="D682" s="5" t="str">
        <f>VLOOKUP(C682, 'DICIONÁRIO CNAES'!$A:$B, 2, FALSE)</f>
        <v>Fabricação de tintas, vernizes, esmaltes, lacas e produtos afins</v>
      </c>
      <c r="E682" s="4">
        <v>1777.9766729600001</v>
      </c>
      <c r="F682" s="4">
        <v>2770853.38124</v>
      </c>
    </row>
    <row r="683" spans="1:6" x14ac:dyDescent="0.3">
      <c r="A683" s="3" t="s">
        <v>8</v>
      </c>
      <c r="B683" s="7" t="str">
        <f>VLOOKUP(VALUE(A683), 'DICIONÁRIO UF'!$A:$B, 2, FALSE)</f>
        <v>Pará</v>
      </c>
      <c r="C683" s="3">
        <v>20020</v>
      </c>
      <c r="D683" s="5" t="str">
        <f>VLOOKUP(C683, 'DICIONÁRIO CNAES'!$A:$B, 2, FALSE)</f>
        <v>Fabricação de sabões, detergentes, produtos de limpeza, cosméticos, produtos de perfumaria e de higiene pessoal</v>
      </c>
      <c r="E683" s="4">
        <v>3313.3678888200002</v>
      </c>
      <c r="F683" s="4">
        <v>4229253.596225</v>
      </c>
    </row>
    <row r="684" spans="1:6" x14ac:dyDescent="0.3">
      <c r="A684" s="3" t="s">
        <v>8</v>
      </c>
      <c r="B684" s="7" t="str">
        <f>VLOOKUP(VALUE(A684), 'DICIONÁRIO UF'!$A:$B, 2, FALSE)</f>
        <v>Pará</v>
      </c>
      <c r="C684" s="3">
        <v>20090</v>
      </c>
      <c r="D684" s="5" t="str">
        <f>VLOOKUP(C684, 'DICIONÁRIO CNAES'!$A:$B, 2, FALSE)</f>
        <v>Fabricação de outros produtos químicos não especificados anteriormente</v>
      </c>
      <c r="E684" s="4">
        <v>771.19344936000005</v>
      </c>
      <c r="F684" s="4">
        <v>582903.69196800003</v>
      </c>
    </row>
    <row r="685" spans="1:6" x14ac:dyDescent="0.3">
      <c r="A685" s="3" t="s">
        <v>8</v>
      </c>
      <c r="B685" s="7" t="str">
        <f>VLOOKUP(VALUE(A685), 'DICIONÁRIO UF'!$A:$B, 2, FALSE)</f>
        <v>Pará</v>
      </c>
      <c r="C685" s="3">
        <v>21000</v>
      </c>
      <c r="D685" s="5" t="str">
        <f>VLOOKUP(C685, 'DICIONÁRIO CNAES'!$A:$B, 2, FALSE)</f>
        <v>Fabricação de produtos farmoquimicos e farmacêuticos</v>
      </c>
      <c r="E685" s="4">
        <v>473.39881940999999</v>
      </c>
      <c r="F685" s="4">
        <v>520738.701351</v>
      </c>
    </row>
    <row r="686" spans="1:6" x14ac:dyDescent="0.3">
      <c r="A686" s="3" t="s">
        <v>8</v>
      </c>
      <c r="B686" s="7" t="str">
        <f>VLOOKUP(VALUE(A686), 'DICIONÁRIO UF'!$A:$B, 2, FALSE)</f>
        <v>Pará</v>
      </c>
      <c r="C686" s="3">
        <v>22020</v>
      </c>
      <c r="D686" s="5" t="str">
        <f>VLOOKUP(C686, 'DICIONÁRIO CNAES'!$A:$B, 2, FALSE)</f>
        <v>Fabricação de produtos de material plástico</v>
      </c>
      <c r="E686" s="4">
        <v>532.82521761999999</v>
      </c>
      <c r="F686" s="4">
        <v>1354945.7476339999</v>
      </c>
    </row>
    <row r="687" spans="1:6" x14ac:dyDescent="0.3">
      <c r="A687" s="3" t="s">
        <v>8</v>
      </c>
      <c r="B687" s="7" t="str">
        <f>VLOOKUP(VALUE(A687), 'DICIONÁRIO UF'!$A:$B, 2, FALSE)</f>
        <v>Pará</v>
      </c>
      <c r="C687" s="3">
        <v>23010</v>
      </c>
      <c r="D687" s="5" t="str">
        <f>VLOOKUP(C687, 'DICIONÁRIO CNAES'!$A:$B, 2, FALSE)</f>
        <v>Fabricação de vidro e produtos de vidro</v>
      </c>
      <c r="E687" s="4">
        <v>772.94066930000008</v>
      </c>
      <c r="F687" s="4">
        <v>531464.28596500005</v>
      </c>
    </row>
    <row r="688" spans="1:6" x14ac:dyDescent="0.3">
      <c r="A688" s="3" t="s">
        <v>8</v>
      </c>
      <c r="B688" s="7" t="str">
        <f>VLOOKUP(VALUE(A688), 'DICIONÁRIO UF'!$A:$B, 2, FALSE)</f>
        <v>Pará</v>
      </c>
      <c r="C688" s="3">
        <v>23091</v>
      </c>
      <c r="D688" s="5" t="str">
        <f>VLOOKUP(C688, 'DICIONÁRIO CNAES'!$A:$B, 2, FALSE)</f>
        <v>Fabricação de produtos cerâmicos</v>
      </c>
      <c r="E688" s="4">
        <v>8551.5728451399991</v>
      </c>
      <c r="F688" s="4">
        <v>11081372.194193</v>
      </c>
    </row>
    <row r="689" spans="1:6" x14ac:dyDescent="0.3">
      <c r="A689" s="3" t="s">
        <v>8</v>
      </c>
      <c r="B689" s="7" t="str">
        <f>VLOOKUP(VALUE(A689), 'DICIONÁRIO UF'!$A:$B, 2, FALSE)</f>
        <v>Pará</v>
      </c>
      <c r="C689" s="3">
        <v>23099</v>
      </c>
      <c r="D689" s="5" t="str">
        <f>VLOOKUP(C689, 'DICIONÁRIO CNAES'!$A:$B, 2, FALSE)</f>
        <v>Fabricação de outros produtos de minerais não-metálicos não especificados anteriormente</v>
      </c>
      <c r="E689" s="4">
        <v>3281.3935569999999</v>
      </c>
      <c r="F689" s="4">
        <v>5508368.2710817996</v>
      </c>
    </row>
    <row r="690" spans="1:6" x14ac:dyDescent="0.3">
      <c r="A690" s="3" t="s">
        <v>8</v>
      </c>
      <c r="B690" s="7" t="str">
        <f>VLOOKUP(VALUE(A690), 'DICIONÁRIO UF'!$A:$B, 2, FALSE)</f>
        <v>Pará</v>
      </c>
      <c r="C690" s="3">
        <v>24001</v>
      </c>
      <c r="D690" s="5" t="str">
        <f>VLOOKUP(C690, 'DICIONÁRIO CNAES'!$A:$B, 2, FALSE)</f>
        <v>Fabricação de produtos siderúrgicos</v>
      </c>
      <c r="E690" s="4">
        <v>1377.5621396199999</v>
      </c>
      <c r="F690" s="4">
        <v>2609616.7967090001</v>
      </c>
    </row>
    <row r="691" spans="1:6" x14ac:dyDescent="0.3">
      <c r="A691" s="3" t="s">
        <v>8</v>
      </c>
      <c r="B691" s="7" t="str">
        <f>VLOOKUP(VALUE(A691), 'DICIONÁRIO UF'!$A:$B, 2, FALSE)</f>
        <v>Pará</v>
      </c>
      <c r="C691" s="3">
        <v>24002</v>
      </c>
      <c r="D691" s="5" t="str">
        <f>VLOOKUP(C691, 'DICIONÁRIO CNAES'!$A:$B, 2, FALSE)</f>
        <v>Metalurgia dos metais não-ferrosos</v>
      </c>
      <c r="E691" s="4">
        <v>4154.8059108799998</v>
      </c>
      <c r="F691" s="4">
        <v>34063513.503458001</v>
      </c>
    </row>
    <row r="692" spans="1:6" x14ac:dyDescent="0.3">
      <c r="A692" s="3" t="s">
        <v>8</v>
      </c>
      <c r="B692" s="7" t="str">
        <f>VLOOKUP(VALUE(A692), 'DICIONÁRIO UF'!$A:$B, 2, FALSE)</f>
        <v>Pará</v>
      </c>
      <c r="C692" s="3">
        <v>25001</v>
      </c>
      <c r="D692" s="5" t="str">
        <f>VLOOKUP(C692, 'DICIONÁRIO CNAES'!$A:$B, 2, FALSE)</f>
        <v>Fabricação de produtos de metal, exceto máquinas e equipamentos</v>
      </c>
      <c r="E692" s="4">
        <v>9966.2657288499995</v>
      </c>
      <c r="F692" s="4">
        <v>12824228.8820925</v>
      </c>
    </row>
    <row r="693" spans="1:6" x14ac:dyDescent="0.3">
      <c r="A693" s="3" t="s">
        <v>8</v>
      </c>
      <c r="B693" s="7" t="str">
        <f>VLOOKUP(VALUE(A693), 'DICIONÁRIO UF'!$A:$B, 2, FALSE)</f>
        <v>Pará</v>
      </c>
      <c r="C693" s="3">
        <v>25002</v>
      </c>
      <c r="D693" s="5" t="str">
        <f>VLOOKUP(C693, 'DICIONÁRIO CNAES'!$A:$B, 2, FALSE)</f>
        <v>Forjaria, estamparia, metalurgia do pó e serviços de tratamento de metais</v>
      </c>
      <c r="E693" s="4">
        <v>5255.17898341</v>
      </c>
      <c r="F693" s="4">
        <v>5512874.7664930001</v>
      </c>
    </row>
    <row r="694" spans="1:6" x14ac:dyDescent="0.3">
      <c r="A694" s="3" t="s">
        <v>8</v>
      </c>
      <c r="B694" s="7" t="str">
        <f>VLOOKUP(VALUE(A694), 'DICIONÁRIO UF'!$A:$B, 2, FALSE)</f>
        <v>Pará</v>
      </c>
      <c r="C694" s="3">
        <v>28000</v>
      </c>
      <c r="D694" s="5" t="str">
        <f>VLOOKUP(C694, 'DICIONÁRIO CNAES'!$A:$B, 2, FALSE)</f>
        <v>Fabricação de máquinas e equipamentos</v>
      </c>
      <c r="E694" s="4">
        <v>3049.43634462</v>
      </c>
      <c r="F694" s="4">
        <v>3572293.4534610002</v>
      </c>
    </row>
    <row r="695" spans="1:6" x14ac:dyDescent="0.3">
      <c r="A695" s="3" t="s">
        <v>8</v>
      </c>
      <c r="B695" s="7" t="str">
        <f>VLOOKUP(VALUE(A695), 'DICIONÁRIO UF'!$A:$B, 2, FALSE)</f>
        <v>Pará</v>
      </c>
      <c r="C695" s="3">
        <v>29002</v>
      </c>
      <c r="D695" s="5" t="str">
        <f>VLOOKUP(C695, 'DICIONÁRIO CNAES'!$A:$B, 2, FALSE)</f>
        <v>Fabricação de cabines, carrocerias, reboques e peças para veículos automotores</v>
      </c>
      <c r="E695" s="4">
        <v>1147.3978488299999</v>
      </c>
      <c r="F695" s="4">
        <v>2065316.1278939999</v>
      </c>
    </row>
    <row r="696" spans="1:6" x14ac:dyDescent="0.3">
      <c r="A696" s="3" t="s">
        <v>8</v>
      </c>
      <c r="B696" s="7" t="str">
        <f>VLOOKUP(VALUE(A696), 'DICIONÁRIO UF'!$A:$B, 2, FALSE)</f>
        <v>Pará</v>
      </c>
      <c r="C696" s="3">
        <v>30010</v>
      </c>
      <c r="D696" s="5" t="str">
        <f>VLOOKUP(C696, 'DICIONÁRIO CNAES'!$A:$B, 2, FALSE)</f>
        <v xml:space="preserve">Construção de embarcações </v>
      </c>
      <c r="E696" s="4">
        <v>478.49848151999998</v>
      </c>
      <c r="F696" s="4">
        <v>287099.08891200001</v>
      </c>
    </row>
    <row r="697" spans="1:6" x14ac:dyDescent="0.3">
      <c r="A697" s="3" t="s">
        <v>8</v>
      </c>
      <c r="B697" s="7" t="str">
        <f>VLOOKUP(VALUE(A697), 'DICIONÁRIO UF'!$A:$B, 2, FALSE)</f>
        <v>Pará</v>
      </c>
      <c r="C697" s="3">
        <v>31000</v>
      </c>
      <c r="D697" s="5" t="str">
        <f>VLOOKUP(C697, 'DICIONÁRIO CNAES'!$A:$B, 2, FALSE)</f>
        <v>Fabricação de móveis</v>
      </c>
      <c r="E697" s="4">
        <v>19336.164445480001</v>
      </c>
      <c r="F697" s="4">
        <v>24403024.011922002</v>
      </c>
    </row>
    <row r="698" spans="1:6" x14ac:dyDescent="0.3">
      <c r="A698" s="3" t="s">
        <v>8</v>
      </c>
      <c r="B698" s="7" t="str">
        <f>VLOOKUP(VALUE(A698), 'DICIONÁRIO UF'!$A:$B, 2, FALSE)</f>
        <v>Pará</v>
      </c>
      <c r="C698" s="3">
        <v>32001</v>
      </c>
      <c r="D698" s="5" t="str">
        <f>VLOOKUP(C698, 'DICIONÁRIO CNAES'!$A:$B, 2, FALSE)</f>
        <v>Fabricação de artigos de joalheria, bijuteria e semelhantes</v>
      </c>
      <c r="E698" s="4">
        <v>1006.76844018</v>
      </c>
      <c r="F698" s="4">
        <v>1031082.0348186</v>
      </c>
    </row>
    <row r="699" spans="1:6" x14ac:dyDescent="0.3">
      <c r="A699" s="3" t="s">
        <v>8</v>
      </c>
      <c r="B699" s="7" t="str">
        <f>VLOOKUP(VALUE(A699), 'DICIONÁRIO UF'!$A:$B, 2, FALSE)</f>
        <v>Pará</v>
      </c>
      <c r="C699" s="3">
        <v>32003</v>
      </c>
      <c r="D699" s="5" t="str">
        <f>VLOOKUP(C699, 'DICIONÁRIO CNAES'!$A:$B, 2, FALSE)</f>
        <v>Fabricação de artefatos para pesca e esporte e de brinquedos e jogos recreativos</v>
      </c>
      <c r="E699" s="4">
        <v>466.46633709999998</v>
      </c>
      <c r="F699" s="4">
        <v>466466.3371</v>
      </c>
    </row>
    <row r="700" spans="1:6" x14ac:dyDescent="0.3">
      <c r="A700" s="3" t="s">
        <v>8</v>
      </c>
      <c r="B700" s="7" t="str">
        <f>VLOOKUP(VALUE(A700), 'DICIONÁRIO UF'!$A:$B, 2, FALSE)</f>
        <v>Pará</v>
      </c>
      <c r="C700" s="3">
        <v>32009</v>
      </c>
      <c r="D700" s="5" t="str">
        <f>VLOOKUP(C700, 'DICIONÁRIO CNAES'!$A:$B, 2, FALSE)</f>
        <v>Fabricação de produtos diversos</v>
      </c>
      <c r="E700" s="4">
        <v>2108.4043025699998</v>
      </c>
      <c r="F700" s="4">
        <v>6474670.9122129995</v>
      </c>
    </row>
    <row r="701" spans="1:6" x14ac:dyDescent="0.3">
      <c r="A701" s="3" t="s">
        <v>8</v>
      </c>
      <c r="B701" s="7" t="str">
        <f>VLOOKUP(VALUE(A701), 'DICIONÁRIO UF'!$A:$B, 2, FALSE)</f>
        <v>Pará</v>
      </c>
      <c r="C701" s="3">
        <v>33001</v>
      </c>
      <c r="D701" s="5" t="str">
        <f>VLOOKUP(C701, 'DICIONÁRIO CNAES'!$A:$B, 2, FALSE)</f>
        <v>Manutenção e reparação de máquinas e equipamentos</v>
      </c>
      <c r="E701" s="4">
        <v>12760.95197342</v>
      </c>
      <c r="F701" s="4">
        <v>20772089.1440995</v>
      </c>
    </row>
    <row r="702" spans="1:6" x14ac:dyDescent="0.3">
      <c r="A702" s="3" t="s">
        <v>8</v>
      </c>
      <c r="B702" s="7" t="str">
        <f>VLOOKUP(VALUE(A702), 'DICIONÁRIO UF'!$A:$B, 2, FALSE)</f>
        <v>Pará</v>
      </c>
      <c r="C702" s="3">
        <v>33002</v>
      </c>
      <c r="D702" s="5" t="str">
        <f>VLOOKUP(C702, 'DICIONÁRIO CNAES'!$A:$B, 2, FALSE)</f>
        <v>Instalação de máquinas e equipamentos</v>
      </c>
      <c r="E702" s="4">
        <v>2364.78005656</v>
      </c>
      <c r="F702" s="4">
        <v>7398101.4709700001</v>
      </c>
    </row>
    <row r="703" spans="1:6" x14ac:dyDescent="0.3">
      <c r="A703" s="3" t="s">
        <v>8</v>
      </c>
      <c r="B703" s="7" t="str">
        <f>VLOOKUP(VALUE(A703), 'DICIONÁRIO UF'!$A:$B, 2, FALSE)</f>
        <v>Pará</v>
      </c>
      <c r="C703" s="3">
        <v>35010</v>
      </c>
      <c r="D703" s="5" t="str">
        <f>VLOOKUP(C703, 'DICIONÁRIO CNAES'!$A:$B, 2, FALSE)</f>
        <v>Geração, transmissão e distribuição de energia elétrica</v>
      </c>
      <c r="E703" s="4">
        <v>8452.6463128100004</v>
      </c>
      <c r="F703" s="4">
        <v>25169598.345498979</v>
      </c>
    </row>
    <row r="704" spans="1:6" x14ac:dyDescent="0.3">
      <c r="A704" s="3" t="s">
        <v>8</v>
      </c>
      <c r="B704" s="7" t="str">
        <f>VLOOKUP(VALUE(A704), 'DICIONÁRIO UF'!$A:$B, 2, FALSE)</f>
        <v>Pará</v>
      </c>
      <c r="C704" s="3">
        <v>36000</v>
      </c>
      <c r="D704" s="5" t="str">
        <f>VLOOKUP(C704, 'DICIONÁRIO CNAES'!$A:$B, 2, FALSE)</f>
        <v>Captação, tratamento e distribuição de água</v>
      </c>
      <c r="E704" s="4">
        <v>3153.7270372900002</v>
      </c>
      <c r="F704" s="4">
        <v>4102614.7678120001</v>
      </c>
    </row>
    <row r="705" spans="1:6" x14ac:dyDescent="0.3">
      <c r="A705" s="3" t="s">
        <v>8</v>
      </c>
      <c r="B705" s="7" t="str">
        <f>VLOOKUP(VALUE(A705), 'DICIONÁRIO UF'!$A:$B, 2, FALSE)</f>
        <v>Pará</v>
      </c>
      <c r="C705" s="3">
        <v>38000</v>
      </c>
      <c r="D705" s="5" t="str">
        <f>VLOOKUP(C705, 'DICIONÁRIO CNAES'!$A:$B, 2, FALSE)</f>
        <v>Coleta, tratamento e disposição de resíduos; recuperação de materiais</v>
      </c>
      <c r="E705" s="4">
        <v>6669.4035855599996</v>
      </c>
      <c r="F705" s="4">
        <v>9004131.4365116004</v>
      </c>
    </row>
    <row r="706" spans="1:6" x14ac:dyDescent="0.3">
      <c r="A706" s="3" t="s">
        <v>8</v>
      </c>
      <c r="B706" s="7" t="str">
        <f>VLOOKUP(VALUE(A706), 'DICIONÁRIO UF'!$A:$B, 2, FALSE)</f>
        <v>Pará</v>
      </c>
      <c r="C706" s="3">
        <v>41000</v>
      </c>
      <c r="D706" s="5" t="str">
        <f>VLOOKUP(C706, 'DICIONÁRIO CNAES'!$A:$B, 2, FALSE)</f>
        <v>Construção de edifícios</v>
      </c>
      <c r="E706" s="4">
        <v>187900.42672079001</v>
      </c>
      <c r="F706" s="4">
        <v>260883045.60254321</v>
      </c>
    </row>
    <row r="707" spans="1:6" x14ac:dyDescent="0.3">
      <c r="A707" s="3" t="s">
        <v>8</v>
      </c>
      <c r="B707" s="7" t="str">
        <f>VLOOKUP(VALUE(A707), 'DICIONÁRIO UF'!$A:$B, 2, FALSE)</f>
        <v>Pará</v>
      </c>
      <c r="C707" s="3">
        <v>42000</v>
      </c>
      <c r="D707" s="5" t="str">
        <f>VLOOKUP(C707, 'DICIONÁRIO CNAES'!$A:$B, 2, FALSE)</f>
        <v>Construção de obras de infra-estrutura</v>
      </c>
      <c r="E707" s="4">
        <v>24717.82385144</v>
      </c>
      <c r="F707" s="4">
        <v>54046568.1247475</v>
      </c>
    </row>
    <row r="708" spans="1:6" x14ac:dyDescent="0.3">
      <c r="A708" s="3" t="s">
        <v>8</v>
      </c>
      <c r="B708" s="7" t="str">
        <f>VLOOKUP(VALUE(A708), 'DICIONÁRIO UF'!$A:$B, 2, FALSE)</f>
        <v>Pará</v>
      </c>
      <c r="C708" s="3">
        <v>43000</v>
      </c>
      <c r="D708" s="5" t="str">
        <f>VLOOKUP(C708, 'DICIONÁRIO CNAES'!$A:$B, 2, FALSE)</f>
        <v>Serviços especializados para construção</v>
      </c>
      <c r="E708" s="4">
        <v>69288.974458230005</v>
      </c>
      <c r="F708" s="4">
        <v>119230307.6400391</v>
      </c>
    </row>
    <row r="709" spans="1:6" x14ac:dyDescent="0.3">
      <c r="A709" s="3" t="s">
        <v>8</v>
      </c>
      <c r="B709" s="7" t="str">
        <f>VLOOKUP(VALUE(A709), 'DICIONÁRIO UF'!$A:$B, 2, FALSE)</f>
        <v>Pará</v>
      </c>
      <c r="C709" s="3">
        <v>45010</v>
      </c>
      <c r="D709" s="5" t="str">
        <f>VLOOKUP(C709, 'DICIONÁRIO CNAES'!$A:$B, 2, FALSE)</f>
        <v>Comércio de veículos automotores</v>
      </c>
      <c r="E709" s="4">
        <v>9051.2088412400008</v>
      </c>
      <c r="F709" s="4">
        <v>24396170.750459</v>
      </c>
    </row>
    <row r="710" spans="1:6" x14ac:dyDescent="0.3">
      <c r="A710" s="3" t="s">
        <v>8</v>
      </c>
      <c r="B710" s="7" t="str">
        <f>VLOOKUP(VALUE(A710), 'DICIONÁRIO UF'!$A:$B, 2, FALSE)</f>
        <v>Pará</v>
      </c>
      <c r="C710" s="3">
        <v>45020</v>
      </c>
      <c r="D710" s="5" t="str">
        <f>VLOOKUP(C710, 'DICIONÁRIO CNAES'!$A:$B, 2, FALSE)</f>
        <v>Manutenção e reparação de veículos automotores</v>
      </c>
      <c r="E710" s="4">
        <v>67316.645477049999</v>
      </c>
      <c r="F710" s="4">
        <v>90056420.529038802</v>
      </c>
    </row>
    <row r="711" spans="1:6" x14ac:dyDescent="0.3">
      <c r="A711" s="3" t="s">
        <v>8</v>
      </c>
      <c r="B711" s="7" t="str">
        <f>VLOOKUP(VALUE(A711), 'DICIONÁRIO UF'!$A:$B, 2, FALSE)</f>
        <v>Pará</v>
      </c>
      <c r="C711" s="3">
        <v>45030</v>
      </c>
      <c r="D711" s="5" t="str">
        <f>VLOOKUP(C711, 'DICIONÁRIO CNAES'!$A:$B, 2, FALSE)</f>
        <v>Comércio de peças e acessórios para veículos automotores</v>
      </c>
      <c r="E711" s="4">
        <v>11729.87946545</v>
      </c>
      <c r="F711" s="4">
        <v>16623836.616225909</v>
      </c>
    </row>
    <row r="712" spans="1:6" x14ac:dyDescent="0.3">
      <c r="A712" s="3" t="s">
        <v>8</v>
      </c>
      <c r="B712" s="7" t="str">
        <f>VLOOKUP(VALUE(A712), 'DICIONÁRIO UF'!$A:$B, 2, FALSE)</f>
        <v>Pará</v>
      </c>
      <c r="C712" s="3">
        <v>45040</v>
      </c>
      <c r="D712" s="5" t="str">
        <f>VLOOKUP(C712, 'DICIONÁRIO CNAES'!$A:$B, 2, FALSE)</f>
        <v>Comércio, manutenção e reparação de motocicletas, peças e acessórios</v>
      </c>
      <c r="E712" s="4">
        <v>16026.929899549999</v>
      </c>
      <c r="F712" s="4">
        <v>20069074.0279999</v>
      </c>
    </row>
    <row r="713" spans="1:6" x14ac:dyDescent="0.3">
      <c r="A713" s="3" t="s">
        <v>8</v>
      </c>
      <c r="B713" s="7" t="str">
        <f>VLOOKUP(VALUE(A713), 'DICIONÁRIO UF'!$A:$B, 2, FALSE)</f>
        <v>Pará</v>
      </c>
      <c r="C713" s="3">
        <v>48010</v>
      </c>
      <c r="D713" s="5" t="str">
        <f>VLOOKUP(C713, 'DICIONÁRIO CNAES'!$A:$B, 2, FALSE)</f>
        <v>Representantes comerciais e agentes do comércio, exceto de veículos automotores e motocicletas</v>
      </c>
      <c r="E713" s="4">
        <v>1576.50902746</v>
      </c>
      <c r="F713" s="4">
        <v>4055530.9539839998</v>
      </c>
    </row>
    <row r="714" spans="1:6" x14ac:dyDescent="0.3">
      <c r="A714" s="3" t="s">
        <v>8</v>
      </c>
      <c r="B714" s="7" t="str">
        <f>VLOOKUP(VALUE(A714), 'DICIONÁRIO UF'!$A:$B, 2, FALSE)</f>
        <v>Pará</v>
      </c>
      <c r="C714" s="3">
        <v>48020</v>
      </c>
      <c r="D714" s="5" t="str">
        <f>VLOOKUP(C714, 'DICIONÁRIO CNAES'!$A:$B, 2, FALSE)</f>
        <v>Comércio de matérias-primas agrícolas e animais vivos</v>
      </c>
      <c r="E714" s="4">
        <v>2944.9407635399998</v>
      </c>
      <c r="F714" s="4">
        <v>3158517.6313919998</v>
      </c>
    </row>
    <row r="715" spans="1:6" x14ac:dyDescent="0.3">
      <c r="A715" s="3" t="s">
        <v>8</v>
      </c>
      <c r="B715" s="7" t="str">
        <f>VLOOKUP(VALUE(A715), 'DICIONÁRIO UF'!$A:$B, 2, FALSE)</f>
        <v>Pará</v>
      </c>
      <c r="C715" s="3">
        <v>48030</v>
      </c>
      <c r="D715" s="5" t="str">
        <f>VLOOKUP(C715, 'DICIONÁRIO CNAES'!$A:$B, 2, FALSE)</f>
        <v>Comércio de produtos alimentícios, bebidas e fumo</v>
      </c>
      <c r="E715" s="4">
        <v>185842.30567179</v>
      </c>
      <c r="F715" s="4">
        <v>193622104.16257939</v>
      </c>
    </row>
    <row r="716" spans="1:6" x14ac:dyDescent="0.3">
      <c r="A716" s="3" t="s">
        <v>8</v>
      </c>
      <c r="B716" s="7" t="str">
        <f>VLOOKUP(VALUE(A716), 'DICIONÁRIO UF'!$A:$B, 2, FALSE)</f>
        <v>Pará</v>
      </c>
      <c r="C716" s="3">
        <v>48041</v>
      </c>
      <c r="D716" s="5" t="str">
        <f>VLOOKUP(C716, 'DICIONÁRIO CNAES'!$A:$B, 2, FALSE)</f>
        <v>Comércio de tecidos, artefatos de tecidos e armarinho</v>
      </c>
      <c r="E716" s="4">
        <v>10909.25525405</v>
      </c>
      <c r="F716" s="4">
        <v>13651408.38419662</v>
      </c>
    </row>
    <row r="717" spans="1:6" x14ac:dyDescent="0.3">
      <c r="A717" s="3" t="s">
        <v>8</v>
      </c>
      <c r="B717" s="7" t="str">
        <f>VLOOKUP(VALUE(A717), 'DICIONÁRIO UF'!$A:$B, 2, FALSE)</f>
        <v>Pará</v>
      </c>
      <c r="C717" s="3">
        <v>48042</v>
      </c>
      <c r="D717" s="5" t="str">
        <f>VLOOKUP(C717, 'DICIONÁRIO CNAES'!$A:$B, 2, FALSE)</f>
        <v>Comércio de artigos do vestuário, complementos, calçados e artigos de viagem</v>
      </c>
      <c r="E717" s="4">
        <v>83619.290190490006</v>
      </c>
      <c r="F717" s="4">
        <v>120329302.85145161</v>
      </c>
    </row>
    <row r="718" spans="1:6" x14ac:dyDescent="0.3">
      <c r="A718" s="3" t="s">
        <v>8</v>
      </c>
      <c r="B718" s="7" t="str">
        <f>VLOOKUP(VALUE(A718), 'DICIONÁRIO UF'!$A:$B, 2, FALSE)</f>
        <v>Pará</v>
      </c>
      <c r="C718" s="3">
        <v>48050</v>
      </c>
      <c r="D718" s="5" t="str">
        <f>VLOOKUP(C718, 'DICIONÁRIO CNAES'!$A:$B, 2, FALSE)</f>
        <v>Comércio de madeira, material de construção, ferragens e ferramentas</v>
      </c>
      <c r="E718" s="4">
        <v>31256.990053019999</v>
      </c>
      <c r="F718" s="4">
        <v>48437773.597758703</v>
      </c>
    </row>
    <row r="719" spans="1:6" x14ac:dyDescent="0.3">
      <c r="A719" s="3" t="s">
        <v>8</v>
      </c>
      <c r="B719" s="7" t="str">
        <f>VLOOKUP(VALUE(A719), 'DICIONÁRIO UF'!$A:$B, 2, FALSE)</f>
        <v>Pará</v>
      </c>
      <c r="C719" s="3">
        <v>48060</v>
      </c>
      <c r="D719" s="5" t="str">
        <f>VLOOKUP(C719, 'DICIONÁRIO CNAES'!$A:$B, 2, FALSE)</f>
        <v>Comércio de combustíveis para veículos automotores</v>
      </c>
      <c r="E719" s="4">
        <v>13568.33987639</v>
      </c>
      <c r="F719" s="4">
        <v>32185605.92928176</v>
      </c>
    </row>
    <row r="720" spans="1:6" x14ac:dyDescent="0.3">
      <c r="A720" s="3" t="s">
        <v>8</v>
      </c>
      <c r="B720" s="7" t="str">
        <f>VLOOKUP(VALUE(A720), 'DICIONÁRIO UF'!$A:$B, 2, FALSE)</f>
        <v>Pará</v>
      </c>
      <c r="C720" s="3">
        <v>48071</v>
      </c>
      <c r="D720" s="5" t="str">
        <f>VLOOKUP(C720, 'DICIONÁRIO CNAES'!$A:$B, 2, FALSE)</f>
        <v>Comércio de produtos farmaceuticos, médicos, ortopédicos, odontológicos e de cosméticos e perfumaria</v>
      </c>
      <c r="E720" s="4">
        <v>63523.264990639997</v>
      </c>
      <c r="F720" s="4">
        <v>59556866.924021058</v>
      </c>
    </row>
    <row r="721" spans="1:6" x14ac:dyDescent="0.3">
      <c r="A721" s="3" t="s">
        <v>8</v>
      </c>
      <c r="B721" s="7" t="str">
        <f>VLOOKUP(VALUE(A721), 'DICIONÁRIO UF'!$A:$B, 2, FALSE)</f>
        <v>Pará</v>
      </c>
      <c r="C721" s="3">
        <v>48072</v>
      </c>
      <c r="D721" s="5" t="str">
        <f>VLOOKUP(C721, 'DICIONÁRIO CNAES'!$A:$B, 2, FALSE)</f>
        <v>Comércio de artigos de escritório e de papelaria; livros, jornais e outras publicações</v>
      </c>
      <c r="E721" s="4">
        <v>5738.25437263</v>
      </c>
      <c r="F721" s="4">
        <v>5930008.9062708998</v>
      </c>
    </row>
    <row r="722" spans="1:6" x14ac:dyDescent="0.3">
      <c r="A722" s="3" t="s">
        <v>8</v>
      </c>
      <c r="B722" s="7" t="str">
        <f>VLOOKUP(VALUE(A722), 'DICIONÁRIO UF'!$A:$B, 2, FALSE)</f>
        <v>Pará</v>
      </c>
      <c r="C722" s="3">
        <v>48073</v>
      </c>
      <c r="D722" s="5" t="str">
        <f>VLOOKUP(C722, 'DICIONÁRIO CNAES'!$A:$B, 2, FALSE)</f>
        <v>Comércio de eletrodomésticos, móveis e outros artigos de residência</v>
      </c>
      <c r="E722" s="4">
        <v>35310.354608319998</v>
      </c>
      <c r="F722" s="4">
        <v>48068686.837419868</v>
      </c>
    </row>
    <row r="723" spans="1:6" x14ac:dyDescent="0.3">
      <c r="A723" s="3" t="s">
        <v>8</v>
      </c>
      <c r="B723" s="7" t="str">
        <f>VLOOKUP(VALUE(A723), 'DICIONÁRIO UF'!$A:$B, 2, FALSE)</f>
        <v>Pará</v>
      </c>
      <c r="C723" s="3">
        <v>48074</v>
      </c>
      <c r="D723" s="5" t="str">
        <f>VLOOKUP(C723, 'DICIONÁRIO CNAES'!$A:$B, 2, FALSE)</f>
        <v>Comércio de equipamentos e produtos de tecnologias de informação e comunicação</v>
      </c>
      <c r="E723" s="4">
        <v>3080.6380203099998</v>
      </c>
      <c r="F723" s="4">
        <v>2793036.5639630002</v>
      </c>
    </row>
    <row r="724" spans="1:6" x14ac:dyDescent="0.3">
      <c r="A724" s="3" t="s">
        <v>8</v>
      </c>
      <c r="B724" s="7" t="str">
        <f>VLOOKUP(VALUE(A724), 'DICIONÁRIO UF'!$A:$B, 2, FALSE)</f>
        <v>Pará</v>
      </c>
      <c r="C724" s="3">
        <v>48075</v>
      </c>
      <c r="D724" s="5" t="str">
        <f>VLOOKUP(C724, 'DICIONÁRIO CNAES'!$A:$B, 2, FALSE)</f>
        <v xml:space="preserve">Comércio de máquinas, aparelhos e equipamentos, exceto eletrodomésticos </v>
      </c>
      <c r="E724" s="4">
        <v>7117.7142873900002</v>
      </c>
      <c r="F724" s="4">
        <v>15962612.143278001</v>
      </c>
    </row>
    <row r="725" spans="1:6" x14ac:dyDescent="0.3">
      <c r="A725" s="3" t="s">
        <v>8</v>
      </c>
      <c r="B725" s="7" t="str">
        <f>VLOOKUP(VALUE(A725), 'DICIONÁRIO UF'!$A:$B, 2, FALSE)</f>
        <v>Pará</v>
      </c>
      <c r="C725" s="3">
        <v>48076</v>
      </c>
      <c r="D725" s="5" t="str">
        <f>VLOOKUP(C725, 'DICIONÁRIO CNAES'!$A:$B, 2, FALSE)</f>
        <v>Comércio de combustíveis sólidos, líquidos e gasosos, exceto para veículos automotores</v>
      </c>
      <c r="E725" s="4">
        <v>10789.876073859999</v>
      </c>
      <c r="F725" s="4">
        <v>15358153.6802768</v>
      </c>
    </row>
    <row r="726" spans="1:6" x14ac:dyDescent="0.3">
      <c r="A726" s="3" t="s">
        <v>8</v>
      </c>
      <c r="B726" s="7" t="str">
        <f>VLOOKUP(VALUE(A726), 'DICIONÁRIO UF'!$A:$B, 2, FALSE)</f>
        <v>Pará</v>
      </c>
      <c r="C726" s="3">
        <v>48077</v>
      </c>
      <c r="D726" s="5" t="str">
        <f>VLOOKUP(C726, 'DICIONÁRIO CNAES'!$A:$B, 2, FALSE)</f>
        <v>Comércio de produtos usados</v>
      </c>
      <c r="E726" s="4">
        <v>422.46206798999998</v>
      </c>
      <c r="F726" s="4">
        <v>84492.413597999999</v>
      </c>
    </row>
    <row r="727" spans="1:6" x14ac:dyDescent="0.3">
      <c r="A727" s="3" t="s">
        <v>8</v>
      </c>
      <c r="B727" s="7" t="str">
        <f>VLOOKUP(VALUE(A727), 'DICIONÁRIO UF'!$A:$B, 2, FALSE)</f>
        <v>Pará</v>
      </c>
      <c r="C727" s="3">
        <v>48078</v>
      </c>
      <c r="D727" s="5" t="str">
        <f>VLOOKUP(C727, 'DICIONÁRIO CNAES'!$A:$B, 2, FALSE)</f>
        <v>Comercio de residuos e sucatas</v>
      </c>
      <c r="E727" s="4">
        <v>9017.2768639099995</v>
      </c>
      <c r="F727" s="4">
        <v>8751873.9975589998</v>
      </c>
    </row>
    <row r="728" spans="1:6" x14ac:dyDescent="0.3">
      <c r="A728" s="3" t="s">
        <v>8</v>
      </c>
      <c r="B728" s="7" t="str">
        <f>VLOOKUP(VALUE(A728), 'DICIONÁRIO UF'!$A:$B, 2, FALSE)</f>
        <v>Pará</v>
      </c>
      <c r="C728" s="3">
        <v>48079</v>
      </c>
      <c r="D728" s="5" t="str">
        <f>VLOOKUP(C728, 'DICIONÁRIO CNAES'!$A:$B, 2, FALSE)</f>
        <v>Comércio de produtos novos não especificados anteriormente</v>
      </c>
      <c r="E728" s="4">
        <v>29572.70833216</v>
      </c>
      <c r="F728" s="4">
        <v>34812203.685723498</v>
      </c>
    </row>
    <row r="729" spans="1:6" x14ac:dyDescent="0.3">
      <c r="A729" s="3" t="s">
        <v>8</v>
      </c>
      <c r="B729" s="7" t="str">
        <f>VLOOKUP(VALUE(A729), 'DICIONÁRIO UF'!$A:$B, 2, FALSE)</f>
        <v>Pará</v>
      </c>
      <c r="C729" s="3">
        <v>48080</v>
      </c>
      <c r="D729" s="5" t="str">
        <f>VLOOKUP(C729, 'DICIONÁRIO CNAES'!$A:$B, 2, FALSE)</f>
        <v>Supermercado e hipermercado</v>
      </c>
      <c r="E729" s="4">
        <v>72268.230339910006</v>
      </c>
      <c r="F729" s="4">
        <v>102879738.1960724</v>
      </c>
    </row>
    <row r="730" spans="1:6" x14ac:dyDescent="0.3">
      <c r="A730" s="3" t="s">
        <v>8</v>
      </c>
      <c r="B730" s="7" t="str">
        <f>VLOOKUP(VALUE(A730), 'DICIONÁRIO UF'!$A:$B, 2, FALSE)</f>
        <v>Pará</v>
      </c>
      <c r="C730" s="3">
        <v>48090</v>
      </c>
      <c r="D730" s="5" t="str">
        <f>VLOOKUP(C730, 'DICIONÁRIO CNAES'!$A:$B, 2, FALSE)</f>
        <v>Lojas de departamento e outros comércios não especializados, sem predominância de produtos alimentícios</v>
      </c>
      <c r="E730" s="4">
        <v>9762.2770993699996</v>
      </c>
      <c r="F730" s="4">
        <v>13247644.5646584</v>
      </c>
    </row>
    <row r="731" spans="1:6" x14ac:dyDescent="0.3">
      <c r="A731" s="3" t="s">
        <v>8</v>
      </c>
      <c r="B731" s="7" t="str">
        <f>VLOOKUP(VALUE(A731), 'DICIONÁRIO UF'!$A:$B, 2, FALSE)</f>
        <v>Pará</v>
      </c>
      <c r="C731" s="3">
        <v>48100</v>
      </c>
      <c r="D731" s="5" t="str">
        <f>VLOOKUP(C731, 'DICIONÁRIO CNAES'!$A:$B, 2, FALSE)</f>
        <v>Comércio ambulante e feiras</v>
      </c>
      <c r="E731" s="4">
        <v>52806.467690210004</v>
      </c>
      <c r="F731" s="4">
        <v>41946297.920631699</v>
      </c>
    </row>
    <row r="732" spans="1:6" x14ac:dyDescent="0.3">
      <c r="A732" s="3" t="s">
        <v>8</v>
      </c>
      <c r="B732" s="7" t="str">
        <f>VLOOKUP(VALUE(A732), 'DICIONÁRIO UF'!$A:$B, 2, FALSE)</f>
        <v>Pará</v>
      </c>
      <c r="C732" s="3">
        <v>49030</v>
      </c>
      <c r="D732" s="5" t="str">
        <f>VLOOKUP(C732, 'DICIONÁRIO CNAES'!$A:$B, 2, FALSE)</f>
        <v>Transporte rodoviário de passageiros</v>
      </c>
      <c r="E732" s="4">
        <v>94478.910188909998</v>
      </c>
      <c r="F732" s="4">
        <v>133982987.704825</v>
      </c>
    </row>
    <row r="733" spans="1:6" x14ac:dyDescent="0.3">
      <c r="A733" s="3" t="s">
        <v>8</v>
      </c>
      <c r="B733" s="7" t="str">
        <f>VLOOKUP(VALUE(A733), 'DICIONÁRIO UF'!$A:$B, 2, FALSE)</f>
        <v>Pará</v>
      </c>
      <c r="C733" s="3">
        <v>49040</v>
      </c>
      <c r="D733" s="5" t="str">
        <f>VLOOKUP(C733, 'DICIONÁRIO CNAES'!$A:$B, 2, FALSE)</f>
        <v>Transporte rodoviário de carga</v>
      </c>
      <c r="E733" s="4">
        <v>29332.970868969998</v>
      </c>
      <c r="F733" s="4">
        <v>56186258.590451173</v>
      </c>
    </row>
    <row r="734" spans="1:6" x14ac:dyDescent="0.3">
      <c r="A734" s="3" t="s">
        <v>8</v>
      </c>
      <c r="B734" s="7" t="str">
        <f>VLOOKUP(VALUE(A734), 'DICIONÁRIO UF'!$A:$B, 2, FALSE)</f>
        <v>Pará</v>
      </c>
      <c r="C734" s="3">
        <v>50000</v>
      </c>
      <c r="D734" s="5" t="str">
        <f>VLOOKUP(C734, 'DICIONÁRIO CNAES'!$A:$B, 2, FALSE)</f>
        <v>Transporte Aquaviário</v>
      </c>
      <c r="E734" s="4">
        <v>8651.4927060800001</v>
      </c>
      <c r="F734" s="4">
        <v>12961405.7310385</v>
      </c>
    </row>
    <row r="735" spans="1:6" x14ac:dyDescent="0.3">
      <c r="A735" s="3" t="s">
        <v>8</v>
      </c>
      <c r="B735" s="7" t="str">
        <f>VLOOKUP(VALUE(A735), 'DICIONÁRIO UF'!$A:$B, 2, FALSE)</f>
        <v>Pará</v>
      </c>
      <c r="C735" s="3">
        <v>51000</v>
      </c>
      <c r="D735" s="5" t="str">
        <f>VLOOKUP(C735, 'DICIONÁRIO CNAES'!$A:$B, 2, FALSE)</f>
        <v>Transporte Aéreo</v>
      </c>
      <c r="E735" s="4">
        <v>392.35140818000002</v>
      </c>
      <c r="F735" s="4">
        <v>2746459.85726</v>
      </c>
    </row>
    <row r="736" spans="1:6" x14ac:dyDescent="0.3">
      <c r="A736" s="3" t="s">
        <v>8</v>
      </c>
      <c r="B736" s="7" t="str">
        <f>VLOOKUP(VALUE(A736), 'DICIONÁRIO UF'!$A:$B, 2, FALSE)</f>
        <v>Pará</v>
      </c>
      <c r="C736" s="3">
        <v>52010</v>
      </c>
      <c r="D736" s="5" t="str">
        <f>VLOOKUP(C736, 'DICIONÁRIO CNAES'!$A:$B, 2, FALSE)</f>
        <v>Armazenamento, carga e descarga</v>
      </c>
      <c r="E736" s="4">
        <v>6892.7033758199996</v>
      </c>
      <c r="F736" s="4">
        <v>16120573.329291999</v>
      </c>
    </row>
    <row r="737" spans="1:6" x14ac:dyDescent="0.3">
      <c r="A737" s="3" t="s">
        <v>8</v>
      </c>
      <c r="B737" s="7" t="str">
        <f>VLOOKUP(VALUE(A737), 'DICIONÁRIO UF'!$A:$B, 2, FALSE)</f>
        <v>Pará</v>
      </c>
      <c r="C737" s="3">
        <v>52020</v>
      </c>
      <c r="D737" s="5" t="str">
        <f>VLOOKUP(C737, 'DICIONÁRIO CNAES'!$A:$B, 2, FALSE)</f>
        <v xml:space="preserve">Atividades auxiliares dos transportes e atividades relacionadas à organização do transporte de carga </v>
      </c>
      <c r="E737" s="4">
        <v>4010.4710692399999</v>
      </c>
      <c r="F737" s="4">
        <v>9817365.7822044604</v>
      </c>
    </row>
    <row r="738" spans="1:6" x14ac:dyDescent="0.3">
      <c r="A738" s="3" t="s">
        <v>8</v>
      </c>
      <c r="B738" s="7" t="str">
        <f>VLOOKUP(VALUE(A738), 'DICIONÁRIO UF'!$A:$B, 2, FALSE)</f>
        <v>Pará</v>
      </c>
      <c r="C738" s="3">
        <v>53001</v>
      </c>
      <c r="D738" s="5" t="str">
        <f>VLOOKUP(C738, 'DICIONÁRIO CNAES'!$A:$B, 2, FALSE)</f>
        <v>Atividades de Correio</v>
      </c>
      <c r="E738" s="4">
        <v>3375.1050026900002</v>
      </c>
      <c r="F738" s="4">
        <v>13498756.4886418</v>
      </c>
    </row>
    <row r="739" spans="1:6" x14ac:dyDescent="0.3">
      <c r="A739" s="3" t="s">
        <v>8</v>
      </c>
      <c r="B739" s="7" t="str">
        <f>VLOOKUP(VALUE(A739), 'DICIONÁRIO UF'!$A:$B, 2, FALSE)</f>
        <v>Pará</v>
      </c>
      <c r="C739" s="3">
        <v>53002</v>
      </c>
      <c r="D739" s="5" t="str">
        <f>VLOOKUP(C739, 'DICIONÁRIO CNAES'!$A:$B, 2, FALSE)</f>
        <v>Atividades de malote e de entrega</v>
      </c>
      <c r="E739" s="4">
        <v>6140.0002362499999</v>
      </c>
      <c r="F739" s="4">
        <v>9250875.221376</v>
      </c>
    </row>
    <row r="740" spans="1:6" x14ac:dyDescent="0.3">
      <c r="A740" s="3" t="s">
        <v>8</v>
      </c>
      <c r="B740" s="7" t="str">
        <f>VLOOKUP(VALUE(A740), 'DICIONÁRIO UF'!$A:$B, 2, FALSE)</f>
        <v>Pará</v>
      </c>
      <c r="C740" s="3">
        <v>55000</v>
      </c>
      <c r="D740" s="5" t="str">
        <f>VLOOKUP(C740, 'DICIONÁRIO CNAES'!$A:$B, 2, FALSE)</f>
        <v>Alojamento</v>
      </c>
      <c r="E740" s="4">
        <v>4067.95185378</v>
      </c>
      <c r="F740" s="4">
        <v>5536922.2020108001</v>
      </c>
    </row>
    <row r="741" spans="1:6" x14ac:dyDescent="0.3">
      <c r="A741" s="3" t="s">
        <v>8</v>
      </c>
      <c r="B741" s="7" t="str">
        <f>VLOOKUP(VALUE(A741), 'DICIONÁRIO UF'!$A:$B, 2, FALSE)</f>
        <v>Pará</v>
      </c>
      <c r="C741" s="3">
        <v>56011</v>
      </c>
      <c r="D741" s="5" t="str">
        <f>VLOOKUP(C741, 'DICIONÁRIO CNAES'!$A:$B, 2, FALSE)</f>
        <v>Restaurantes e outros estabelecimentos de serviços de alimentação e bebidas</v>
      </c>
      <c r="E741" s="4">
        <v>125217.66785729</v>
      </c>
      <c r="F741" s="4">
        <v>150912792.6586445</v>
      </c>
    </row>
    <row r="742" spans="1:6" x14ac:dyDescent="0.3">
      <c r="A742" s="3" t="s">
        <v>8</v>
      </c>
      <c r="B742" s="7" t="str">
        <f>VLOOKUP(VALUE(A742), 'DICIONÁRIO UF'!$A:$B, 2, FALSE)</f>
        <v>Pará</v>
      </c>
      <c r="C742" s="3">
        <v>56012</v>
      </c>
      <c r="D742" s="5" t="str">
        <f>VLOOKUP(C742, 'DICIONÁRIO CNAES'!$A:$B, 2, FALSE)</f>
        <v>Serviços de catering, bufê e outros serviços de comida preparada</v>
      </c>
      <c r="E742" s="4">
        <v>36371.665974019998</v>
      </c>
      <c r="F742" s="4">
        <v>40047626.806381747</v>
      </c>
    </row>
    <row r="743" spans="1:6" x14ac:dyDescent="0.3">
      <c r="A743" s="3" t="s">
        <v>8</v>
      </c>
      <c r="B743" s="7" t="str">
        <f>VLOOKUP(VALUE(A743), 'DICIONÁRIO UF'!$A:$B, 2, FALSE)</f>
        <v>Pará</v>
      </c>
      <c r="C743" s="3">
        <v>56020</v>
      </c>
      <c r="D743" s="5" t="str">
        <f>VLOOKUP(C743, 'DICIONÁRIO CNAES'!$A:$B, 2, FALSE)</f>
        <v>Serviços ambulantes de alimentação</v>
      </c>
      <c r="E743" s="4">
        <v>33108.333863779997</v>
      </c>
      <c r="F743" s="4">
        <v>26399700.1925334</v>
      </c>
    </row>
    <row r="744" spans="1:6" x14ac:dyDescent="0.3">
      <c r="A744" s="3" t="s">
        <v>8</v>
      </c>
      <c r="B744" s="7" t="str">
        <f>VLOOKUP(VALUE(A744), 'DICIONÁRIO UF'!$A:$B, 2, FALSE)</f>
        <v>Pará</v>
      </c>
      <c r="C744" s="3">
        <v>58000</v>
      </c>
      <c r="D744" s="5" t="str">
        <f>VLOOKUP(C744, 'DICIONÁRIO CNAES'!$A:$B, 2, FALSE)</f>
        <v xml:space="preserve">Edição e Edição integrada à impressão </v>
      </c>
      <c r="E744" s="4">
        <v>1459.7668717900001</v>
      </c>
      <c r="F744" s="4">
        <v>3749144.5809689998</v>
      </c>
    </row>
    <row r="745" spans="1:6" x14ac:dyDescent="0.3">
      <c r="A745" s="3" t="s">
        <v>8</v>
      </c>
      <c r="B745" s="7" t="str">
        <f>VLOOKUP(VALUE(A745), 'DICIONÁRIO UF'!$A:$B, 2, FALSE)</f>
        <v>Pará</v>
      </c>
      <c r="C745" s="3">
        <v>60001</v>
      </c>
      <c r="D745" s="5" t="str">
        <f>VLOOKUP(C745, 'DICIONÁRIO CNAES'!$A:$B, 2, FALSE)</f>
        <v>Atividades de rádio</v>
      </c>
      <c r="E745" s="4">
        <v>974.02930859000003</v>
      </c>
      <c r="F745" s="4">
        <v>1135552.0351740001</v>
      </c>
    </row>
    <row r="746" spans="1:6" x14ac:dyDescent="0.3">
      <c r="A746" s="3" t="s">
        <v>8</v>
      </c>
      <c r="B746" s="7" t="str">
        <f>VLOOKUP(VALUE(A746), 'DICIONÁRIO UF'!$A:$B, 2, FALSE)</f>
        <v>Pará</v>
      </c>
      <c r="C746" s="3">
        <v>60002</v>
      </c>
      <c r="D746" s="5" t="str">
        <f>VLOOKUP(C746, 'DICIONÁRIO CNAES'!$A:$B, 2, FALSE)</f>
        <v>Atividades de televisão</v>
      </c>
      <c r="E746" s="4">
        <v>2382.39048714</v>
      </c>
      <c r="F746" s="4">
        <v>2797171.2965099998</v>
      </c>
    </row>
    <row r="747" spans="1:6" x14ac:dyDescent="0.3">
      <c r="A747" s="3" t="s">
        <v>8</v>
      </c>
      <c r="B747" s="7" t="str">
        <f>VLOOKUP(VALUE(A747), 'DICIONÁRIO UF'!$A:$B, 2, FALSE)</f>
        <v>Pará</v>
      </c>
      <c r="C747" s="3">
        <v>61000</v>
      </c>
      <c r="D747" s="5" t="str">
        <f>VLOOKUP(C747, 'DICIONÁRIO CNAES'!$A:$B, 2, FALSE)</f>
        <v>Telecomunicações</v>
      </c>
      <c r="E747" s="4">
        <v>11561.34388878</v>
      </c>
      <c r="F747" s="4">
        <v>14810447.244467</v>
      </c>
    </row>
    <row r="748" spans="1:6" x14ac:dyDescent="0.3">
      <c r="A748" s="3" t="s">
        <v>8</v>
      </c>
      <c r="B748" s="7" t="str">
        <f>VLOOKUP(VALUE(A748), 'DICIONÁRIO UF'!$A:$B, 2, FALSE)</f>
        <v>Pará</v>
      </c>
      <c r="C748" s="3">
        <v>62000</v>
      </c>
      <c r="D748" s="5" t="str">
        <f>VLOOKUP(C748, 'DICIONÁRIO CNAES'!$A:$B, 2, FALSE)</f>
        <v>Atividades dos serviços de tecnologia da informação</v>
      </c>
      <c r="E748" s="4">
        <v>4165.5238043700001</v>
      </c>
      <c r="F748" s="4">
        <v>7322056.0263109999</v>
      </c>
    </row>
    <row r="749" spans="1:6" x14ac:dyDescent="0.3">
      <c r="A749" s="3" t="s">
        <v>8</v>
      </c>
      <c r="B749" s="7" t="str">
        <f>VLOOKUP(VALUE(A749), 'DICIONÁRIO UF'!$A:$B, 2, FALSE)</f>
        <v>Pará</v>
      </c>
      <c r="C749" s="3">
        <v>63000</v>
      </c>
      <c r="D749" s="5" t="str">
        <f>VLOOKUP(C749, 'DICIONÁRIO CNAES'!$A:$B, 2, FALSE)</f>
        <v>Atividades de prestação de serviços de informação</v>
      </c>
      <c r="E749" s="4">
        <v>1039.4759979200001</v>
      </c>
      <c r="F749" s="4">
        <v>2240750.779813</v>
      </c>
    </row>
    <row r="750" spans="1:6" x14ac:dyDescent="0.3">
      <c r="A750" s="3" t="s">
        <v>8</v>
      </c>
      <c r="B750" s="7" t="str">
        <f>VLOOKUP(VALUE(A750), 'DICIONÁRIO UF'!$A:$B, 2, FALSE)</f>
        <v>Pará</v>
      </c>
      <c r="C750" s="3">
        <v>64000</v>
      </c>
      <c r="D750" s="5" t="str">
        <f>VLOOKUP(C750, 'DICIONÁRIO CNAES'!$A:$B, 2, FALSE)</f>
        <v>Serviços financeiros</v>
      </c>
      <c r="E750" s="4">
        <v>18601.565206169998</v>
      </c>
      <c r="F750" s="4">
        <v>104670858.56797341</v>
      </c>
    </row>
    <row r="751" spans="1:6" x14ac:dyDescent="0.3">
      <c r="A751" s="3" t="s">
        <v>8</v>
      </c>
      <c r="B751" s="7" t="str">
        <f>VLOOKUP(VALUE(A751), 'DICIONÁRIO UF'!$A:$B, 2, FALSE)</f>
        <v>Pará</v>
      </c>
      <c r="C751" s="3">
        <v>65000</v>
      </c>
      <c r="D751" s="5" t="str">
        <f>VLOOKUP(C751, 'DICIONÁRIO CNAES'!$A:$B, 2, FALSE)</f>
        <v>Seguros e previdência privada</v>
      </c>
      <c r="E751" s="4">
        <v>389.26483516000002</v>
      </c>
      <c r="F751" s="4">
        <v>973162.08790000004</v>
      </c>
    </row>
    <row r="752" spans="1:6" x14ac:dyDescent="0.3">
      <c r="A752" s="3" t="s">
        <v>8</v>
      </c>
      <c r="B752" s="7" t="str">
        <f>VLOOKUP(VALUE(A752), 'DICIONÁRIO UF'!$A:$B, 2, FALSE)</f>
        <v>Pará</v>
      </c>
      <c r="C752" s="3">
        <v>66001</v>
      </c>
      <c r="D752" s="5" t="str">
        <f>VLOOKUP(C752, 'DICIONÁRIO CNAES'!$A:$B, 2, FALSE)</f>
        <v>Atividades auxiliares dos serviços financeiros</v>
      </c>
      <c r="E752" s="4">
        <v>3243.9205605900002</v>
      </c>
      <c r="F752" s="4">
        <v>25557334.405225001</v>
      </c>
    </row>
    <row r="753" spans="1:6" x14ac:dyDescent="0.3">
      <c r="A753" s="3" t="s">
        <v>8</v>
      </c>
      <c r="B753" s="7" t="str">
        <f>VLOOKUP(VALUE(A753), 'DICIONÁRIO UF'!$A:$B, 2, FALSE)</f>
        <v>Pará</v>
      </c>
      <c r="C753" s="3">
        <v>68000</v>
      </c>
      <c r="D753" s="5" t="str">
        <f>VLOOKUP(C753, 'DICIONÁRIO CNAES'!$A:$B, 2, FALSE)</f>
        <v>Atividades imobiliárias</v>
      </c>
      <c r="E753" s="4">
        <v>9369.4058379199996</v>
      </c>
      <c r="F753" s="4">
        <v>46582810.934320003</v>
      </c>
    </row>
    <row r="754" spans="1:6" x14ac:dyDescent="0.3">
      <c r="A754" s="3" t="s">
        <v>8</v>
      </c>
      <c r="B754" s="7" t="str">
        <f>VLOOKUP(VALUE(A754), 'DICIONÁRIO UF'!$A:$B, 2, FALSE)</f>
        <v>Pará</v>
      </c>
      <c r="C754" s="3">
        <v>69000</v>
      </c>
      <c r="D754" s="5" t="str">
        <f>VLOOKUP(C754, 'DICIONÁRIO CNAES'!$A:$B, 2, FALSE)</f>
        <v xml:space="preserve">Atividades jurídicas, de contabilidade e de auditoria </v>
      </c>
      <c r="E754" s="4">
        <v>23007.43660692</v>
      </c>
      <c r="F754" s="4">
        <v>60576893.036762722</v>
      </c>
    </row>
    <row r="755" spans="1:6" x14ac:dyDescent="0.3">
      <c r="A755" s="3" t="s">
        <v>8</v>
      </c>
      <c r="B755" s="7" t="str">
        <f>VLOOKUP(VALUE(A755), 'DICIONÁRIO UF'!$A:$B, 2, FALSE)</f>
        <v>Pará</v>
      </c>
      <c r="C755" s="3">
        <v>70000</v>
      </c>
      <c r="D755" s="5" t="str">
        <f>VLOOKUP(C755, 'DICIONÁRIO CNAES'!$A:$B, 2, FALSE)</f>
        <v>Atividades de consultoria em gestão empresarial</v>
      </c>
      <c r="E755" s="4">
        <v>814.87444662000007</v>
      </c>
      <c r="F755" s="4">
        <v>4320565.84026</v>
      </c>
    </row>
    <row r="756" spans="1:6" x14ac:dyDescent="0.3">
      <c r="A756" s="3" t="s">
        <v>8</v>
      </c>
      <c r="B756" s="7" t="str">
        <f>VLOOKUP(VALUE(A756), 'DICIONÁRIO UF'!$A:$B, 2, FALSE)</f>
        <v>Pará</v>
      </c>
      <c r="C756" s="3">
        <v>71000</v>
      </c>
      <c r="D756" s="5" t="str">
        <f>VLOOKUP(C756, 'DICIONÁRIO CNAES'!$A:$B, 2, FALSE)</f>
        <v>Serviços de arquitetura e engenharia e atividades técnicas relacionadas; Testes e análises técnicas</v>
      </c>
      <c r="E756" s="4">
        <v>8584.3820516300002</v>
      </c>
      <c r="F756" s="4">
        <v>36900835.966840513</v>
      </c>
    </row>
    <row r="757" spans="1:6" x14ac:dyDescent="0.3">
      <c r="A757" s="3" t="s">
        <v>8</v>
      </c>
      <c r="B757" s="7" t="str">
        <f>VLOOKUP(VALUE(A757), 'DICIONÁRIO UF'!$A:$B, 2, FALSE)</f>
        <v>Pará</v>
      </c>
      <c r="C757" s="3">
        <v>72000</v>
      </c>
      <c r="D757" s="5" t="str">
        <f>VLOOKUP(C757, 'DICIONÁRIO CNAES'!$A:$B, 2, FALSE)</f>
        <v>Pesquisa e desenvolvimento científico</v>
      </c>
      <c r="E757" s="4">
        <v>3651.4093832100002</v>
      </c>
      <c r="F757" s="4">
        <v>13810548.756337</v>
      </c>
    </row>
    <row r="758" spans="1:6" x14ac:dyDescent="0.3">
      <c r="A758" s="3" t="s">
        <v>8</v>
      </c>
      <c r="B758" s="7" t="str">
        <f>VLOOKUP(VALUE(A758), 'DICIONÁRIO UF'!$A:$B, 2, FALSE)</f>
        <v>Pará</v>
      </c>
      <c r="C758" s="3">
        <v>73010</v>
      </c>
      <c r="D758" s="5" t="str">
        <f>VLOOKUP(C758, 'DICIONÁRIO CNAES'!$A:$B, 2, FALSE)</f>
        <v>Publicidade</v>
      </c>
      <c r="E758" s="4">
        <v>3731.9578057200001</v>
      </c>
      <c r="F758" s="4">
        <v>7882425.6420480004</v>
      </c>
    </row>
    <row r="759" spans="1:6" x14ac:dyDescent="0.3">
      <c r="A759" s="3" t="s">
        <v>8</v>
      </c>
      <c r="B759" s="7" t="str">
        <f>VLOOKUP(VALUE(A759), 'DICIONÁRIO UF'!$A:$B, 2, FALSE)</f>
        <v>Pará</v>
      </c>
      <c r="C759" s="3">
        <v>73020</v>
      </c>
      <c r="D759" s="5" t="str">
        <f>VLOOKUP(C759, 'DICIONÁRIO CNAES'!$A:$B, 2, FALSE)</f>
        <v>Pesquisas de mercado e opinião pública</v>
      </c>
      <c r="E759" s="4">
        <v>579.38308245999997</v>
      </c>
      <c r="F759" s="4">
        <v>579383.08245999995</v>
      </c>
    </row>
    <row r="760" spans="1:6" x14ac:dyDescent="0.3">
      <c r="A760" s="3" t="s">
        <v>8</v>
      </c>
      <c r="B760" s="7" t="str">
        <f>VLOOKUP(VALUE(A760), 'DICIONÁRIO UF'!$A:$B, 2, FALSE)</f>
        <v>Pará</v>
      </c>
      <c r="C760" s="3">
        <v>74000</v>
      </c>
      <c r="D760" s="5" t="str">
        <f>VLOOKUP(C760, 'DICIONÁRIO CNAES'!$A:$B, 2, FALSE)</f>
        <v>Outras atividades profissionais, científicas e técnicas não especificadas anteriormente</v>
      </c>
      <c r="E760" s="4">
        <v>5835.9618816299999</v>
      </c>
      <c r="F760" s="4">
        <v>12248529.936401499</v>
      </c>
    </row>
    <row r="761" spans="1:6" x14ac:dyDescent="0.3">
      <c r="A761" s="3" t="s">
        <v>8</v>
      </c>
      <c r="B761" s="7" t="str">
        <f>VLOOKUP(VALUE(A761), 'DICIONÁRIO UF'!$A:$B, 2, FALSE)</f>
        <v>Pará</v>
      </c>
      <c r="C761" s="3">
        <v>77010</v>
      </c>
      <c r="D761" s="5" t="str">
        <f>VLOOKUP(C761, 'DICIONÁRIO CNAES'!$A:$B, 2, FALSE)</f>
        <v>Aluguel de objetos pessoais e domésticos</v>
      </c>
      <c r="E761" s="4">
        <v>2131.7210484299999</v>
      </c>
      <c r="F761" s="4">
        <v>2219463.5023739999</v>
      </c>
    </row>
    <row r="762" spans="1:6" x14ac:dyDescent="0.3">
      <c r="A762" s="3" t="s">
        <v>8</v>
      </c>
      <c r="B762" s="7" t="str">
        <f>VLOOKUP(VALUE(A762), 'DICIONÁRIO UF'!$A:$B, 2, FALSE)</f>
        <v>Pará</v>
      </c>
      <c r="C762" s="3">
        <v>78000</v>
      </c>
      <c r="D762" s="5" t="str">
        <f>VLOOKUP(C762, 'DICIONÁRIO CNAES'!$A:$B, 2, FALSE)</f>
        <v>Seleção, agenciamento e locação de mão-de-obra</v>
      </c>
      <c r="E762" s="4">
        <v>17367.968182609999</v>
      </c>
      <c r="F762" s="4">
        <v>26499706.596390542</v>
      </c>
    </row>
    <row r="763" spans="1:6" x14ac:dyDescent="0.3">
      <c r="A763" s="3" t="s">
        <v>8</v>
      </c>
      <c r="B763" s="7" t="str">
        <f>VLOOKUP(VALUE(A763), 'DICIONÁRIO UF'!$A:$B, 2, FALSE)</f>
        <v>Pará</v>
      </c>
      <c r="C763" s="3">
        <v>80000</v>
      </c>
      <c r="D763" s="5" t="str">
        <f>VLOOKUP(C763, 'DICIONÁRIO CNAES'!$A:$B, 2, FALSE)</f>
        <v>Atividades de vigilância, segurança, transporte de valores e investigação</v>
      </c>
      <c r="E763" s="4">
        <v>20604.115281670001</v>
      </c>
      <c r="F763" s="4">
        <v>50794311.598609798</v>
      </c>
    </row>
    <row r="764" spans="1:6" x14ac:dyDescent="0.3">
      <c r="A764" s="3" t="s">
        <v>8</v>
      </c>
      <c r="B764" s="7" t="str">
        <f>VLOOKUP(VALUE(A764), 'DICIONÁRIO UF'!$A:$B, 2, FALSE)</f>
        <v>Pará</v>
      </c>
      <c r="C764" s="3">
        <v>81011</v>
      </c>
      <c r="D764" s="5" t="str">
        <f>VLOOKUP(C764, 'DICIONÁRIO CNAES'!$A:$B, 2, FALSE)</f>
        <v>Serviços de limpeza e de apoio a edifícios, exceto condomínios prediais</v>
      </c>
      <c r="E764" s="4">
        <v>22138.011051469999</v>
      </c>
      <c r="F764" s="4">
        <v>23369925.357882801</v>
      </c>
    </row>
    <row r="765" spans="1:6" x14ac:dyDescent="0.3">
      <c r="A765" s="3" t="s">
        <v>8</v>
      </c>
      <c r="B765" s="7" t="str">
        <f>VLOOKUP(VALUE(A765), 'DICIONÁRIO UF'!$A:$B, 2, FALSE)</f>
        <v>Pará</v>
      </c>
      <c r="C765" s="3">
        <v>81012</v>
      </c>
      <c r="D765" s="5" t="str">
        <f>VLOOKUP(C765, 'DICIONÁRIO CNAES'!$A:$B, 2, FALSE)</f>
        <v>Condomínios prediais</v>
      </c>
      <c r="E765" s="4">
        <v>5774.0771679299996</v>
      </c>
      <c r="F765" s="4">
        <v>7005564.3435461</v>
      </c>
    </row>
    <row r="766" spans="1:6" x14ac:dyDescent="0.3">
      <c r="A766" s="3" t="s">
        <v>8</v>
      </c>
      <c r="B766" s="7" t="str">
        <f>VLOOKUP(VALUE(A766), 'DICIONÁRIO UF'!$A:$B, 2, FALSE)</f>
        <v>Pará</v>
      </c>
      <c r="C766" s="3">
        <v>81020</v>
      </c>
      <c r="D766" s="5" t="str">
        <f>VLOOKUP(C766, 'DICIONÁRIO CNAES'!$A:$B, 2, FALSE)</f>
        <v>Atividades paisagísticas</v>
      </c>
      <c r="E766" s="4">
        <v>1859.1043443399999</v>
      </c>
      <c r="F766" s="4">
        <v>1521474.784118</v>
      </c>
    </row>
    <row r="767" spans="1:6" x14ac:dyDescent="0.3">
      <c r="A767" s="3" t="s">
        <v>8</v>
      </c>
      <c r="B767" s="7" t="str">
        <f>VLOOKUP(VALUE(A767), 'DICIONÁRIO UF'!$A:$B, 2, FALSE)</f>
        <v>Pará</v>
      </c>
      <c r="C767" s="3">
        <v>82001</v>
      </c>
      <c r="D767" s="5" t="str">
        <f>VLOOKUP(C767, 'DICIONÁRIO CNAES'!$A:$B, 2, FALSE)</f>
        <v>Serviços de escritório e apoio administrativo</v>
      </c>
      <c r="E767" s="4">
        <v>1315.22250368</v>
      </c>
      <c r="F767" s="4">
        <v>3221572.5706250998</v>
      </c>
    </row>
    <row r="768" spans="1:6" x14ac:dyDescent="0.3">
      <c r="A768" s="3" t="s">
        <v>8</v>
      </c>
      <c r="B768" s="7" t="str">
        <f>VLOOKUP(VALUE(A768), 'DICIONÁRIO UF'!$A:$B, 2, FALSE)</f>
        <v>Pará</v>
      </c>
      <c r="C768" s="3">
        <v>82002</v>
      </c>
      <c r="D768" s="5" t="str">
        <f>VLOOKUP(C768, 'DICIONÁRIO CNAES'!$A:$B, 2, FALSE)</f>
        <v>Atividades de teleatendimento</v>
      </c>
      <c r="E768" s="4">
        <v>430.85741557</v>
      </c>
      <c r="F768" s="4">
        <v>473943.15712699998</v>
      </c>
    </row>
    <row r="769" spans="1:6" x14ac:dyDescent="0.3">
      <c r="A769" s="3" t="s">
        <v>8</v>
      </c>
      <c r="B769" s="7" t="str">
        <f>VLOOKUP(VALUE(A769), 'DICIONÁRIO UF'!$A:$B, 2, FALSE)</f>
        <v>Pará</v>
      </c>
      <c r="C769" s="3">
        <v>82003</v>
      </c>
      <c r="D769" s="5" t="str">
        <f>VLOOKUP(C769, 'DICIONÁRIO CNAES'!$A:$B, 2, FALSE)</f>
        <v>Atividades de organização de eventos, exceto culturais e esportivos</v>
      </c>
      <c r="E769" s="4">
        <v>4146.0798059400004</v>
      </c>
      <c r="F769" s="4">
        <v>3727130.3042834001</v>
      </c>
    </row>
    <row r="770" spans="1:6" x14ac:dyDescent="0.3">
      <c r="A770" s="3" t="s">
        <v>8</v>
      </c>
      <c r="B770" s="7" t="str">
        <f>VLOOKUP(VALUE(A770), 'DICIONÁRIO UF'!$A:$B, 2, FALSE)</f>
        <v>Pará</v>
      </c>
      <c r="C770" s="3">
        <v>82009</v>
      </c>
      <c r="D770" s="5" t="str">
        <f>VLOOKUP(C770, 'DICIONÁRIO CNAES'!$A:$B, 2, FALSE)</f>
        <v>Outras atividades de serviços prestados principalmente às empresas</v>
      </c>
      <c r="E770" s="4">
        <v>7715.1625977100002</v>
      </c>
      <c r="F770" s="4">
        <v>14935490.147607001</v>
      </c>
    </row>
    <row r="771" spans="1:6" x14ac:dyDescent="0.3">
      <c r="A771" s="3" t="s">
        <v>8</v>
      </c>
      <c r="B771" s="7" t="str">
        <f>VLOOKUP(VALUE(A771), 'DICIONÁRIO UF'!$A:$B, 2, FALSE)</f>
        <v>Pará</v>
      </c>
      <c r="C771" s="3">
        <v>84011</v>
      </c>
      <c r="D771" s="5" t="str">
        <f>VLOOKUP(C771, 'DICIONÁRIO CNAES'!$A:$B, 2, FALSE)</f>
        <v>Administração publica e regulação da política econômica e social - Federal</v>
      </c>
      <c r="E771" s="4">
        <v>8719.40231485</v>
      </c>
      <c r="F771" s="4">
        <v>102794945.5156785</v>
      </c>
    </row>
    <row r="772" spans="1:6" x14ac:dyDescent="0.3">
      <c r="A772" s="3" t="s">
        <v>8</v>
      </c>
      <c r="B772" s="7" t="str">
        <f>VLOOKUP(VALUE(A772), 'DICIONÁRIO UF'!$A:$B, 2, FALSE)</f>
        <v>Pará</v>
      </c>
      <c r="C772" s="3">
        <v>84012</v>
      </c>
      <c r="D772" s="5" t="str">
        <f>VLOOKUP(C772, 'DICIONÁRIO CNAES'!$A:$B, 2, FALSE)</f>
        <v>Administração publica e regulação da política econômica e social - Estadual</v>
      </c>
      <c r="E772" s="4">
        <v>21663.681173509998</v>
      </c>
      <c r="F772" s="4">
        <v>107999724.62183911</v>
      </c>
    </row>
    <row r="773" spans="1:6" x14ac:dyDescent="0.3">
      <c r="A773" s="3" t="s">
        <v>8</v>
      </c>
      <c r="B773" s="7" t="str">
        <f>VLOOKUP(VALUE(A773), 'DICIONÁRIO UF'!$A:$B, 2, FALSE)</f>
        <v>Pará</v>
      </c>
      <c r="C773" s="3">
        <v>84013</v>
      </c>
      <c r="D773" s="5" t="str">
        <f>VLOOKUP(C773, 'DICIONÁRIO CNAES'!$A:$B, 2, FALSE)</f>
        <v>Administração publica e regulação da política econômica e social - Municipal</v>
      </c>
      <c r="E773" s="4">
        <v>91005.730128659998</v>
      </c>
      <c r="F773" s="4">
        <v>206522999.9687022</v>
      </c>
    </row>
    <row r="774" spans="1:6" x14ac:dyDescent="0.3">
      <c r="A774" s="3" t="s">
        <v>8</v>
      </c>
      <c r="B774" s="7" t="str">
        <f>VLOOKUP(VALUE(A774), 'DICIONÁRIO UF'!$A:$B, 2, FALSE)</f>
        <v>Pará</v>
      </c>
      <c r="C774" s="3">
        <v>84014</v>
      </c>
      <c r="D774" s="5" t="str">
        <f>VLOOKUP(C774, 'DICIONÁRIO CNAES'!$A:$B, 2, FALSE)</f>
        <v>Defesa</v>
      </c>
      <c r="E774" s="4">
        <v>7755.0633663099998</v>
      </c>
      <c r="F774" s="4">
        <v>27001457.996523</v>
      </c>
    </row>
    <row r="775" spans="1:6" x14ac:dyDescent="0.3">
      <c r="A775" s="3" t="s">
        <v>8</v>
      </c>
      <c r="B775" s="7" t="str">
        <f>VLOOKUP(VALUE(A775), 'DICIONÁRIO UF'!$A:$B, 2, FALSE)</f>
        <v>Pará</v>
      </c>
      <c r="C775" s="3">
        <v>84015</v>
      </c>
      <c r="D775" s="5" t="str">
        <f>VLOOKUP(C775, 'DICIONÁRIO CNAES'!$A:$B, 2, FALSE)</f>
        <v>Outros serviços coletivos prestados pela administração pública - Federal</v>
      </c>
      <c r="E775" s="4">
        <v>935.4267263700001</v>
      </c>
      <c r="F775" s="4">
        <v>2997847.8749259999</v>
      </c>
    </row>
    <row r="776" spans="1:6" x14ac:dyDescent="0.3">
      <c r="A776" s="3" t="s">
        <v>8</v>
      </c>
      <c r="B776" s="7" t="str">
        <f>VLOOKUP(VALUE(A776), 'DICIONÁRIO UF'!$A:$B, 2, FALSE)</f>
        <v>Pará</v>
      </c>
      <c r="C776" s="3">
        <v>84016</v>
      </c>
      <c r="D776" s="5" t="str">
        <f>VLOOKUP(C776, 'DICIONÁRIO CNAES'!$A:$B, 2, FALSE)</f>
        <v>Outros serviços coletivos prestados pela administração pública - Estadual</v>
      </c>
      <c r="E776" s="4">
        <v>39869.62225203</v>
      </c>
      <c r="F776" s="4">
        <v>269242933.72987509</v>
      </c>
    </row>
    <row r="777" spans="1:6" x14ac:dyDescent="0.3">
      <c r="A777" s="3" t="s">
        <v>8</v>
      </c>
      <c r="B777" s="7" t="str">
        <f>VLOOKUP(VALUE(A777), 'DICIONÁRIO UF'!$A:$B, 2, FALSE)</f>
        <v>Pará</v>
      </c>
      <c r="C777" s="3">
        <v>84017</v>
      </c>
      <c r="D777" s="5" t="str">
        <f>VLOOKUP(C777, 'DICIONÁRIO CNAES'!$A:$B, 2, FALSE)</f>
        <v>Outros serviços coletivos prestados pela administração pública - Municipal</v>
      </c>
      <c r="E777" s="4">
        <v>5079.3485707399996</v>
      </c>
      <c r="F777" s="4">
        <v>27724855.773092851</v>
      </c>
    </row>
    <row r="778" spans="1:6" x14ac:dyDescent="0.3">
      <c r="A778" s="3" t="s">
        <v>8</v>
      </c>
      <c r="B778" s="7" t="str">
        <f>VLOOKUP(VALUE(A778), 'DICIONÁRIO UF'!$A:$B, 2, FALSE)</f>
        <v>Pará</v>
      </c>
      <c r="C778" s="3">
        <v>84020</v>
      </c>
      <c r="D778" s="5" t="str">
        <f>VLOOKUP(C778, 'DICIONÁRIO CNAES'!$A:$B, 2, FALSE)</f>
        <v>Seguridade social obrigatória</v>
      </c>
      <c r="E778" s="4">
        <v>1552.7166665499999</v>
      </c>
      <c r="F778" s="4">
        <v>4323749.0231699999</v>
      </c>
    </row>
    <row r="779" spans="1:6" x14ac:dyDescent="0.3">
      <c r="A779" s="3" t="s">
        <v>8</v>
      </c>
      <c r="B779" s="7" t="str">
        <f>VLOOKUP(VALUE(A779), 'DICIONÁRIO UF'!$A:$B, 2, FALSE)</f>
        <v>Pará</v>
      </c>
      <c r="C779" s="3">
        <v>85011</v>
      </c>
      <c r="D779" s="5" t="str">
        <f>VLOOKUP(C779, 'DICIONÁRIO CNAES'!$A:$B, 2, FALSE)</f>
        <v>Creche</v>
      </c>
      <c r="E779" s="4">
        <v>16844.584334800002</v>
      </c>
      <c r="F779" s="4">
        <v>25818552.681273401</v>
      </c>
    </row>
    <row r="780" spans="1:6" x14ac:dyDescent="0.3">
      <c r="A780" s="3" t="s">
        <v>8</v>
      </c>
      <c r="B780" s="7" t="str">
        <f>VLOOKUP(VALUE(A780), 'DICIONÁRIO UF'!$A:$B, 2, FALSE)</f>
        <v>Pará</v>
      </c>
      <c r="C780" s="3">
        <v>85012</v>
      </c>
      <c r="D780" s="5" t="str">
        <f>VLOOKUP(C780, 'DICIONÁRIO CNAES'!$A:$B, 2, FALSE)</f>
        <v>Pré-escola e ensino fundamental</v>
      </c>
      <c r="E780" s="4">
        <v>157457.64480512001</v>
      </c>
      <c r="F780" s="4">
        <v>398344468.73104709</v>
      </c>
    </row>
    <row r="781" spans="1:6" x14ac:dyDescent="0.3">
      <c r="A781" s="3" t="s">
        <v>8</v>
      </c>
      <c r="B781" s="7" t="str">
        <f>VLOOKUP(VALUE(A781), 'DICIONÁRIO UF'!$A:$B, 2, FALSE)</f>
        <v>Pará</v>
      </c>
      <c r="C781" s="3">
        <v>85013</v>
      </c>
      <c r="D781" s="5" t="str">
        <f>VLOOKUP(C781, 'DICIONÁRIO CNAES'!$A:$B, 2, FALSE)</f>
        <v>Ensino médio</v>
      </c>
      <c r="E781" s="4">
        <v>41578.584754759999</v>
      </c>
      <c r="F781" s="4">
        <v>170285528.5810464</v>
      </c>
    </row>
    <row r="782" spans="1:6" x14ac:dyDescent="0.3">
      <c r="A782" s="3" t="s">
        <v>8</v>
      </c>
      <c r="B782" s="7" t="str">
        <f>VLOOKUP(VALUE(A782), 'DICIONÁRIO UF'!$A:$B, 2, FALSE)</f>
        <v>Pará</v>
      </c>
      <c r="C782" s="3">
        <v>85014</v>
      </c>
      <c r="D782" s="5" t="str">
        <f>VLOOKUP(C782, 'DICIONÁRIO CNAES'!$A:$B, 2, FALSE)</f>
        <v>Educação superior</v>
      </c>
      <c r="E782" s="4">
        <v>26572.971896480001</v>
      </c>
      <c r="F782" s="4">
        <v>163577300.29287601</v>
      </c>
    </row>
    <row r="783" spans="1:6" x14ac:dyDescent="0.3">
      <c r="A783" s="3" t="s">
        <v>8</v>
      </c>
      <c r="B783" s="7" t="str">
        <f>VLOOKUP(VALUE(A783), 'DICIONÁRIO UF'!$A:$B, 2, FALSE)</f>
        <v>Pará</v>
      </c>
      <c r="C783" s="3">
        <v>85029</v>
      </c>
      <c r="D783" s="5" t="str">
        <f>VLOOKUP(C783, 'DICIONÁRIO CNAES'!$A:$B, 2, FALSE)</f>
        <v>Outras atividades de ensino</v>
      </c>
      <c r="E783" s="4">
        <v>23023.202797829999</v>
      </c>
      <c r="F783" s="4">
        <v>33979791.5765329</v>
      </c>
    </row>
    <row r="784" spans="1:6" x14ac:dyDescent="0.3">
      <c r="A784" s="3" t="s">
        <v>8</v>
      </c>
      <c r="B784" s="7" t="str">
        <f>VLOOKUP(VALUE(A784), 'DICIONÁRIO UF'!$A:$B, 2, FALSE)</f>
        <v>Pará</v>
      </c>
      <c r="C784" s="3">
        <v>86001</v>
      </c>
      <c r="D784" s="5" t="str">
        <f>VLOOKUP(C784, 'DICIONÁRIO CNAES'!$A:$B, 2, FALSE)</f>
        <v>Atividades de atendimento hospitalar</v>
      </c>
      <c r="E784" s="4">
        <v>51231.498048840003</v>
      </c>
      <c r="F784" s="4">
        <v>138863713.52137771</v>
      </c>
    </row>
    <row r="785" spans="1:6" x14ac:dyDescent="0.3">
      <c r="A785" s="3" t="s">
        <v>8</v>
      </c>
      <c r="B785" s="7" t="str">
        <f>VLOOKUP(VALUE(A785), 'DICIONÁRIO UF'!$A:$B, 2, FALSE)</f>
        <v>Pará</v>
      </c>
      <c r="C785" s="3">
        <v>86002</v>
      </c>
      <c r="D785" s="5" t="str">
        <f>VLOOKUP(C785, 'DICIONÁRIO CNAES'!$A:$B, 2, FALSE)</f>
        <v>Atividades de atenção ambulatorial executadas por médicos e odontólogos</v>
      </c>
      <c r="E785" s="4">
        <v>49061.779423690001</v>
      </c>
      <c r="F785" s="4">
        <v>126957603.6242038</v>
      </c>
    </row>
    <row r="786" spans="1:6" x14ac:dyDescent="0.3">
      <c r="A786" s="3" t="s">
        <v>8</v>
      </c>
      <c r="B786" s="7" t="str">
        <f>VLOOKUP(VALUE(A786), 'DICIONÁRIO UF'!$A:$B, 2, FALSE)</f>
        <v>Pará</v>
      </c>
      <c r="C786" s="3">
        <v>86003</v>
      </c>
      <c r="D786" s="5" t="str">
        <f>VLOOKUP(C786, 'DICIONÁRIO CNAES'!$A:$B, 2, FALSE)</f>
        <v>Atividades de serviços de complementação diagnóstica e terapêutica</v>
      </c>
      <c r="E786" s="4">
        <v>7011.56987811</v>
      </c>
      <c r="F786" s="4">
        <v>12389490.377704</v>
      </c>
    </row>
    <row r="787" spans="1:6" x14ac:dyDescent="0.3">
      <c r="A787" s="3" t="s">
        <v>8</v>
      </c>
      <c r="B787" s="7" t="str">
        <f>VLOOKUP(VALUE(A787), 'DICIONÁRIO UF'!$A:$B, 2, FALSE)</f>
        <v>Pará</v>
      </c>
      <c r="C787" s="3">
        <v>86004</v>
      </c>
      <c r="D787" s="5" t="str">
        <f>VLOOKUP(C787, 'DICIONÁRIO CNAES'!$A:$B, 2, FALSE)</f>
        <v>Atividades de profissionais da área de saúde, exceto médicos e odontólogos</v>
      </c>
      <c r="E787" s="4">
        <v>4410.49242065</v>
      </c>
      <c r="F787" s="4">
        <v>9235536.9877372012</v>
      </c>
    </row>
    <row r="788" spans="1:6" x14ac:dyDescent="0.3">
      <c r="A788" s="3" t="s">
        <v>8</v>
      </c>
      <c r="B788" s="7" t="str">
        <f>VLOOKUP(VALUE(A788), 'DICIONÁRIO UF'!$A:$B, 2, FALSE)</f>
        <v>Pará</v>
      </c>
      <c r="C788" s="3">
        <v>86009</v>
      </c>
      <c r="D788" s="5" t="str">
        <f>VLOOKUP(C788, 'DICIONÁRIO CNAES'!$A:$B, 2, FALSE)</f>
        <v>Atividades de atenção à saúde humana não especificadas anteriormente</v>
      </c>
      <c r="E788" s="4">
        <v>7145.9044785799997</v>
      </c>
      <c r="F788" s="4">
        <v>26858229.9079675</v>
      </c>
    </row>
    <row r="789" spans="1:6" x14ac:dyDescent="0.3">
      <c r="A789" s="3" t="s">
        <v>8</v>
      </c>
      <c r="B789" s="7" t="str">
        <f>VLOOKUP(VALUE(A789), 'DICIONÁRIO UF'!$A:$B, 2, FALSE)</f>
        <v>Pará</v>
      </c>
      <c r="C789" s="3">
        <v>87000</v>
      </c>
      <c r="D789" s="5" t="str">
        <f>VLOOKUP(C789, 'DICIONÁRIO CNAES'!$A:$B, 2, FALSE)</f>
        <v>Atividades de assistência à saude humana integradas com assistencia social, inclusive prestadas em residencias</v>
      </c>
      <c r="E789" s="4">
        <v>4760.4086464000002</v>
      </c>
      <c r="F789" s="4">
        <v>10032099.1823516</v>
      </c>
    </row>
    <row r="790" spans="1:6" x14ac:dyDescent="0.3">
      <c r="A790" s="3" t="s">
        <v>8</v>
      </c>
      <c r="B790" s="7" t="str">
        <f>VLOOKUP(VALUE(A790), 'DICIONÁRIO UF'!$A:$B, 2, FALSE)</f>
        <v>Pará</v>
      </c>
      <c r="C790" s="3">
        <v>88000</v>
      </c>
      <c r="D790" s="5" t="str">
        <f>VLOOKUP(C790, 'DICIONÁRIO CNAES'!$A:$B, 2, FALSE)</f>
        <v>Serviços de assistência social sem alojamento</v>
      </c>
      <c r="E790" s="4">
        <v>469.57168883000003</v>
      </c>
      <c r="F790" s="4">
        <v>516528.85771299998</v>
      </c>
    </row>
    <row r="791" spans="1:6" x14ac:dyDescent="0.3">
      <c r="A791" s="3" t="s">
        <v>8</v>
      </c>
      <c r="B791" s="7" t="str">
        <f>VLOOKUP(VALUE(A791), 'DICIONÁRIO UF'!$A:$B, 2, FALSE)</f>
        <v>Pará</v>
      </c>
      <c r="C791" s="3">
        <v>90000</v>
      </c>
      <c r="D791" s="5" t="str">
        <f>VLOOKUP(C791, 'DICIONÁRIO CNAES'!$A:$B, 2, FALSE)</f>
        <v>Atividades artísticas, criativas e de espetáculos</v>
      </c>
      <c r="E791" s="4">
        <v>5634.9897871000003</v>
      </c>
      <c r="F791" s="4">
        <v>5391740.5810372001</v>
      </c>
    </row>
    <row r="792" spans="1:6" x14ac:dyDescent="0.3">
      <c r="A792" s="3" t="s">
        <v>8</v>
      </c>
      <c r="B792" s="7" t="str">
        <f>VLOOKUP(VALUE(A792), 'DICIONÁRIO UF'!$A:$B, 2, FALSE)</f>
        <v>Pará</v>
      </c>
      <c r="C792" s="3">
        <v>91000</v>
      </c>
      <c r="D792" s="5" t="str">
        <f>VLOOKUP(C792, 'DICIONÁRIO CNAES'!$A:$B, 2, FALSE)</f>
        <v>Atividades ligadas ao patrimônio cultural e ambiental</v>
      </c>
      <c r="E792" s="4">
        <v>1814.7350801499999</v>
      </c>
      <c r="F792" s="4">
        <v>1263528.0442562001</v>
      </c>
    </row>
    <row r="793" spans="1:6" x14ac:dyDescent="0.3">
      <c r="A793" s="3" t="s">
        <v>8</v>
      </c>
      <c r="B793" s="7" t="str">
        <f>VLOOKUP(VALUE(A793), 'DICIONÁRIO UF'!$A:$B, 2, FALSE)</f>
        <v>Pará</v>
      </c>
      <c r="C793" s="3">
        <v>92000</v>
      </c>
      <c r="D793" s="5" t="str">
        <f>VLOOKUP(C793, 'DICIONÁRIO CNAES'!$A:$B, 2, FALSE)</f>
        <v>Atividades de exploração de jogos de azar e apostas</v>
      </c>
      <c r="E793" s="4">
        <v>6012.9979537999998</v>
      </c>
      <c r="F793" s="4">
        <v>12428152.342834</v>
      </c>
    </row>
    <row r="794" spans="1:6" x14ac:dyDescent="0.3">
      <c r="A794" s="3" t="s">
        <v>8</v>
      </c>
      <c r="B794" s="7" t="str">
        <f>VLOOKUP(VALUE(A794), 'DICIONÁRIO UF'!$A:$B, 2, FALSE)</f>
        <v>Pará</v>
      </c>
      <c r="C794" s="3">
        <v>93011</v>
      </c>
      <c r="D794" s="5" t="str">
        <f>VLOOKUP(C794, 'DICIONÁRIO CNAES'!$A:$B, 2, FALSE)</f>
        <v>Atividades esportivas</v>
      </c>
      <c r="E794" s="4">
        <v>5235.63749353</v>
      </c>
      <c r="F794" s="4">
        <v>5202463.4707335001</v>
      </c>
    </row>
    <row r="795" spans="1:6" x14ac:dyDescent="0.3">
      <c r="A795" s="3" t="s">
        <v>8</v>
      </c>
      <c r="B795" s="7" t="str">
        <f>VLOOKUP(VALUE(A795), 'DICIONÁRIO UF'!$A:$B, 2, FALSE)</f>
        <v>Pará</v>
      </c>
      <c r="C795" s="3">
        <v>93012</v>
      </c>
      <c r="D795" s="5" t="str">
        <f>VLOOKUP(C795, 'DICIONÁRIO CNAES'!$A:$B, 2, FALSE)</f>
        <v>Atividades de condicionamento físico</v>
      </c>
      <c r="E795" s="4">
        <v>12305.52260321</v>
      </c>
      <c r="F795" s="4">
        <v>30887150.211679999</v>
      </c>
    </row>
    <row r="796" spans="1:6" x14ac:dyDescent="0.3">
      <c r="A796" s="3" t="s">
        <v>8</v>
      </c>
      <c r="B796" s="7" t="str">
        <f>VLOOKUP(VALUE(A796), 'DICIONÁRIO UF'!$A:$B, 2, FALSE)</f>
        <v>Pará</v>
      </c>
      <c r="C796" s="3">
        <v>93020</v>
      </c>
      <c r="D796" s="5" t="str">
        <f>VLOOKUP(C796, 'DICIONÁRIO CNAES'!$A:$B, 2, FALSE)</f>
        <v>Atividades de recreação e lazer</v>
      </c>
      <c r="E796" s="4">
        <v>2153.5415408700001</v>
      </c>
      <c r="F796" s="4">
        <v>2208715.7207836998</v>
      </c>
    </row>
    <row r="797" spans="1:6" x14ac:dyDescent="0.3">
      <c r="A797" s="3" t="s">
        <v>8</v>
      </c>
      <c r="B797" s="7" t="str">
        <f>VLOOKUP(VALUE(A797), 'DICIONÁRIO UF'!$A:$B, 2, FALSE)</f>
        <v>Pará</v>
      </c>
      <c r="C797" s="3">
        <v>94010</v>
      </c>
      <c r="D797" s="5" t="str">
        <f>VLOOKUP(C797, 'DICIONÁRIO CNAES'!$A:$B, 2, FALSE)</f>
        <v>Atividades de organizações associativas patronais, empresariais e profissionais</v>
      </c>
      <c r="E797" s="4">
        <v>484.98102531000001</v>
      </c>
      <c r="F797" s="4">
        <v>1697433.588585</v>
      </c>
    </row>
    <row r="798" spans="1:6" x14ac:dyDescent="0.3">
      <c r="A798" s="3" t="s">
        <v>8</v>
      </c>
      <c r="B798" s="7" t="str">
        <f>VLOOKUP(VALUE(A798), 'DICIONÁRIO UF'!$A:$B, 2, FALSE)</f>
        <v>Pará</v>
      </c>
      <c r="C798" s="3">
        <v>94020</v>
      </c>
      <c r="D798" s="5" t="str">
        <f>VLOOKUP(C798, 'DICIONÁRIO CNAES'!$A:$B, 2, FALSE)</f>
        <v>Atividades de organizações sindicais</v>
      </c>
      <c r="E798" s="4">
        <v>554.99120092999999</v>
      </c>
      <c r="F798" s="4">
        <v>1581145.0429245001</v>
      </c>
    </row>
    <row r="799" spans="1:6" x14ac:dyDescent="0.3">
      <c r="A799" s="3" t="s">
        <v>8</v>
      </c>
      <c r="B799" s="7" t="str">
        <f>VLOOKUP(VALUE(A799), 'DICIONÁRIO UF'!$A:$B, 2, FALSE)</f>
        <v>Pará</v>
      </c>
      <c r="C799" s="3">
        <v>94091</v>
      </c>
      <c r="D799" s="5" t="str">
        <f>VLOOKUP(C799, 'DICIONÁRIO CNAES'!$A:$B, 2, FALSE)</f>
        <v>Atividades de organizações religiosas e filosóficas</v>
      </c>
      <c r="E799" s="4">
        <v>8199.2243062899997</v>
      </c>
      <c r="F799" s="4">
        <v>14239255.2435595</v>
      </c>
    </row>
    <row r="800" spans="1:6" x14ac:dyDescent="0.3">
      <c r="A800" s="3" t="s">
        <v>8</v>
      </c>
      <c r="B800" s="7" t="str">
        <f>VLOOKUP(VALUE(A800), 'DICIONÁRIO UF'!$A:$B, 2, FALSE)</f>
        <v>Pará</v>
      </c>
      <c r="C800" s="3">
        <v>94099</v>
      </c>
      <c r="D800" s="5" t="str">
        <f>VLOOKUP(C800, 'DICIONÁRIO CNAES'!$A:$B, 2, FALSE)</f>
        <v xml:space="preserve">Outras atividades associativas não especificadas anteriormente </v>
      </c>
      <c r="E800" s="4">
        <v>2184.69876716</v>
      </c>
      <c r="F800" s="4">
        <v>5391759.8032700997</v>
      </c>
    </row>
    <row r="801" spans="1:6" x14ac:dyDescent="0.3">
      <c r="A801" s="3" t="s">
        <v>8</v>
      </c>
      <c r="B801" s="7" t="str">
        <f>VLOOKUP(VALUE(A801), 'DICIONÁRIO UF'!$A:$B, 2, FALSE)</f>
        <v>Pará</v>
      </c>
      <c r="C801" s="3">
        <v>95010</v>
      </c>
      <c r="D801" s="5" t="str">
        <f>VLOOKUP(C801, 'DICIONÁRIO CNAES'!$A:$B, 2, FALSE)</f>
        <v>Reparação e manutenção de equipamentos de informática e comunicação</v>
      </c>
      <c r="E801" s="4">
        <v>12930.94804743</v>
      </c>
      <c r="F801" s="4">
        <v>24038909.076333001</v>
      </c>
    </row>
    <row r="802" spans="1:6" x14ac:dyDescent="0.3">
      <c r="A802" s="3" t="s">
        <v>8</v>
      </c>
      <c r="B802" s="7" t="str">
        <f>VLOOKUP(VALUE(A802), 'DICIONÁRIO UF'!$A:$B, 2, FALSE)</f>
        <v>Pará</v>
      </c>
      <c r="C802" s="3">
        <v>95030</v>
      </c>
      <c r="D802" s="5" t="str">
        <f>VLOOKUP(C802, 'DICIONÁRIO CNAES'!$A:$B, 2, FALSE)</f>
        <v>Reparação e manutenção de objetos e equipamentos pessoais e domésticos</v>
      </c>
      <c r="E802" s="4">
        <v>19169.626523629999</v>
      </c>
      <c r="F802" s="4">
        <v>26666263.973958001</v>
      </c>
    </row>
    <row r="803" spans="1:6" x14ac:dyDescent="0.3">
      <c r="A803" s="3" t="s">
        <v>8</v>
      </c>
      <c r="B803" s="7" t="str">
        <f>VLOOKUP(VALUE(A803), 'DICIONÁRIO UF'!$A:$B, 2, FALSE)</f>
        <v>Pará</v>
      </c>
      <c r="C803" s="3">
        <v>96010</v>
      </c>
      <c r="D803" s="5" t="str">
        <f>VLOOKUP(C803, 'DICIONÁRIO CNAES'!$A:$B, 2, FALSE)</f>
        <v>Lavanderias, tinturarias e toalheiros</v>
      </c>
      <c r="E803" s="4">
        <v>4969.6775287600003</v>
      </c>
      <c r="F803" s="4">
        <v>4182394.6427239999</v>
      </c>
    </row>
    <row r="804" spans="1:6" x14ac:dyDescent="0.3">
      <c r="A804" s="3" t="s">
        <v>8</v>
      </c>
      <c r="B804" s="7" t="str">
        <f>VLOOKUP(VALUE(A804), 'DICIONÁRIO UF'!$A:$B, 2, FALSE)</f>
        <v>Pará</v>
      </c>
      <c r="C804" s="3">
        <v>96020</v>
      </c>
      <c r="D804" s="5" t="str">
        <f>VLOOKUP(C804, 'DICIONÁRIO CNAES'!$A:$B, 2, FALSE)</f>
        <v>Cabeleireiros e outras atividades de tratamento de beleza</v>
      </c>
      <c r="E804" s="4">
        <v>85749.325983029994</v>
      </c>
      <c r="F804" s="4">
        <v>82264082.8078738</v>
      </c>
    </row>
    <row r="805" spans="1:6" x14ac:dyDescent="0.3">
      <c r="A805" s="3" t="s">
        <v>8</v>
      </c>
      <c r="B805" s="7" t="str">
        <f>VLOOKUP(VALUE(A805), 'DICIONÁRIO UF'!$A:$B, 2, FALSE)</f>
        <v>Pará</v>
      </c>
      <c r="C805" s="3">
        <v>96030</v>
      </c>
      <c r="D805" s="5" t="str">
        <f>VLOOKUP(C805, 'DICIONÁRIO CNAES'!$A:$B, 2, FALSE)</f>
        <v xml:space="preserve">Atividades funerárias e serviços relacionados </v>
      </c>
      <c r="E805" s="4">
        <v>1590.19816442</v>
      </c>
      <c r="F805" s="4">
        <v>1749217.980862</v>
      </c>
    </row>
    <row r="806" spans="1:6" x14ac:dyDescent="0.3">
      <c r="A806" s="3" t="s">
        <v>8</v>
      </c>
      <c r="B806" s="7" t="str">
        <f>VLOOKUP(VALUE(A806), 'DICIONÁRIO UF'!$A:$B, 2, FALSE)</f>
        <v>Pará</v>
      </c>
      <c r="C806" s="3">
        <v>96090</v>
      </c>
      <c r="D806" s="5" t="str">
        <f>VLOOKUP(C806, 'DICIONÁRIO CNAES'!$A:$B, 2, FALSE)</f>
        <v>Outras atividades de serviços pessoais</v>
      </c>
      <c r="E806" s="4">
        <v>13265.294364199999</v>
      </c>
      <c r="F806" s="4">
        <v>35078511.432188161</v>
      </c>
    </row>
    <row r="807" spans="1:6" x14ac:dyDescent="0.3">
      <c r="A807" s="3" t="s">
        <v>8</v>
      </c>
      <c r="B807" s="7" t="str">
        <f>VLOOKUP(VALUE(A807), 'DICIONÁRIO UF'!$A:$B, 2, FALSE)</f>
        <v>Pará</v>
      </c>
      <c r="C807" s="3">
        <v>97000</v>
      </c>
      <c r="D807" s="5" t="str">
        <f>VLOOKUP(C807, 'DICIONÁRIO CNAES'!$A:$B, 2, FALSE)</f>
        <v>Serviços domésticos</v>
      </c>
      <c r="E807" s="4">
        <v>179223.35984660999</v>
      </c>
      <c r="F807" s="4">
        <v>126874161.0273156</v>
      </c>
    </row>
    <row r="808" spans="1:6" x14ac:dyDescent="0.3">
      <c r="A808" s="3" t="s">
        <v>9</v>
      </c>
      <c r="B808" s="7" t="str">
        <f>VLOOKUP(VALUE(A808), 'DICIONÁRIO UF'!$A:$B, 2, FALSE)</f>
        <v>Amapá</v>
      </c>
      <c r="C808" s="3">
        <v>1102</v>
      </c>
      <c r="D808" s="5" t="str">
        <f>VLOOKUP(C808, 'DICIONÁRIO CNAES'!$A:$B, 2, FALSE)</f>
        <v>Cultivo de milho</v>
      </c>
      <c r="E808" s="4">
        <v>816.97292892999997</v>
      </c>
      <c r="F808" s="4">
        <v>897092.59693799994</v>
      </c>
    </row>
    <row r="809" spans="1:6" x14ac:dyDescent="0.3">
      <c r="A809" s="3" t="s">
        <v>9</v>
      </c>
      <c r="B809" s="7" t="str">
        <f>VLOOKUP(VALUE(A809), 'DICIONÁRIO UF'!$A:$B, 2, FALSE)</f>
        <v>Amapá</v>
      </c>
      <c r="C809" s="3">
        <v>1108</v>
      </c>
      <c r="D809" s="5" t="str">
        <f>VLOOKUP(C809, 'DICIONÁRIO CNAES'!$A:$B, 2, FALSE)</f>
        <v>Cultivo de mandioca</v>
      </c>
      <c r="E809" s="4">
        <v>9201.9573627099999</v>
      </c>
      <c r="F809" s="4">
        <v>6942325.3011205001</v>
      </c>
    </row>
    <row r="810" spans="1:6" x14ac:dyDescent="0.3">
      <c r="A810" s="3" t="s">
        <v>9</v>
      </c>
      <c r="B810" s="7" t="str">
        <f>VLOOKUP(VALUE(A810), 'DICIONÁRIO UF'!$A:$B, 2, FALSE)</f>
        <v>Amapá</v>
      </c>
      <c r="C810" s="3">
        <v>1110</v>
      </c>
      <c r="D810" s="5" t="str">
        <f>VLOOKUP(C810, 'DICIONÁRIO CNAES'!$A:$B, 2, FALSE)</f>
        <v>Horticultura</v>
      </c>
      <c r="E810" s="4">
        <v>3788.1273263899998</v>
      </c>
      <c r="F810" s="4">
        <v>3889412.9631384001</v>
      </c>
    </row>
    <row r="811" spans="1:6" x14ac:dyDescent="0.3">
      <c r="A811" s="3" t="s">
        <v>9</v>
      </c>
      <c r="B811" s="7" t="str">
        <f>VLOOKUP(VALUE(A811), 'DICIONÁRIO UF'!$A:$B, 2, FALSE)</f>
        <v>Amapá</v>
      </c>
      <c r="C811" s="3">
        <v>1116</v>
      </c>
      <c r="D811" s="5" t="str">
        <f>VLOOKUP(C811, 'DICIONÁRIO CNAES'!$A:$B, 2, FALSE)</f>
        <v>Cultivo de banana</v>
      </c>
      <c r="E811" s="4">
        <v>145.09903897000001</v>
      </c>
      <c r="F811" s="4">
        <v>14509.903897</v>
      </c>
    </row>
    <row r="812" spans="1:6" x14ac:dyDescent="0.3">
      <c r="A812" s="3" t="s">
        <v>9</v>
      </c>
      <c r="B812" s="7" t="str">
        <f>VLOOKUP(VALUE(A812), 'DICIONÁRIO UF'!$A:$B, 2, FALSE)</f>
        <v>Amapá</v>
      </c>
      <c r="C812" s="3">
        <v>1117</v>
      </c>
      <c r="D812" s="5" t="str">
        <f>VLOOKUP(C812, 'DICIONÁRIO CNAES'!$A:$B, 2, FALSE)</f>
        <v>Cultivo de outras plantas e frutas de lavoura permanente não especificadas anteriormente</v>
      </c>
      <c r="E812" s="4">
        <v>2395.4284384699999</v>
      </c>
      <c r="F812" s="4">
        <v>1843323.10273345</v>
      </c>
    </row>
    <row r="813" spans="1:6" x14ac:dyDescent="0.3">
      <c r="A813" s="3" t="s">
        <v>9</v>
      </c>
      <c r="B813" s="7" t="str">
        <f>VLOOKUP(VALUE(A813), 'DICIONÁRIO UF'!$A:$B, 2, FALSE)</f>
        <v>Amapá</v>
      </c>
      <c r="C813" s="3">
        <v>1119</v>
      </c>
      <c r="D813" s="5" t="str">
        <f>VLOOKUP(C813, 'DICIONÁRIO CNAES'!$A:$B, 2, FALSE)</f>
        <v>Lavoura não especificada</v>
      </c>
      <c r="E813" s="4">
        <v>495.33875876000002</v>
      </c>
      <c r="F813" s="4">
        <v>136576.6867505</v>
      </c>
    </row>
    <row r="814" spans="1:6" x14ac:dyDescent="0.3">
      <c r="A814" s="3" t="s">
        <v>9</v>
      </c>
      <c r="B814" s="7" t="str">
        <f>VLOOKUP(VALUE(A814), 'DICIONÁRIO UF'!$A:$B, 2, FALSE)</f>
        <v>Amapá</v>
      </c>
      <c r="C814" s="3">
        <v>1201</v>
      </c>
      <c r="D814" s="5" t="str">
        <f>VLOOKUP(C814, 'DICIONÁRIO CNAES'!$A:$B, 2, FALSE)</f>
        <v>Criação de bovinos</v>
      </c>
      <c r="E814" s="4">
        <v>661.4851731</v>
      </c>
      <c r="F814" s="4">
        <v>738973.60273200006</v>
      </c>
    </row>
    <row r="815" spans="1:6" x14ac:dyDescent="0.3">
      <c r="A815" s="3" t="s">
        <v>9</v>
      </c>
      <c r="B815" s="7" t="str">
        <f>VLOOKUP(VALUE(A815), 'DICIONÁRIO UF'!$A:$B, 2, FALSE)</f>
        <v>Amapá</v>
      </c>
      <c r="C815" s="3">
        <v>1202</v>
      </c>
      <c r="D815" s="5" t="str">
        <f>VLOOKUP(C815, 'DICIONÁRIO CNAES'!$A:$B, 2, FALSE)</f>
        <v>Criação de outros animais de grande porte não especificados anteriormente</v>
      </c>
      <c r="E815" s="4">
        <v>144.25146344999999</v>
      </c>
      <c r="F815" s="4">
        <v>360628.65862499998</v>
      </c>
    </row>
    <row r="816" spans="1:6" x14ac:dyDescent="0.3">
      <c r="A816" s="3" t="s">
        <v>9</v>
      </c>
      <c r="B816" s="7" t="str">
        <f>VLOOKUP(VALUE(A816), 'DICIONÁRIO UF'!$A:$B, 2, FALSE)</f>
        <v>Amapá</v>
      </c>
      <c r="C816" s="3">
        <v>1205</v>
      </c>
      <c r="D816" s="5" t="str">
        <f>VLOOKUP(C816, 'DICIONÁRIO CNAES'!$A:$B, 2, FALSE)</f>
        <v>Criação de aves</v>
      </c>
      <c r="E816" s="4">
        <v>1079.85799062</v>
      </c>
      <c r="F816" s="4">
        <v>763674.59236999985</v>
      </c>
    </row>
    <row r="817" spans="1:6" x14ac:dyDescent="0.3">
      <c r="A817" s="3" t="s">
        <v>9</v>
      </c>
      <c r="B817" s="7" t="str">
        <f>VLOOKUP(VALUE(A817), 'DICIONÁRIO UF'!$A:$B, 2, FALSE)</f>
        <v>Amapá</v>
      </c>
      <c r="C817" s="3">
        <v>1401</v>
      </c>
      <c r="D817" s="5" t="str">
        <f>VLOOKUP(C817, 'DICIONÁRIO CNAES'!$A:$B, 2, FALSE)</f>
        <v>Atividades de apoio à agricultura e pós-colheita</v>
      </c>
      <c r="E817" s="4">
        <v>888.92761210000003</v>
      </c>
      <c r="F817" s="4">
        <v>262892.06626699999</v>
      </c>
    </row>
    <row r="818" spans="1:6" x14ac:dyDescent="0.3">
      <c r="A818" s="3" t="s">
        <v>9</v>
      </c>
      <c r="B818" s="7" t="str">
        <f>VLOOKUP(VALUE(A818), 'DICIONÁRIO UF'!$A:$B, 2, FALSE)</f>
        <v>Amapá</v>
      </c>
      <c r="C818" s="3">
        <v>1402</v>
      </c>
      <c r="D818" s="5" t="str">
        <f>VLOOKUP(C818, 'DICIONÁRIO CNAES'!$A:$B, 2, FALSE)</f>
        <v xml:space="preserve">Atividades de apoio à pecuária </v>
      </c>
      <c r="E818" s="4">
        <v>147.11958361999999</v>
      </c>
      <c r="F818" s="4">
        <v>147119.58361999999</v>
      </c>
    </row>
    <row r="819" spans="1:6" x14ac:dyDescent="0.3">
      <c r="A819" s="3" t="s">
        <v>9</v>
      </c>
      <c r="B819" s="7" t="str">
        <f>VLOOKUP(VALUE(A819), 'DICIONÁRIO UF'!$A:$B, 2, FALSE)</f>
        <v>Amapá</v>
      </c>
      <c r="C819" s="3">
        <v>2000</v>
      </c>
      <c r="D819" s="5" t="str">
        <f>VLOOKUP(C819, 'DICIONÁRIO CNAES'!$A:$B, 2, FALSE)</f>
        <v xml:space="preserve">Produção florestal </v>
      </c>
      <c r="E819" s="4">
        <v>2034.66049088</v>
      </c>
      <c r="F819" s="4">
        <v>3328862.7281840001</v>
      </c>
    </row>
    <row r="820" spans="1:6" x14ac:dyDescent="0.3">
      <c r="A820" s="3" t="s">
        <v>9</v>
      </c>
      <c r="B820" s="7" t="str">
        <f>VLOOKUP(VALUE(A820), 'DICIONÁRIO UF'!$A:$B, 2, FALSE)</f>
        <v>Amapá</v>
      </c>
      <c r="C820" s="3">
        <v>3001</v>
      </c>
      <c r="D820" s="5" t="str">
        <f>VLOOKUP(C820, 'DICIONÁRIO CNAES'!$A:$B, 2, FALSE)</f>
        <v>Pesca</v>
      </c>
      <c r="E820" s="4">
        <v>2690.00690063</v>
      </c>
      <c r="F820" s="4">
        <v>2029934.268191</v>
      </c>
    </row>
    <row r="821" spans="1:6" x14ac:dyDescent="0.3">
      <c r="A821" s="3" t="s">
        <v>9</v>
      </c>
      <c r="B821" s="7" t="str">
        <f>VLOOKUP(VALUE(A821), 'DICIONÁRIO UF'!$A:$B, 2, FALSE)</f>
        <v>Amapá</v>
      </c>
      <c r="C821" s="3">
        <v>7001</v>
      </c>
      <c r="D821" s="5" t="str">
        <f>VLOOKUP(C821, 'DICIONÁRIO CNAES'!$A:$B, 2, FALSE)</f>
        <v>Extração de minérios de metais preciosos</v>
      </c>
      <c r="E821" s="4">
        <v>1173.98776703</v>
      </c>
      <c r="F821" s="4">
        <v>2785642.7156779999</v>
      </c>
    </row>
    <row r="822" spans="1:6" x14ac:dyDescent="0.3">
      <c r="A822" s="3" t="s">
        <v>9</v>
      </c>
      <c r="B822" s="7" t="str">
        <f>VLOOKUP(VALUE(A822), 'DICIONÁRIO UF'!$A:$B, 2, FALSE)</f>
        <v>Amapá</v>
      </c>
      <c r="C822" s="3">
        <v>7002</v>
      </c>
      <c r="D822" s="5" t="str">
        <f>VLOOKUP(C822, 'DICIONÁRIO CNAES'!$A:$B, 2, FALSE)</f>
        <v xml:space="preserve">Extração de minerais metálicos não especificados anteriormente </v>
      </c>
      <c r="E822" s="4">
        <v>435.17714768000002</v>
      </c>
      <c r="F822" s="4">
        <v>1128888.3099730001</v>
      </c>
    </row>
    <row r="823" spans="1:6" x14ac:dyDescent="0.3">
      <c r="A823" s="3" t="s">
        <v>9</v>
      </c>
      <c r="B823" s="7" t="str">
        <f>VLOOKUP(VALUE(A823), 'DICIONÁRIO UF'!$A:$B, 2, FALSE)</f>
        <v>Amapá</v>
      </c>
      <c r="C823" s="3">
        <v>9000</v>
      </c>
      <c r="D823" s="5" t="str">
        <f>VLOOKUP(C823, 'DICIONÁRIO CNAES'!$A:$B, 2, FALSE)</f>
        <v>Atividades de apoio à extração de minerais</v>
      </c>
      <c r="E823" s="4">
        <v>340.58515498999998</v>
      </c>
      <c r="F823" s="4">
        <v>374643.67048899998</v>
      </c>
    </row>
    <row r="824" spans="1:6" x14ac:dyDescent="0.3">
      <c r="A824" s="3" t="s">
        <v>9</v>
      </c>
      <c r="B824" s="7" t="str">
        <f>VLOOKUP(VALUE(A824), 'DICIONÁRIO UF'!$A:$B, 2, FALSE)</f>
        <v>Amapá</v>
      </c>
      <c r="C824" s="3">
        <v>10010</v>
      </c>
      <c r="D824" s="5" t="str">
        <f>VLOOKUP(C824, 'DICIONÁRIO CNAES'!$A:$B, 2, FALSE)</f>
        <v xml:space="preserve">Abate e fabricação de produtos de carne e pescado </v>
      </c>
      <c r="E824" s="4">
        <v>143.28286706</v>
      </c>
      <c r="F824" s="4">
        <v>229252.58729600001</v>
      </c>
    </row>
    <row r="825" spans="1:6" x14ac:dyDescent="0.3">
      <c r="A825" s="3" t="s">
        <v>9</v>
      </c>
      <c r="B825" s="7" t="str">
        <f>VLOOKUP(VALUE(A825), 'DICIONÁRIO UF'!$A:$B, 2, FALSE)</f>
        <v>Amapá</v>
      </c>
      <c r="C825" s="3">
        <v>10021</v>
      </c>
      <c r="D825" s="5" t="str">
        <f>VLOOKUP(C825, 'DICIONÁRIO CNAES'!$A:$B, 2, FALSE)</f>
        <v>Fabricação de conservas de frutas, legumes e outros vegetais</v>
      </c>
      <c r="E825" s="4">
        <v>2476.3861582300001</v>
      </c>
      <c r="F825" s="4">
        <v>3075584.1292429999</v>
      </c>
    </row>
    <row r="826" spans="1:6" x14ac:dyDescent="0.3">
      <c r="A826" s="3" t="s">
        <v>9</v>
      </c>
      <c r="B826" s="7" t="str">
        <f>VLOOKUP(VALUE(A826), 'DICIONÁRIO UF'!$A:$B, 2, FALSE)</f>
        <v>Amapá</v>
      </c>
      <c r="C826" s="3">
        <v>11000</v>
      </c>
      <c r="D826" s="5" t="str">
        <f>VLOOKUP(C826, 'DICIONÁRIO CNAES'!$A:$B, 2, FALSE)</f>
        <v>Fabricação de bebidas</v>
      </c>
      <c r="E826" s="4">
        <v>270.55389074999999</v>
      </c>
      <c r="F826" s="4">
        <v>467744.97986700002</v>
      </c>
    </row>
    <row r="827" spans="1:6" x14ac:dyDescent="0.3">
      <c r="A827" s="3" t="s">
        <v>9</v>
      </c>
      <c r="B827" s="7" t="str">
        <f>VLOOKUP(VALUE(A827), 'DICIONÁRIO UF'!$A:$B, 2, FALSE)</f>
        <v>Amapá</v>
      </c>
      <c r="C827" s="3">
        <v>13001</v>
      </c>
      <c r="D827" s="5" t="str">
        <f>VLOOKUP(C827, 'DICIONÁRIO CNAES'!$A:$B, 2, FALSE)</f>
        <v>Preparação de fibras, fiação e tecelagem</v>
      </c>
      <c r="E827" s="4">
        <v>142.70568589999999</v>
      </c>
      <c r="F827" s="4">
        <v>998939.80129999993</v>
      </c>
    </row>
    <row r="828" spans="1:6" x14ac:dyDescent="0.3">
      <c r="A828" s="3" t="s">
        <v>9</v>
      </c>
      <c r="B828" s="7" t="str">
        <f>VLOOKUP(VALUE(A828), 'DICIONÁRIO UF'!$A:$B, 2, FALSE)</f>
        <v>Amapá</v>
      </c>
      <c r="C828" s="3">
        <v>13002</v>
      </c>
      <c r="D828" s="5" t="str">
        <f>VLOOKUP(C828, 'DICIONÁRIO CNAES'!$A:$B, 2, FALSE)</f>
        <v>Fabricação de artefatos têxteis, exceto vestuário</v>
      </c>
      <c r="E828" s="4">
        <v>728.26117927999996</v>
      </c>
      <c r="F828" s="4">
        <v>626397.73975259997</v>
      </c>
    </row>
    <row r="829" spans="1:6" x14ac:dyDescent="0.3">
      <c r="A829" s="3" t="s">
        <v>9</v>
      </c>
      <c r="B829" s="7" t="str">
        <f>VLOOKUP(VALUE(A829), 'DICIONÁRIO UF'!$A:$B, 2, FALSE)</f>
        <v>Amapá</v>
      </c>
      <c r="C829" s="3">
        <v>14001</v>
      </c>
      <c r="D829" s="5" t="str">
        <f>VLOOKUP(C829, 'DICIONÁRIO CNAES'!$A:$B, 2, FALSE)</f>
        <v>Confecção de artigos do vestuário e acessórios, exceto sob medida</v>
      </c>
      <c r="E829" s="4">
        <v>335.84827081999998</v>
      </c>
      <c r="F829" s="4">
        <v>123291.884148</v>
      </c>
    </row>
    <row r="830" spans="1:6" x14ac:dyDescent="0.3">
      <c r="A830" s="3" t="s">
        <v>9</v>
      </c>
      <c r="B830" s="7" t="str">
        <f>VLOOKUP(VALUE(A830), 'DICIONÁRIO UF'!$A:$B, 2, FALSE)</f>
        <v>Amapá</v>
      </c>
      <c r="C830" s="3">
        <v>14002</v>
      </c>
      <c r="D830" s="5" t="str">
        <f>VLOOKUP(C830, 'DICIONÁRIO CNAES'!$A:$B, 2, FALSE)</f>
        <v>Confecção, sob medida, de artigos do vestuário</v>
      </c>
      <c r="E830" s="4">
        <v>2074.0864953599998</v>
      </c>
      <c r="F830" s="4">
        <v>1453707.6078804999</v>
      </c>
    </row>
    <row r="831" spans="1:6" x14ac:dyDescent="0.3">
      <c r="A831" s="3" t="s">
        <v>9</v>
      </c>
      <c r="B831" s="7" t="str">
        <f>VLOOKUP(VALUE(A831), 'DICIONÁRIO UF'!$A:$B, 2, FALSE)</f>
        <v>Amapá</v>
      </c>
      <c r="C831" s="3">
        <v>15012</v>
      </c>
      <c r="D831" s="5" t="str">
        <f>VLOOKUP(C831, 'DICIONÁRIO CNAES'!$A:$B, 2, FALSE)</f>
        <v>Fabricação de artigos de viagem e de artefatos diversos de couro</v>
      </c>
      <c r="E831" s="4">
        <v>146.30291726999999</v>
      </c>
      <c r="F831" s="4">
        <v>160933.20899700001</v>
      </c>
    </row>
    <row r="832" spans="1:6" x14ac:dyDescent="0.3">
      <c r="A832" s="3" t="s">
        <v>9</v>
      </c>
      <c r="B832" s="7" t="str">
        <f>VLOOKUP(VALUE(A832), 'DICIONÁRIO UF'!$A:$B, 2, FALSE)</f>
        <v>Amapá</v>
      </c>
      <c r="C832" s="3">
        <v>16001</v>
      </c>
      <c r="D832" s="5" t="str">
        <f>VLOOKUP(C832, 'DICIONÁRIO CNAES'!$A:$B, 2, FALSE)</f>
        <v>Serrarias</v>
      </c>
      <c r="E832" s="4">
        <v>159.57147595999999</v>
      </c>
      <c r="F832" s="4">
        <v>79785.737979999991</v>
      </c>
    </row>
    <row r="833" spans="1:6" x14ac:dyDescent="0.3">
      <c r="A833" s="3" t="s">
        <v>9</v>
      </c>
      <c r="B833" s="7" t="str">
        <f>VLOOKUP(VALUE(A833), 'DICIONÁRIO UF'!$A:$B, 2, FALSE)</f>
        <v>Amapá</v>
      </c>
      <c r="C833" s="3">
        <v>16002</v>
      </c>
      <c r="D833" s="5" t="str">
        <f>VLOOKUP(C833, 'DICIONÁRIO CNAES'!$A:$B, 2, FALSE)</f>
        <v>Fabricação de produtos de madeira, cortiça e material trançado, exceto móveis</v>
      </c>
      <c r="E833" s="4">
        <v>2340.4270597200002</v>
      </c>
      <c r="F833" s="4">
        <v>4559797.7864899999</v>
      </c>
    </row>
    <row r="834" spans="1:6" x14ac:dyDescent="0.3">
      <c r="A834" s="3" t="s">
        <v>9</v>
      </c>
      <c r="B834" s="7" t="str">
        <f>VLOOKUP(VALUE(A834), 'DICIONÁRIO UF'!$A:$B, 2, FALSE)</f>
        <v>Amapá</v>
      </c>
      <c r="C834" s="3">
        <v>17001</v>
      </c>
      <c r="D834" s="5" t="str">
        <f>VLOOKUP(C834, 'DICIONÁRIO CNAES'!$A:$B, 2, FALSE)</f>
        <v>Fabricação de celulose, papel, cartolina e papel-cartão</v>
      </c>
      <c r="E834" s="4">
        <v>769.75798525000005</v>
      </c>
      <c r="F834" s="4">
        <v>1793367.6733820001</v>
      </c>
    </row>
    <row r="835" spans="1:6" x14ac:dyDescent="0.3">
      <c r="A835" s="3" t="s">
        <v>9</v>
      </c>
      <c r="B835" s="7" t="str">
        <f>VLOOKUP(VALUE(A835), 'DICIONÁRIO UF'!$A:$B, 2, FALSE)</f>
        <v>Amapá</v>
      </c>
      <c r="C835" s="3">
        <v>18000</v>
      </c>
      <c r="D835" s="5" t="str">
        <f>VLOOKUP(C835, 'DICIONÁRIO CNAES'!$A:$B, 2, FALSE)</f>
        <v>Impressão e reprodução de gravações</v>
      </c>
      <c r="E835" s="4">
        <v>898.86795924</v>
      </c>
      <c r="F835" s="4">
        <v>359547.18369600002</v>
      </c>
    </row>
    <row r="836" spans="1:6" x14ac:dyDescent="0.3">
      <c r="A836" s="3" t="s">
        <v>9</v>
      </c>
      <c r="B836" s="7" t="str">
        <f>VLOOKUP(VALUE(A836), 'DICIONÁRIO UF'!$A:$B, 2, FALSE)</f>
        <v>Amapá</v>
      </c>
      <c r="C836" s="3">
        <v>23091</v>
      </c>
      <c r="D836" s="5" t="str">
        <f>VLOOKUP(C836, 'DICIONÁRIO CNAES'!$A:$B, 2, FALSE)</f>
        <v>Fabricação de produtos cerâmicos</v>
      </c>
      <c r="E836" s="4">
        <v>513.20240233000004</v>
      </c>
      <c r="F836" s="4">
        <v>555302.75736485003</v>
      </c>
    </row>
    <row r="837" spans="1:6" x14ac:dyDescent="0.3">
      <c r="A837" s="3" t="s">
        <v>9</v>
      </c>
      <c r="B837" s="7" t="str">
        <f>VLOOKUP(VALUE(A837), 'DICIONÁRIO UF'!$A:$B, 2, FALSE)</f>
        <v>Amapá</v>
      </c>
      <c r="C837" s="3">
        <v>23099</v>
      </c>
      <c r="D837" s="5" t="str">
        <f>VLOOKUP(C837, 'DICIONÁRIO CNAES'!$A:$B, 2, FALSE)</f>
        <v>Fabricação de outros produtos de minerais não-metálicos não especificados anteriormente</v>
      </c>
      <c r="E837" s="4">
        <v>357.38924364000002</v>
      </c>
      <c r="F837" s="4">
        <v>440401.28271399997</v>
      </c>
    </row>
    <row r="838" spans="1:6" x14ac:dyDescent="0.3">
      <c r="A838" s="3" t="s">
        <v>9</v>
      </c>
      <c r="B838" s="7" t="str">
        <f>VLOOKUP(VALUE(A838), 'DICIONÁRIO UF'!$A:$B, 2, FALSE)</f>
        <v>Amapá</v>
      </c>
      <c r="C838" s="3">
        <v>25001</v>
      </c>
      <c r="D838" s="5" t="str">
        <f>VLOOKUP(C838, 'DICIONÁRIO CNAES'!$A:$B, 2, FALSE)</f>
        <v>Fabricação de produtos de metal, exceto máquinas e equipamentos</v>
      </c>
      <c r="E838" s="4">
        <v>1143.80205523</v>
      </c>
      <c r="F838" s="4">
        <v>1403335.521859</v>
      </c>
    </row>
    <row r="839" spans="1:6" x14ac:dyDescent="0.3">
      <c r="A839" s="3" t="s">
        <v>9</v>
      </c>
      <c r="B839" s="7" t="str">
        <f>VLOOKUP(VALUE(A839), 'DICIONÁRIO UF'!$A:$B, 2, FALSE)</f>
        <v>Amapá</v>
      </c>
      <c r="C839" s="3">
        <v>25002</v>
      </c>
      <c r="D839" s="5" t="str">
        <f>VLOOKUP(C839, 'DICIONÁRIO CNAES'!$A:$B, 2, FALSE)</f>
        <v>Forjaria, estamparia, metalurgia do pó e serviços de tratamento de metais</v>
      </c>
      <c r="E839" s="4">
        <v>237.75484856</v>
      </c>
      <c r="F839" s="4">
        <v>356632.27283999999</v>
      </c>
    </row>
    <row r="840" spans="1:6" x14ac:dyDescent="0.3">
      <c r="A840" s="3" t="s">
        <v>9</v>
      </c>
      <c r="B840" s="7" t="str">
        <f>VLOOKUP(VALUE(A840), 'DICIONÁRIO UF'!$A:$B, 2, FALSE)</f>
        <v>Amapá</v>
      </c>
      <c r="C840" s="3">
        <v>30010</v>
      </c>
      <c r="D840" s="5" t="str">
        <f>VLOOKUP(C840, 'DICIONÁRIO CNAES'!$A:$B, 2, FALSE)</f>
        <v xml:space="preserve">Construção de embarcações </v>
      </c>
      <c r="E840" s="4">
        <v>474.66948357000001</v>
      </c>
      <c r="F840" s="4">
        <v>474669.48356999998</v>
      </c>
    </row>
    <row r="841" spans="1:6" x14ac:dyDescent="0.3">
      <c r="A841" s="3" t="s">
        <v>9</v>
      </c>
      <c r="B841" s="7" t="str">
        <f>VLOOKUP(VALUE(A841), 'DICIONÁRIO UF'!$A:$B, 2, FALSE)</f>
        <v>Amapá</v>
      </c>
      <c r="C841" s="3">
        <v>31000</v>
      </c>
      <c r="D841" s="5" t="str">
        <f>VLOOKUP(C841, 'DICIONÁRIO CNAES'!$A:$B, 2, FALSE)</f>
        <v>Fabricação de móveis</v>
      </c>
      <c r="E841" s="4">
        <v>1084.8896850199999</v>
      </c>
      <c r="F841" s="4">
        <v>2880403.5025559999</v>
      </c>
    </row>
    <row r="842" spans="1:6" x14ac:dyDescent="0.3">
      <c r="A842" s="3" t="s">
        <v>9</v>
      </c>
      <c r="B842" s="7" t="str">
        <f>VLOOKUP(VALUE(A842), 'DICIONÁRIO UF'!$A:$B, 2, FALSE)</f>
        <v>Amapá</v>
      </c>
      <c r="C842" s="3">
        <v>33001</v>
      </c>
      <c r="D842" s="5" t="str">
        <f>VLOOKUP(C842, 'DICIONÁRIO CNAES'!$A:$B, 2, FALSE)</f>
        <v>Manutenção e reparação de máquinas e equipamentos</v>
      </c>
      <c r="E842" s="4">
        <v>255.71733899</v>
      </c>
      <c r="F842" s="4">
        <v>514342.69392799999</v>
      </c>
    </row>
    <row r="843" spans="1:6" x14ac:dyDescent="0.3">
      <c r="A843" s="3" t="s">
        <v>9</v>
      </c>
      <c r="B843" s="7" t="str">
        <f>VLOOKUP(VALUE(A843), 'DICIONÁRIO UF'!$A:$B, 2, FALSE)</f>
        <v>Amapá</v>
      </c>
      <c r="C843" s="3">
        <v>33002</v>
      </c>
      <c r="D843" s="5" t="str">
        <f>VLOOKUP(C843, 'DICIONÁRIO CNAES'!$A:$B, 2, FALSE)</f>
        <v>Instalação de máquinas e equipamentos</v>
      </c>
      <c r="E843" s="4">
        <v>229.31753626</v>
      </c>
      <c r="F843" s="4">
        <v>252249.28988600001</v>
      </c>
    </row>
    <row r="844" spans="1:6" x14ac:dyDescent="0.3">
      <c r="A844" s="3" t="s">
        <v>9</v>
      </c>
      <c r="B844" s="7" t="str">
        <f>VLOOKUP(VALUE(A844), 'DICIONÁRIO UF'!$A:$B, 2, FALSE)</f>
        <v>Amapá</v>
      </c>
      <c r="C844" s="3">
        <v>35010</v>
      </c>
      <c r="D844" s="5" t="str">
        <f>VLOOKUP(C844, 'DICIONÁRIO CNAES'!$A:$B, 2, FALSE)</f>
        <v>Geração, transmissão e distribuição de energia elétrica</v>
      </c>
      <c r="E844" s="4">
        <v>680.22657572000003</v>
      </c>
      <c r="F844" s="4">
        <v>1543063.1715190001</v>
      </c>
    </row>
    <row r="845" spans="1:6" x14ac:dyDescent="0.3">
      <c r="A845" s="3" t="s">
        <v>9</v>
      </c>
      <c r="B845" s="7" t="str">
        <f>VLOOKUP(VALUE(A845), 'DICIONÁRIO UF'!$A:$B, 2, FALSE)</f>
        <v>Amapá</v>
      </c>
      <c r="C845" s="3">
        <v>36000</v>
      </c>
      <c r="D845" s="5" t="str">
        <f>VLOOKUP(C845, 'DICIONÁRIO CNAES'!$A:$B, 2, FALSE)</f>
        <v>Captação, tratamento e distribuição de água</v>
      </c>
      <c r="E845" s="4">
        <v>226.1590104</v>
      </c>
      <c r="F845" s="4">
        <v>1032710.15272</v>
      </c>
    </row>
    <row r="846" spans="1:6" x14ac:dyDescent="0.3">
      <c r="A846" s="3" t="s">
        <v>9</v>
      </c>
      <c r="B846" s="7" t="str">
        <f>VLOOKUP(VALUE(A846), 'DICIONÁRIO UF'!$A:$B, 2, FALSE)</f>
        <v>Amapá</v>
      </c>
      <c r="C846" s="3">
        <v>37000</v>
      </c>
      <c r="D846" s="5" t="str">
        <f>VLOOKUP(C846, 'DICIONÁRIO CNAES'!$A:$B, 2, FALSE)</f>
        <v>Esgoto e atividades relacionadas</v>
      </c>
      <c r="E846" s="4">
        <v>286.44086279999999</v>
      </c>
      <c r="F846" s="4">
        <v>401017.20792000002</v>
      </c>
    </row>
    <row r="847" spans="1:6" x14ac:dyDescent="0.3">
      <c r="A847" s="3" t="s">
        <v>9</v>
      </c>
      <c r="B847" s="7" t="str">
        <f>VLOOKUP(VALUE(A847), 'DICIONÁRIO UF'!$A:$B, 2, FALSE)</f>
        <v>Amapá</v>
      </c>
      <c r="C847" s="3">
        <v>38000</v>
      </c>
      <c r="D847" s="5" t="str">
        <f>VLOOKUP(C847, 'DICIONÁRIO CNAES'!$A:$B, 2, FALSE)</f>
        <v>Coleta, tratamento e disposição de resíduos; recuperação de materiais</v>
      </c>
      <c r="E847" s="4">
        <v>497.88924476</v>
      </c>
      <c r="F847" s="4">
        <v>584191.09075600002</v>
      </c>
    </row>
    <row r="848" spans="1:6" x14ac:dyDescent="0.3">
      <c r="A848" s="3" t="s">
        <v>9</v>
      </c>
      <c r="B848" s="7" t="str">
        <f>VLOOKUP(VALUE(A848), 'DICIONÁRIO UF'!$A:$B, 2, FALSE)</f>
        <v>Amapá</v>
      </c>
      <c r="C848" s="3">
        <v>41000</v>
      </c>
      <c r="D848" s="5" t="str">
        <f>VLOOKUP(C848, 'DICIONÁRIO CNAES'!$A:$B, 2, FALSE)</f>
        <v>Construção de edifícios</v>
      </c>
      <c r="E848" s="4">
        <v>19236.151789750002</v>
      </c>
      <c r="F848" s="4">
        <v>21967639.007474601</v>
      </c>
    </row>
    <row r="849" spans="1:6" x14ac:dyDescent="0.3">
      <c r="A849" s="3" t="s">
        <v>9</v>
      </c>
      <c r="B849" s="7" t="str">
        <f>VLOOKUP(VALUE(A849), 'DICIONÁRIO UF'!$A:$B, 2, FALSE)</f>
        <v>Amapá</v>
      </c>
      <c r="C849" s="3">
        <v>42000</v>
      </c>
      <c r="D849" s="5" t="str">
        <f>VLOOKUP(C849, 'DICIONÁRIO CNAES'!$A:$B, 2, FALSE)</f>
        <v>Construção de obras de infra-estrutura</v>
      </c>
      <c r="E849" s="4">
        <v>2523.8304902599998</v>
      </c>
      <c r="F849" s="4">
        <v>5001617.1188859995</v>
      </c>
    </row>
    <row r="850" spans="1:6" x14ac:dyDescent="0.3">
      <c r="A850" s="3" t="s">
        <v>9</v>
      </c>
      <c r="B850" s="7" t="str">
        <f>VLOOKUP(VALUE(A850), 'DICIONÁRIO UF'!$A:$B, 2, FALSE)</f>
        <v>Amapá</v>
      </c>
      <c r="C850" s="3">
        <v>43000</v>
      </c>
      <c r="D850" s="5" t="str">
        <f>VLOOKUP(C850, 'DICIONÁRIO CNAES'!$A:$B, 2, FALSE)</f>
        <v>Serviços especializados para construção</v>
      </c>
      <c r="E850" s="4">
        <v>5844.1334485799998</v>
      </c>
      <c r="F850" s="4">
        <v>7627118.7152238004</v>
      </c>
    </row>
    <row r="851" spans="1:6" x14ac:dyDescent="0.3">
      <c r="A851" s="3" t="s">
        <v>9</v>
      </c>
      <c r="B851" s="7" t="str">
        <f>VLOOKUP(VALUE(A851), 'DICIONÁRIO UF'!$A:$B, 2, FALSE)</f>
        <v>Amapá</v>
      </c>
      <c r="C851" s="3">
        <v>45010</v>
      </c>
      <c r="D851" s="5" t="str">
        <f>VLOOKUP(C851, 'DICIONÁRIO CNAES'!$A:$B, 2, FALSE)</f>
        <v>Comércio de veículos automotores</v>
      </c>
      <c r="E851" s="4">
        <v>971.56096904000003</v>
      </c>
      <c r="F851" s="4">
        <v>2157081.1658620001</v>
      </c>
    </row>
    <row r="852" spans="1:6" x14ac:dyDescent="0.3">
      <c r="A852" s="3" t="s">
        <v>9</v>
      </c>
      <c r="B852" s="7" t="str">
        <f>VLOOKUP(VALUE(A852), 'DICIONÁRIO UF'!$A:$B, 2, FALSE)</f>
        <v>Amapá</v>
      </c>
      <c r="C852" s="3">
        <v>45020</v>
      </c>
      <c r="D852" s="5" t="str">
        <f>VLOOKUP(C852, 'DICIONÁRIO CNAES'!$A:$B, 2, FALSE)</f>
        <v>Manutenção e reparação de veículos automotores</v>
      </c>
      <c r="E852" s="4">
        <v>8351.5027308999997</v>
      </c>
      <c r="F852" s="4">
        <v>10790465.868905</v>
      </c>
    </row>
    <row r="853" spans="1:6" x14ac:dyDescent="0.3">
      <c r="A853" s="3" t="s">
        <v>9</v>
      </c>
      <c r="B853" s="7" t="str">
        <f>VLOOKUP(VALUE(A853), 'DICIONÁRIO UF'!$A:$B, 2, FALSE)</f>
        <v>Amapá</v>
      </c>
      <c r="C853" s="3">
        <v>45030</v>
      </c>
      <c r="D853" s="5" t="str">
        <f>VLOOKUP(C853, 'DICIONÁRIO CNAES'!$A:$B, 2, FALSE)</f>
        <v>Comércio de peças e acessórios para veículos automotores</v>
      </c>
      <c r="E853" s="4">
        <v>380.88724783999999</v>
      </c>
      <c r="F853" s="4">
        <v>418975.97262399999</v>
      </c>
    </row>
    <row r="854" spans="1:6" x14ac:dyDescent="0.3">
      <c r="A854" s="3" t="s">
        <v>9</v>
      </c>
      <c r="B854" s="7" t="str">
        <f>VLOOKUP(VALUE(A854), 'DICIONÁRIO UF'!$A:$B, 2, FALSE)</f>
        <v>Amapá</v>
      </c>
      <c r="C854" s="3">
        <v>45040</v>
      </c>
      <c r="D854" s="5" t="str">
        <f>VLOOKUP(C854, 'DICIONÁRIO CNAES'!$A:$B, 2, FALSE)</f>
        <v>Comércio, manutenção e reparação de motocicletas, peças e acessórios</v>
      </c>
      <c r="E854" s="4">
        <v>268.25537709000002</v>
      </c>
      <c r="F854" s="4">
        <v>295080.91479900002</v>
      </c>
    </row>
    <row r="855" spans="1:6" x14ac:dyDescent="0.3">
      <c r="A855" s="3" t="s">
        <v>9</v>
      </c>
      <c r="B855" s="7" t="str">
        <f>VLOOKUP(VALUE(A855), 'DICIONÁRIO UF'!$A:$B, 2, FALSE)</f>
        <v>Amapá</v>
      </c>
      <c r="C855" s="3">
        <v>48010</v>
      </c>
      <c r="D855" s="5" t="str">
        <f>VLOOKUP(C855, 'DICIONÁRIO CNAES'!$A:$B, 2, FALSE)</f>
        <v>Representantes comerciais e agentes do comércio, exceto de veículos automotores e motocicletas</v>
      </c>
      <c r="E855" s="4">
        <v>166.27704144</v>
      </c>
      <c r="F855" s="4">
        <v>166277.04144</v>
      </c>
    </row>
    <row r="856" spans="1:6" x14ac:dyDescent="0.3">
      <c r="A856" s="3" t="s">
        <v>9</v>
      </c>
      <c r="B856" s="7" t="str">
        <f>VLOOKUP(VALUE(A856), 'DICIONÁRIO UF'!$A:$B, 2, FALSE)</f>
        <v>Amapá</v>
      </c>
      <c r="C856" s="3">
        <v>48020</v>
      </c>
      <c r="D856" s="5" t="str">
        <f>VLOOKUP(C856, 'DICIONÁRIO CNAES'!$A:$B, 2, FALSE)</f>
        <v>Comércio de matérias-primas agrícolas e animais vivos</v>
      </c>
      <c r="E856" s="4">
        <v>771.38704398000004</v>
      </c>
      <c r="F856" s="4">
        <v>977803.82271600002</v>
      </c>
    </row>
    <row r="857" spans="1:6" x14ac:dyDescent="0.3">
      <c r="A857" s="3" t="s">
        <v>9</v>
      </c>
      <c r="B857" s="7" t="str">
        <f>VLOOKUP(VALUE(A857), 'DICIONÁRIO UF'!$A:$B, 2, FALSE)</f>
        <v>Amapá</v>
      </c>
      <c r="C857" s="3">
        <v>48030</v>
      </c>
      <c r="D857" s="5" t="str">
        <f>VLOOKUP(C857, 'DICIONÁRIO CNAES'!$A:$B, 2, FALSE)</f>
        <v>Comércio de produtos alimentícios, bebidas e fumo</v>
      </c>
      <c r="E857" s="4">
        <v>22515.12729923</v>
      </c>
      <c r="F857" s="4">
        <v>42915645.136818901</v>
      </c>
    </row>
    <row r="858" spans="1:6" x14ac:dyDescent="0.3">
      <c r="A858" s="3" t="s">
        <v>9</v>
      </c>
      <c r="B858" s="7" t="str">
        <f>VLOOKUP(VALUE(A858), 'DICIONÁRIO UF'!$A:$B, 2, FALSE)</f>
        <v>Amapá</v>
      </c>
      <c r="C858" s="3">
        <v>48041</v>
      </c>
      <c r="D858" s="5" t="str">
        <f>VLOOKUP(C858, 'DICIONÁRIO CNAES'!$A:$B, 2, FALSE)</f>
        <v>Comércio de tecidos, artefatos de tecidos e armarinho</v>
      </c>
      <c r="E858" s="4">
        <v>340.39343465000002</v>
      </c>
      <c r="F858" s="4">
        <v>320962.3803964</v>
      </c>
    </row>
    <row r="859" spans="1:6" x14ac:dyDescent="0.3">
      <c r="A859" s="3" t="s">
        <v>9</v>
      </c>
      <c r="B859" s="7" t="str">
        <f>VLOOKUP(VALUE(A859), 'DICIONÁRIO UF'!$A:$B, 2, FALSE)</f>
        <v>Amapá</v>
      </c>
      <c r="C859" s="3">
        <v>48042</v>
      </c>
      <c r="D859" s="5" t="str">
        <f>VLOOKUP(C859, 'DICIONÁRIO CNAES'!$A:$B, 2, FALSE)</f>
        <v>Comércio de artigos do vestuário, complementos, calçados e artigos de viagem</v>
      </c>
      <c r="E859" s="4">
        <v>8419.0263019899994</v>
      </c>
      <c r="F859" s="4">
        <v>9340360.7690715995</v>
      </c>
    </row>
    <row r="860" spans="1:6" x14ac:dyDescent="0.3">
      <c r="A860" s="3" t="s">
        <v>9</v>
      </c>
      <c r="B860" s="7" t="str">
        <f>VLOOKUP(VALUE(A860), 'DICIONÁRIO UF'!$A:$B, 2, FALSE)</f>
        <v>Amapá</v>
      </c>
      <c r="C860" s="3">
        <v>48050</v>
      </c>
      <c r="D860" s="5" t="str">
        <f>VLOOKUP(C860, 'DICIONÁRIO CNAES'!$A:$B, 2, FALSE)</f>
        <v>Comércio de madeira, material de construção, ferragens e ferramentas</v>
      </c>
      <c r="E860" s="4">
        <v>3914.9694180299998</v>
      </c>
      <c r="F860" s="4">
        <v>9757373.4196230005</v>
      </c>
    </row>
    <row r="861" spans="1:6" x14ac:dyDescent="0.3">
      <c r="A861" s="3" t="s">
        <v>9</v>
      </c>
      <c r="B861" s="7" t="str">
        <f>VLOOKUP(VALUE(A861), 'DICIONÁRIO UF'!$A:$B, 2, FALSE)</f>
        <v>Amapá</v>
      </c>
      <c r="C861" s="3">
        <v>48060</v>
      </c>
      <c r="D861" s="5" t="str">
        <f>VLOOKUP(C861, 'DICIONÁRIO CNAES'!$A:$B, 2, FALSE)</f>
        <v>Comércio de combustíveis para veículos automotores</v>
      </c>
      <c r="E861" s="4">
        <v>404.33642849</v>
      </c>
      <c r="F861" s="4">
        <v>686548.72442199988</v>
      </c>
    </row>
    <row r="862" spans="1:6" x14ac:dyDescent="0.3">
      <c r="A862" s="3" t="s">
        <v>9</v>
      </c>
      <c r="B862" s="7" t="str">
        <f>VLOOKUP(VALUE(A862), 'DICIONÁRIO UF'!$A:$B, 2, FALSE)</f>
        <v>Amapá</v>
      </c>
      <c r="C862" s="3">
        <v>48071</v>
      </c>
      <c r="D862" s="5" t="str">
        <f>VLOOKUP(C862, 'DICIONÁRIO CNAES'!$A:$B, 2, FALSE)</f>
        <v>Comércio de produtos farmaceuticos, médicos, ortopédicos, odontológicos e de cosméticos e perfumaria</v>
      </c>
      <c r="E862" s="4">
        <v>5407.4007397699997</v>
      </c>
      <c r="F862" s="4">
        <v>6678619.8368790997</v>
      </c>
    </row>
    <row r="863" spans="1:6" x14ac:dyDescent="0.3">
      <c r="A863" s="3" t="s">
        <v>9</v>
      </c>
      <c r="B863" s="7" t="str">
        <f>VLOOKUP(VALUE(A863), 'DICIONÁRIO UF'!$A:$B, 2, FALSE)</f>
        <v>Amapá</v>
      </c>
      <c r="C863" s="3">
        <v>48072</v>
      </c>
      <c r="D863" s="5" t="str">
        <f>VLOOKUP(C863, 'DICIONÁRIO CNAES'!$A:$B, 2, FALSE)</f>
        <v>Comércio de artigos de escritório e de papelaria; livros, jornais e outras publicações</v>
      </c>
      <c r="E863" s="4">
        <v>178.68441111000001</v>
      </c>
      <c r="F863" s="4">
        <v>196552.85222100001</v>
      </c>
    </row>
    <row r="864" spans="1:6" x14ac:dyDescent="0.3">
      <c r="A864" s="3" t="s">
        <v>9</v>
      </c>
      <c r="B864" s="7" t="str">
        <f>VLOOKUP(VALUE(A864), 'DICIONÁRIO UF'!$A:$B, 2, FALSE)</f>
        <v>Amapá</v>
      </c>
      <c r="C864" s="3">
        <v>48073</v>
      </c>
      <c r="D864" s="5" t="str">
        <f>VLOOKUP(C864, 'DICIONÁRIO CNAES'!$A:$B, 2, FALSE)</f>
        <v>Comércio de eletrodomésticos, móveis e outros artigos de residência</v>
      </c>
      <c r="E864" s="4">
        <v>2072.43775921</v>
      </c>
      <c r="F864" s="4">
        <v>2356666.0151535198</v>
      </c>
    </row>
    <row r="865" spans="1:6" x14ac:dyDescent="0.3">
      <c r="A865" s="3" t="s">
        <v>9</v>
      </c>
      <c r="B865" s="7" t="str">
        <f>VLOOKUP(VALUE(A865), 'DICIONÁRIO UF'!$A:$B, 2, FALSE)</f>
        <v>Amapá</v>
      </c>
      <c r="C865" s="3">
        <v>48074</v>
      </c>
      <c r="D865" s="5" t="str">
        <f>VLOOKUP(C865, 'DICIONÁRIO CNAES'!$A:$B, 2, FALSE)</f>
        <v>Comércio de equipamentos e produtos de tecnologias de informação e comunicação</v>
      </c>
      <c r="E865" s="4">
        <v>1839.54151013</v>
      </c>
      <c r="F865" s="4">
        <v>2765067.9074550001</v>
      </c>
    </row>
    <row r="866" spans="1:6" x14ac:dyDescent="0.3">
      <c r="A866" s="3" t="s">
        <v>9</v>
      </c>
      <c r="B866" s="7" t="str">
        <f>VLOOKUP(VALUE(A866), 'DICIONÁRIO UF'!$A:$B, 2, FALSE)</f>
        <v>Amapá</v>
      </c>
      <c r="C866" s="3">
        <v>48075</v>
      </c>
      <c r="D866" s="5" t="str">
        <f>VLOOKUP(C866, 'DICIONÁRIO CNAES'!$A:$B, 2, FALSE)</f>
        <v xml:space="preserve">Comércio de máquinas, aparelhos e equipamentos, exceto eletrodomésticos </v>
      </c>
      <c r="E866" s="4">
        <v>507.32332495999998</v>
      </c>
      <c r="F866" s="4">
        <v>2347389.3922450002</v>
      </c>
    </row>
    <row r="867" spans="1:6" x14ac:dyDescent="0.3">
      <c r="A867" s="3" t="s">
        <v>9</v>
      </c>
      <c r="B867" s="7" t="str">
        <f>VLOOKUP(VALUE(A867), 'DICIONÁRIO UF'!$A:$B, 2, FALSE)</f>
        <v>Amapá</v>
      </c>
      <c r="C867" s="3">
        <v>48076</v>
      </c>
      <c r="D867" s="5" t="str">
        <f>VLOOKUP(C867, 'DICIONÁRIO CNAES'!$A:$B, 2, FALSE)</f>
        <v>Comércio de combustíveis sólidos, líquidos e gasosos, exceto para veículos automotores</v>
      </c>
      <c r="E867" s="4">
        <v>1245.9768951599999</v>
      </c>
      <c r="F867" s="4">
        <v>6105296.412889</v>
      </c>
    </row>
    <row r="868" spans="1:6" x14ac:dyDescent="0.3">
      <c r="A868" s="3" t="s">
        <v>9</v>
      </c>
      <c r="B868" s="7" t="str">
        <f>VLOOKUP(VALUE(A868), 'DICIONÁRIO UF'!$A:$B, 2, FALSE)</f>
        <v>Amapá</v>
      </c>
      <c r="C868" s="3">
        <v>48077</v>
      </c>
      <c r="D868" s="5" t="str">
        <f>VLOOKUP(C868, 'DICIONÁRIO CNAES'!$A:$B, 2, FALSE)</f>
        <v>Comércio de produtos usados</v>
      </c>
      <c r="E868" s="4">
        <v>425.61377987999998</v>
      </c>
      <c r="F868" s="4">
        <v>1276841.3396399999</v>
      </c>
    </row>
    <row r="869" spans="1:6" x14ac:dyDescent="0.3">
      <c r="A869" s="3" t="s">
        <v>9</v>
      </c>
      <c r="B869" s="7" t="str">
        <f>VLOOKUP(VALUE(A869), 'DICIONÁRIO UF'!$A:$B, 2, FALSE)</f>
        <v>Amapá</v>
      </c>
      <c r="C869" s="3">
        <v>48078</v>
      </c>
      <c r="D869" s="5" t="str">
        <f>VLOOKUP(C869, 'DICIONÁRIO CNAES'!$A:$B, 2, FALSE)</f>
        <v>Comercio de residuos e sucatas</v>
      </c>
      <c r="E869" s="4">
        <v>532.96808248000002</v>
      </c>
      <c r="F869" s="4">
        <v>159890.42474399999</v>
      </c>
    </row>
    <row r="870" spans="1:6" x14ac:dyDescent="0.3">
      <c r="A870" s="3" t="s">
        <v>9</v>
      </c>
      <c r="B870" s="7" t="str">
        <f>VLOOKUP(VALUE(A870), 'DICIONÁRIO UF'!$A:$B, 2, FALSE)</f>
        <v>Amapá</v>
      </c>
      <c r="C870" s="3">
        <v>48079</v>
      </c>
      <c r="D870" s="5" t="str">
        <f>VLOOKUP(C870, 'DICIONÁRIO CNAES'!$A:$B, 2, FALSE)</f>
        <v>Comércio de produtos novos não especificados anteriormente</v>
      </c>
      <c r="E870" s="4">
        <v>3734.9190966900001</v>
      </c>
      <c r="F870" s="4">
        <v>7497764.6782482993</v>
      </c>
    </row>
    <row r="871" spans="1:6" x14ac:dyDescent="0.3">
      <c r="A871" s="3" t="s">
        <v>9</v>
      </c>
      <c r="B871" s="7" t="str">
        <f>VLOOKUP(VALUE(A871), 'DICIONÁRIO UF'!$A:$B, 2, FALSE)</f>
        <v>Amapá</v>
      </c>
      <c r="C871" s="3">
        <v>48080</v>
      </c>
      <c r="D871" s="5" t="str">
        <f>VLOOKUP(C871, 'DICIONÁRIO CNAES'!$A:$B, 2, FALSE)</f>
        <v>Supermercado e hipermercado</v>
      </c>
      <c r="E871" s="4">
        <v>5370.4413209499999</v>
      </c>
      <c r="F871" s="4">
        <v>7300859.9527369998</v>
      </c>
    </row>
    <row r="872" spans="1:6" x14ac:dyDescent="0.3">
      <c r="A872" s="3" t="s">
        <v>9</v>
      </c>
      <c r="B872" s="7" t="str">
        <f>VLOOKUP(VALUE(A872), 'DICIONÁRIO UF'!$A:$B, 2, FALSE)</f>
        <v>Amapá</v>
      </c>
      <c r="C872" s="3">
        <v>48090</v>
      </c>
      <c r="D872" s="5" t="str">
        <f>VLOOKUP(C872, 'DICIONÁRIO CNAES'!$A:$B, 2, FALSE)</f>
        <v>Lojas de departamento e outros comércios não especializados, sem predominância de produtos alimentícios</v>
      </c>
      <c r="E872" s="4">
        <v>848.1124256999999</v>
      </c>
      <c r="F872" s="4">
        <v>988393.45828917995</v>
      </c>
    </row>
    <row r="873" spans="1:6" x14ac:dyDescent="0.3">
      <c r="A873" s="3" t="s">
        <v>9</v>
      </c>
      <c r="B873" s="7" t="str">
        <f>VLOOKUP(VALUE(A873), 'DICIONÁRIO UF'!$A:$B, 2, FALSE)</f>
        <v>Amapá</v>
      </c>
      <c r="C873" s="3">
        <v>48100</v>
      </c>
      <c r="D873" s="5" t="str">
        <f>VLOOKUP(C873, 'DICIONÁRIO CNAES'!$A:$B, 2, FALSE)</f>
        <v>Comércio ambulante e feiras</v>
      </c>
      <c r="E873" s="4">
        <v>4723.9285704800004</v>
      </c>
      <c r="F873" s="4">
        <v>5072141.3484730003</v>
      </c>
    </row>
    <row r="874" spans="1:6" x14ac:dyDescent="0.3">
      <c r="A874" s="3" t="s">
        <v>9</v>
      </c>
      <c r="B874" s="7" t="str">
        <f>VLOOKUP(VALUE(A874), 'DICIONÁRIO UF'!$A:$B, 2, FALSE)</f>
        <v>Amapá</v>
      </c>
      <c r="C874" s="3">
        <v>49030</v>
      </c>
      <c r="D874" s="5" t="str">
        <f>VLOOKUP(C874, 'DICIONÁRIO CNAES'!$A:$B, 2, FALSE)</f>
        <v>Transporte rodoviário de passageiros</v>
      </c>
      <c r="E874" s="4">
        <v>8154.4446752000003</v>
      </c>
      <c r="F874" s="4">
        <v>14624419.54049295</v>
      </c>
    </row>
    <row r="875" spans="1:6" x14ac:dyDescent="0.3">
      <c r="A875" s="3" t="s">
        <v>9</v>
      </c>
      <c r="B875" s="7" t="str">
        <f>VLOOKUP(VALUE(A875), 'DICIONÁRIO UF'!$A:$B, 2, FALSE)</f>
        <v>Amapá</v>
      </c>
      <c r="C875" s="3">
        <v>49040</v>
      </c>
      <c r="D875" s="5" t="str">
        <f>VLOOKUP(C875, 'DICIONÁRIO CNAES'!$A:$B, 2, FALSE)</f>
        <v>Transporte rodoviário de carga</v>
      </c>
      <c r="E875" s="4">
        <v>2558.7193456199998</v>
      </c>
      <c r="F875" s="4">
        <v>3074624.8801465002</v>
      </c>
    </row>
    <row r="876" spans="1:6" x14ac:dyDescent="0.3">
      <c r="A876" s="3" t="s">
        <v>9</v>
      </c>
      <c r="B876" s="7" t="str">
        <f>VLOOKUP(VALUE(A876), 'DICIONÁRIO UF'!$A:$B, 2, FALSE)</f>
        <v>Amapá</v>
      </c>
      <c r="C876" s="3">
        <v>50000</v>
      </c>
      <c r="D876" s="5" t="str">
        <f>VLOOKUP(C876, 'DICIONÁRIO CNAES'!$A:$B, 2, FALSE)</f>
        <v>Transporte Aquaviário</v>
      </c>
      <c r="E876" s="4">
        <v>761.10595850999994</v>
      </c>
      <c r="F876" s="4">
        <v>997510.77124939999</v>
      </c>
    </row>
    <row r="877" spans="1:6" x14ac:dyDescent="0.3">
      <c r="A877" s="3" t="s">
        <v>9</v>
      </c>
      <c r="B877" s="7" t="str">
        <f>VLOOKUP(VALUE(A877), 'DICIONÁRIO UF'!$A:$B, 2, FALSE)</f>
        <v>Amapá</v>
      </c>
      <c r="C877" s="3">
        <v>51000</v>
      </c>
      <c r="D877" s="5" t="str">
        <f>VLOOKUP(C877, 'DICIONÁRIO CNAES'!$A:$B, 2, FALSE)</f>
        <v>Transporte Aéreo</v>
      </c>
      <c r="E877" s="4">
        <v>228.88018292000001</v>
      </c>
      <c r="F877" s="4">
        <v>422283.93748740002</v>
      </c>
    </row>
    <row r="878" spans="1:6" x14ac:dyDescent="0.3">
      <c r="A878" s="3" t="s">
        <v>9</v>
      </c>
      <c r="B878" s="7" t="str">
        <f>VLOOKUP(VALUE(A878), 'DICIONÁRIO UF'!$A:$B, 2, FALSE)</f>
        <v>Amapá</v>
      </c>
      <c r="C878" s="3">
        <v>52010</v>
      </c>
      <c r="D878" s="5" t="str">
        <f>VLOOKUP(C878, 'DICIONÁRIO CNAES'!$A:$B, 2, FALSE)</f>
        <v>Armazenamento, carga e descarga</v>
      </c>
      <c r="E878" s="4">
        <v>573.63349501000005</v>
      </c>
      <c r="F878" s="4">
        <v>627649.446429</v>
      </c>
    </row>
    <row r="879" spans="1:6" x14ac:dyDescent="0.3">
      <c r="A879" s="3" t="s">
        <v>9</v>
      </c>
      <c r="B879" s="7" t="str">
        <f>VLOOKUP(VALUE(A879), 'DICIONÁRIO UF'!$A:$B, 2, FALSE)</f>
        <v>Amapá</v>
      </c>
      <c r="C879" s="3">
        <v>52020</v>
      </c>
      <c r="D879" s="5" t="str">
        <f>VLOOKUP(C879, 'DICIONÁRIO CNAES'!$A:$B, 2, FALSE)</f>
        <v xml:space="preserve">Atividades auxiliares dos transportes e atividades relacionadas à organização do transporte de carga </v>
      </c>
      <c r="E879" s="4">
        <v>1021.80587269</v>
      </c>
      <c r="F879" s="4">
        <v>2210858.4955290002</v>
      </c>
    </row>
    <row r="880" spans="1:6" x14ac:dyDescent="0.3">
      <c r="A880" s="3" t="s">
        <v>9</v>
      </c>
      <c r="B880" s="7" t="str">
        <f>VLOOKUP(VALUE(A880), 'DICIONÁRIO UF'!$A:$B, 2, FALSE)</f>
        <v>Amapá</v>
      </c>
      <c r="C880" s="3">
        <v>53001</v>
      </c>
      <c r="D880" s="5" t="str">
        <f>VLOOKUP(C880, 'DICIONÁRIO CNAES'!$A:$B, 2, FALSE)</f>
        <v>Atividades de Correio</v>
      </c>
      <c r="E880" s="4">
        <v>152.00886795</v>
      </c>
      <c r="F880" s="4">
        <v>434441.34460110002</v>
      </c>
    </row>
    <row r="881" spans="1:6" x14ac:dyDescent="0.3">
      <c r="A881" s="3" t="s">
        <v>9</v>
      </c>
      <c r="B881" s="7" t="str">
        <f>VLOOKUP(VALUE(A881), 'DICIONÁRIO UF'!$A:$B, 2, FALSE)</f>
        <v>Amapá</v>
      </c>
      <c r="C881" s="3">
        <v>53002</v>
      </c>
      <c r="D881" s="5" t="str">
        <f>VLOOKUP(C881, 'DICIONÁRIO CNAES'!$A:$B, 2, FALSE)</f>
        <v>Atividades de malote e de entrega</v>
      </c>
      <c r="E881" s="4">
        <v>1814.53397473</v>
      </c>
      <c r="F881" s="4">
        <v>2079496.589161</v>
      </c>
    </row>
    <row r="882" spans="1:6" x14ac:dyDescent="0.3">
      <c r="A882" s="3" t="s">
        <v>9</v>
      </c>
      <c r="B882" s="7" t="str">
        <f>VLOOKUP(VALUE(A882), 'DICIONÁRIO UF'!$A:$B, 2, FALSE)</f>
        <v>Amapá</v>
      </c>
      <c r="C882" s="3">
        <v>55000</v>
      </c>
      <c r="D882" s="5" t="str">
        <f>VLOOKUP(C882, 'DICIONÁRIO CNAES'!$A:$B, 2, FALSE)</f>
        <v>Alojamento</v>
      </c>
      <c r="E882" s="4">
        <v>1067.3141015000001</v>
      </c>
      <c r="F882" s="4">
        <v>1031313.716899</v>
      </c>
    </row>
    <row r="883" spans="1:6" x14ac:dyDescent="0.3">
      <c r="A883" s="3" t="s">
        <v>9</v>
      </c>
      <c r="B883" s="7" t="str">
        <f>VLOOKUP(VALUE(A883), 'DICIONÁRIO UF'!$A:$B, 2, FALSE)</f>
        <v>Amapá</v>
      </c>
      <c r="C883" s="3">
        <v>56011</v>
      </c>
      <c r="D883" s="5" t="str">
        <f>VLOOKUP(C883, 'DICIONÁRIO CNAES'!$A:$B, 2, FALSE)</f>
        <v>Restaurantes e outros estabelecimentos de serviços de alimentação e bebidas</v>
      </c>
      <c r="E883" s="4">
        <v>11421.255860339999</v>
      </c>
      <c r="F883" s="4">
        <v>17338174.191004049</v>
      </c>
    </row>
    <row r="884" spans="1:6" x14ac:dyDescent="0.3">
      <c r="A884" s="3" t="s">
        <v>9</v>
      </c>
      <c r="B884" s="7" t="str">
        <f>VLOOKUP(VALUE(A884), 'DICIONÁRIO UF'!$A:$B, 2, FALSE)</f>
        <v>Amapá</v>
      </c>
      <c r="C884" s="3">
        <v>56012</v>
      </c>
      <c r="D884" s="5" t="str">
        <f>VLOOKUP(C884, 'DICIONÁRIO CNAES'!$A:$B, 2, FALSE)</f>
        <v>Serviços de catering, bufê e outros serviços de comida preparada</v>
      </c>
      <c r="E884" s="4">
        <v>1982.00967973</v>
      </c>
      <c r="F884" s="4">
        <v>2783355.6382474001</v>
      </c>
    </row>
    <row r="885" spans="1:6" x14ac:dyDescent="0.3">
      <c r="A885" s="3" t="s">
        <v>9</v>
      </c>
      <c r="B885" s="7" t="str">
        <f>VLOOKUP(VALUE(A885), 'DICIONÁRIO UF'!$A:$B, 2, FALSE)</f>
        <v>Amapá</v>
      </c>
      <c r="C885" s="3">
        <v>56020</v>
      </c>
      <c r="D885" s="5" t="str">
        <f>VLOOKUP(C885, 'DICIONÁRIO CNAES'!$A:$B, 2, FALSE)</f>
        <v>Serviços ambulantes de alimentação</v>
      </c>
      <c r="E885" s="4">
        <v>1702.7473819500001</v>
      </c>
      <c r="F885" s="4">
        <v>999206.49292350002</v>
      </c>
    </row>
    <row r="886" spans="1:6" x14ac:dyDescent="0.3">
      <c r="A886" s="3" t="s">
        <v>9</v>
      </c>
      <c r="B886" s="7" t="str">
        <f>VLOOKUP(VALUE(A886), 'DICIONÁRIO UF'!$A:$B, 2, FALSE)</f>
        <v>Amapá</v>
      </c>
      <c r="C886" s="3">
        <v>60001</v>
      </c>
      <c r="D886" s="5" t="str">
        <f>VLOOKUP(C886, 'DICIONÁRIO CNAES'!$A:$B, 2, FALSE)</f>
        <v>Atividades de rádio</v>
      </c>
      <c r="E886" s="4">
        <v>504.08687278999997</v>
      </c>
      <c r="F886" s="4">
        <v>1008173.74558</v>
      </c>
    </row>
    <row r="887" spans="1:6" x14ac:dyDescent="0.3">
      <c r="A887" s="3" t="s">
        <v>9</v>
      </c>
      <c r="B887" s="7" t="str">
        <f>VLOOKUP(VALUE(A887), 'DICIONÁRIO UF'!$A:$B, 2, FALSE)</f>
        <v>Amapá</v>
      </c>
      <c r="C887" s="3">
        <v>61000</v>
      </c>
      <c r="D887" s="5" t="str">
        <f>VLOOKUP(C887, 'DICIONÁRIO CNAES'!$A:$B, 2, FALSE)</f>
        <v>Telecomunicações</v>
      </c>
      <c r="E887" s="4">
        <v>703.38676178000003</v>
      </c>
      <c r="F887" s="4">
        <v>1544330.044307</v>
      </c>
    </row>
    <row r="888" spans="1:6" x14ac:dyDescent="0.3">
      <c r="A888" s="3" t="s">
        <v>9</v>
      </c>
      <c r="B888" s="7" t="str">
        <f>VLOOKUP(VALUE(A888), 'DICIONÁRIO UF'!$A:$B, 2, FALSE)</f>
        <v>Amapá</v>
      </c>
      <c r="C888" s="3">
        <v>62000</v>
      </c>
      <c r="D888" s="5" t="str">
        <f>VLOOKUP(C888, 'DICIONÁRIO CNAES'!$A:$B, 2, FALSE)</f>
        <v>Atividades dos serviços de tecnologia da informação</v>
      </c>
      <c r="E888" s="4">
        <v>365.74560320000001</v>
      </c>
      <c r="F888" s="4">
        <v>1017810.39244</v>
      </c>
    </row>
    <row r="889" spans="1:6" x14ac:dyDescent="0.3">
      <c r="A889" s="3" t="s">
        <v>9</v>
      </c>
      <c r="B889" s="7" t="str">
        <f>VLOOKUP(VALUE(A889), 'DICIONÁRIO UF'!$A:$B, 2, FALSE)</f>
        <v>Amapá</v>
      </c>
      <c r="C889" s="3">
        <v>64000</v>
      </c>
      <c r="D889" s="5" t="str">
        <f>VLOOKUP(C889, 'DICIONÁRIO CNAES'!$A:$B, 2, FALSE)</f>
        <v>Serviços financeiros</v>
      </c>
      <c r="E889" s="4">
        <v>333.97175526000001</v>
      </c>
      <c r="F889" s="4">
        <v>1246541.9784949999</v>
      </c>
    </row>
    <row r="890" spans="1:6" x14ac:dyDescent="0.3">
      <c r="A890" s="3" t="s">
        <v>9</v>
      </c>
      <c r="B890" s="7" t="str">
        <f>VLOOKUP(VALUE(A890), 'DICIONÁRIO UF'!$A:$B, 2, FALSE)</f>
        <v>Amapá</v>
      </c>
      <c r="C890" s="3">
        <v>65000</v>
      </c>
      <c r="D890" s="5" t="str">
        <f>VLOOKUP(C890, 'DICIONÁRIO CNAES'!$A:$B, 2, FALSE)</f>
        <v>Seguros e previdência privada</v>
      </c>
      <c r="E890" s="4">
        <v>393.96023332999999</v>
      </c>
      <c r="F890" s="4">
        <v>508271.61850300001</v>
      </c>
    </row>
    <row r="891" spans="1:6" x14ac:dyDescent="0.3">
      <c r="A891" s="3" t="s">
        <v>9</v>
      </c>
      <c r="B891" s="7" t="str">
        <f>VLOOKUP(VALUE(A891), 'DICIONÁRIO UF'!$A:$B, 2, FALSE)</f>
        <v>Amapá</v>
      </c>
      <c r="C891" s="3">
        <v>68000</v>
      </c>
      <c r="D891" s="5" t="str">
        <f>VLOOKUP(C891, 'DICIONÁRIO CNAES'!$A:$B, 2, FALSE)</f>
        <v>Atividades imobiliárias</v>
      </c>
      <c r="E891" s="4">
        <v>80.255499150000006</v>
      </c>
      <c r="F891" s="4">
        <v>561788.4940500001</v>
      </c>
    </row>
    <row r="892" spans="1:6" x14ac:dyDescent="0.3">
      <c r="A892" s="3" t="s">
        <v>9</v>
      </c>
      <c r="B892" s="7" t="str">
        <f>VLOOKUP(VALUE(A892), 'DICIONÁRIO UF'!$A:$B, 2, FALSE)</f>
        <v>Amapá</v>
      </c>
      <c r="C892" s="3">
        <v>69000</v>
      </c>
      <c r="D892" s="5" t="str">
        <f>VLOOKUP(C892, 'DICIONÁRIO CNAES'!$A:$B, 2, FALSE)</f>
        <v xml:space="preserve">Atividades jurídicas, de contabilidade e de auditoria </v>
      </c>
      <c r="E892" s="4">
        <v>4399.5290603200001</v>
      </c>
      <c r="F892" s="4">
        <v>13943896.341807</v>
      </c>
    </row>
    <row r="893" spans="1:6" x14ac:dyDescent="0.3">
      <c r="A893" s="3" t="s">
        <v>9</v>
      </c>
      <c r="B893" s="7" t="str">
        <f>VLOOKUP(VALUE(A893), 'DICIONÁRIO UF'!$A:$B, 2, FALSE)</f>
        <v>Amapá</v>
      </c>
      <c r="C893" s="3">
        <v>70000</v>
      </c>
      <c r="D893" s="5" t="str">
        <f>VLOOKUP(C893, 'DICIONÁRIO CNAES'!$A:$B, 2, FALSE)</f>
        <v>Atividades de consultoria em gestão empresarial</v>
      </c>
      <c r="E893" s="4">
        <v>1124.0247532200001</v>
      </c>
      <c r="F893" s="4">
        <v>4718086.6619250001</v>
      </c>
    </row>
    <row r="894" spans="1:6" x14ac:dyDescent="0.3">
      <c r="A894" s="3" t="s">
        <v>9</v>
      </c>
      <c r="B894" s="7" t="str">
        <f>VLOOKUP(VALUE(A894), 'DICIONÁRIO UF'!$A:$B, 2, FALSE)</f>
        <v>Amapá</v>
      </c>
      <c r="C894" s="3">
        <v>71000</v>
      </c>
      <c r="D894" s="5" t="str">
        <f>VLOOKUP(C894, 'DICIONÁRIO CNAES'!$A:$B, 2, FALSE)</f>
        <v>Serviços de arquitetura e engenharia e atividades técnicas relacionadas; Testes e análises técnicas</v>
      </c>
      <c r="E894" s="4">
        <v>2136.9193747099998</v>
      </c>
      <c r="F894" s="4">
        <v>13347986.730684999</v>
      </c>
    </row>
    <row r="895" spans="1:6" x14ac:dyDescent="0.3">
      <c r="A895" s="3" t="s">
        <v>9</v>
      </c>
      <c r="B895" s="7" t="str">
        <f>VLOOKUP(VALUE(A895), 'DICIONÁRIO UF'!$A:$B, 2, FALSE)</f>
        <v>Amapá</v>
      </c>
      <c r="C895" s="3">
        <v>72000</v>
      </c>
      <c r="D895" s="5" t="str">
        <f>VLOOKUP(C895, 'DICIONÁRIO CNAES'!$A:$B, 2, FALSE)</f>
        <v>Pesquisa e desenvolvimento científico</v>
      </c>
      <c r="E895" s="4">
        <v>108.19685370000001</v>
      </c>
      <c r="F895" s="4">
        <v>627541.75146000006</v>
      </c>
    </row>
    <row r="896" spans="1:6" x14ac:dyDescent="0.3">
      <c r="A896" s="3" t="s">
        <v>9</v>
      </c>
      <c r="B896" s="7" t="str">
        <f>VLOOKUP(VALUE(A896), 'DICIONÁRIO UF'!$A:$B, 2, FALSE)</f>
        <v>Amapá</v>
      </c>
      <c r="C896" s="3">
        <v>73010</v>
      </c>
      <c r="D896" s="5" t="str">
        <f>VLOOKUP(C896, 'DICIONÁRIO CNAES'!$A:$B, 2, FALSE)</f>
        <v>Publicidade</v>
      </c>
      <c r="E896" s="4">
        <v>1457.91147088</v>
      </c>
      <c r="F896" s="4">
        <v>5201088.2735299999</v>
      </c>
    </row>
    <row r="897" spans="1:6" x14ac:dyDescent="0.3">
      <c r="A897" s="3" t="s">
        <v>9</v>
      </c>
      <c r="B897" s="7" t="str">
        <f>VLOOKUP(VALUE(A897), 'DICIONÁRIO UF'!$A:$B, 2, FALSE)</f>
        <v>Amapá</v>
      </c>
      <c r="C897" s="3">
        <v>73020</v>
      </c>
      <c r="D897" s="5" t="str">
        <f>VLOOKUP(C897, 'DICIONÁRIO CNAES'!$A:$B, 2, FALSE)</f>
        <v>Pesquisas de mercado e opinião pública</v>
      </c>
      <c r="E897" s="4">
        <v>185.75596702999999</v>
      </c>
      <c r="F897" s="4">
        <v>204331.56373299999</v>
      </c>
    </row>
    <row r="898" spans="1:6" x14ac:dyDescent="0.3">
      <c r="A898" s="3" t="s">
        <v>9</v>
      </c>
      <c r="B898" s="7" t="str">
        <f>VLOOKUP(VALUE(A898), 'DICIONÁRIO UF'!$A:$B, 2, FALSE)</f>
        <v>Amapá</v>
      </c>
      <c r="C898" s="3">
        <v>74000</v>
      </c>
      <c r="D898" s="5" t="str">
        <f>VLOOKUP(C898, 'DICIONÁRIO CNAES'!$A:$B, 2, FALSE)</f>
        <v>Outras atividades profissionais, científicas e técnicas não especificadas anteriormente</v>
      </c>
      <c r="E898" s="4">
        <v>347.53280459000001</v>
      </c>
      <c r="F898" s="4">
        <v>797277.13811499998</v>
      </c>
    </row>
    <row r="899" spans="1:6" x14ac:dyDescent="0.3">
      <c r="A899" s="3" t="s">
        <v>9</v>
      </c>
      <c r="B899" s="7" t="str">
        <f>VLOOKUP(VALUE(A899), 'DICIONÁRIO UF'!$A:$B, 2, FALSE)</f>
        <v>Amapá</v>
      </c>
      <c r="C899" s="3">
        <v>75000</v>
      </c>
      <c r="D899" s="5" t="str">
        <f>VLOOKUP(C899, 'DICIONÁRIO CNAES'!$A:$B, 2, FALSE)</f>
        <v>Atividades veterinárias</v>
      </c>
      <c r="E899" s="4">
        <v>310.99883640000002</v>
      </c>
      <c r="F899" s="4">
        <v>832664.03083499998</v>
      </c>
    </row>
    <row r="900" spans="1:6" x14ac:dyDescent="0.3">
      <c r="A900" s="3" t="s">
        <v>9</v>
      </c>
      <c r="B900" s="7" t="str">
        <f>VLOOKUP(VALUE(A900), 'DICIONÁRIO UF'!$A:$B, 2, FALSE)</f>
        <v>Amapá</v>
      </c>
      <c r="C900" s="3">
        <v>77020</v>
      </c>
      <c r="D900" s="5" t="str">
        <f>VLOOKUP(C900, 'DICIONÁRIO CNAES'!$A:$B, 2, FALSE)</f>
        <v>Aluguel de meios de transportes, maquinas e equipamentos sem operador e gestão de ativos intangíveis não financeiros</v>
      </c>
      <c r="E900" s="4">
        <v>195.14704062999999</v>
      </c>
      <c r="F900" s="4">
        <v>351264.67313399998</v>
      </c>
    </row>
    <row r="901" spans="1:6" x14ac:dyDescent="0.3">
      <c r="A901" s="3" t="s">
        <v>9</v>
      </c>
      <c r="B901" s="7" t="str">
        <f>VLOOKUP(VALUE(A901), 'DICIONÁRIO UF'!$A:$B, 2, FALSE)</f>
        <v>Amapá</v>
      </c>
      <c r="C901" s="3">
        <v>78000</v>
      </c>
      <c r="D901" s="5" t="str">
        <f>VLOOKUP(C901, 'DICIONÁRIO CNAES'!$A:$B, 2, FALSE)</f>
        <v>Seleção, agenciamento e locação de mão-de-obra</v>
      </c>
      <c r="E901" s="4">
        <v>184.29499362999999</v>
      </c>
      <c r="F901" s="4">
        <v>467050.75274655002</v>
      </c>
    </row>
    <row r="902" spans="1:6" x14ac:dyDescent="0.3">
      <c r="A902" s="3" t="s">
        <v>9</v>
      </c>
      <c r="B902" s="7" t="str">
        <f>VLOOKUP(VALUE(A902), 'DICIONÁRIO UF'!$A:$B, 2, FALSE)</f>
        <v>Amapá</v>
      </c>
      <c r="C902" s="3">
        <v>79000</v>
      </c>
      <c r="D902" s="5" t="str">
        <f>VLOOKUP(C902, 'DICIONÁRIO CNAES'!$A:$B, 2, FALSE)</f>
        <v>Agências de viagens, operadores turísticos e serviços de reservas</v>
      </c>
      <c r="E902" s="4">
        <v>205.17866361</v>
      </c>
      <c r="F902" s="4">
        <v>574860.32134000002</v>
      </c>
    </row>
    <row r="903" spans="1:6" x14ac:dyDescent="0.3">
      <c r="A903" s="3" t="s">
        <v>9</v>
      </c>
      <c r="B903" s="7" t="str">
        <f>VLOOKUP(VALUE(A903), 'DICIONÁRIO UF'!$A:$B, 2, FALSE)</f>
        <v>Amapá</v>
      </c>
      <c r="C903" s="3">
        <v>80000</v>
      </c>
      <c r="D903" s="5" t="str">
        <f>VLOOKUP(C903, 'DICIONÁRIO CNAES'!$A:$B, 2, FALSE)</f>
        <v>Atividades de vigilância, segurança, transporte de valores e investigação</v>
      </c>
      <c r="E903" s="4">
        <v>1899.16502251</v>
      </c>
      <c r="F903" s="4">
        <v>2916484.28162716</v>
      </c>
    </row>
    <row r="904" spans="1:6" x14ac:dyDescent="0.3">
      <c r="A904" s="3" t="s">
        <v>9</v>
      </c>
      <c r="B904" s="7" t="str">
        <f>VLOOKUP(VALUE(A904), 'DICIONÁRIO UF'!$A:$B, 2, FALSE)</f>
        <v>Amapá</v>
      </c>
      <c r="C904" s="3">
        <v>81011</v>
      </c>
      <c r="D904" s="5" t="str">
        <f>VLOOKUP(C904, 'DICIONÁRIO CNAES'!$A:$B, 2, FALSE)</f>
        <v>Serviços de limpeza e de apoio a edifícios, exceto condomínios prediais</v>
      </c>
      <c r="E904" s="4">
        <v>9405.5764907600005</v>
      </c>
      <c r="F904" s="4">
        <v>10943209.643873859</v>
      </c>
    </row>
    <row r="905" spans="1:6" x14ac:dyDescent="0.3">
      <c r="A905" s="3" t="s">
        <v>9</v>
      </c>
      <c r="B905" s="7" t="str">
        <f>VLOOKUP(VALUE(A905), 'DICIONÁRIO UF'!$A:$B, 2, FALSE)</f>
        <v>Amapá</v>
      </c>
      <c r="C905" s="3">
        <v>81012</v>
      </c>
      <c r="D905" s="5" t="str">
        <f>VLOOKUP(C905, 'DICIONÁRIO CNAES'!$A:$B, 2, FALSE)</f>
        <v>Condomínios prediais</v>
      </c>
      <c r="E905" s="4">
        <v>517.00412643999994</v>
      </c>
      <c r="F905" s="4">
        <v>568704.53908400005</v>
      </c>
    </row>
    <row r="906" spans="1:6" x14ac:dyDescent="0.3">
      <c r="A906" s="3" t="s">
        <v>9</v>
      </c>
      <c r="B906" s="7" t="str">
        <f>VLOOKUP(VALUE(A906), 'DICIONÁRIO UF'!$A:$B, 2, FALSE)</f>
        <v>Amapá</v>
      </c>
      <c r="C906" s="3">
        <v>81020</v>
      </c>
      <c r="D906" s="5" t="str">
        <f>VLOOKUP(C906, 'DICIONÁRIO CNAES'!$A:$B, 2, FALSE)</f>
        <v>Atividades paisagísticas</v>
      </c>
      <c r="E906" s="4">
        <v>379.60628164000002</v>
      </c>
      <c r="F906" s="4">
        <v>465699.15010999999</v>
      </c>
    </row>
    <row r="907" spans="1:6" x14ac:dyDescent="0.3">
      <c r="A907" s="3" t="s">
        <v>9</v>
      </c>
      <c r="B907" s="7" t="str">
        <f>VLOOKUP(VALUE(A907), 'DICIONÁRIO UF'!$A:$B, 2, FALSE)</f>
        <v>Amapá</v>
      </c>
      <c r="C907" s="3">
        <v>82001</v>
      </c>
      <c r="D907" s="5" t="str">
        <f>VLOOKUP(C907, 'DICIONÁRIO CNAES'!$A:$B, 2, FALSE)</f>
        <v>Serviços de escritório e apoio administrativo</v>
      </c>
      <c r="E907" s="4">
        <v>507.56197718999999</v>
      </c>
      <c r="F907" s="4">
        <v>683007.74795599992</v>
      </c>
    </row>
    <row r="908" spans="1:6" x14ac:dyDescent="0.3">
      <c r="A908" s="3" t="s">
        <v>9</v>
      </c>
      <c r="B908" s="7" t="str">
        <f>VLOOKUP(VALUE(A908), 'DICIONÁRIO UF'!$A:$B, 2, FALSE)</f>
        <v>Amapá</v>
      </c>
      <c r="C908" s="3">
        <v>82009</v>
      </c>
      <c r="D908" s="5" t="str">
        <f>VLOOKUP(C908, 'DICIONÁRIO CNAES'!$A:$B, 2, FALSE)</f>
        <v>Outras atividades de serviços prestados principalmente às empresas</v>
      </c>
      <c r="E908" s="4">
        <v>895.08653629000003</v>
      </c>
      <c r="F908" s="4">
        <v>1693882.5615940001</v>
      </c>
    </row>
    <row r="909" spans="1:6" x14ac:dyDescent="0.3">
      <c r="A909" s="3" t="s">
        <v>9</v>
      </c>
      <c r="B909" s="7" t="str">
        <f>VLOOKUP(VALUE(A909), 'DICIONÁRIO UF'!$A:$B, 2, FALSE)</f>
        <v>Amapá</v>
      </c>
      <c r="C909" s="3">
        <v>84011</v>
      </c>
      <c r="D909" s="5" t="str">
        <f>VLOOKUP(C909, 'DICIONÁRIO CNAES'!$A:$B, 2, FALSE)</f>
        <v>Administração publica e regulação da política econômica e social - Federal</v>
      </c>
      <c r="E909" s="4">
        <v>2732.4111506600002</v>
      </c>
      <c r="F909" s="4">
        <v>13122224.0375915</v>
      </c>
    </row>
    <row r="910" spans="1:6" x14ac:dyDescent="0.3">
      <c r="A910" s="3" t="s">
        <v>9</v>
      </c>
      <c r="B910" s="7" t="str">
        <f>VLOOKUP(VALUE(A910), 'DICIONÁRIO UF'!$A:$B, 2, FALSE)</f>
        <v>Amapá</v>
      </c>
      <c r="C910" s="3">
        <v>84012</v>
      </c>
      <c r="D910" s="5" t="str">
        <f>VLOOKUP(C910, 'DICIONÁRIO CNAES'!$A:$B, 2, FALSE)</f>
        <v>Administração publica e regulação da política econômica e social - Estadual</v>
      </c>
      <c r="E910" s="4">
        <v>9765.0472264100008</v>
      </c>
      <c r="F910" s="4">
        <v>42893541.552887</v>
      </c>
    </row>
    <row r="911" spans="1:6" x14ac:dyDescent="0.3">
      <c r="A911" s="3" t="s">
        <v>9</v>
      </c>
      <c r="B911" s="7" t="str">
        <f>VLOOKUP(VALUE(A911), 'DICIONÁRIO UF'!$A:$B, 2, FALSE)</f>
        <v>Amapá</v>
      </c>
      <c r="C911" s="3">
        <v>84013</v>
      </c>
      <c r="D911" s="5" t="str">
        <f>VLOOKUP(C911, 'DICIONÁRIO CNAES'!$A:$B, 2, FALSE)</f>
        <v>Administração publica e regulação da política econômica e social - Municipal</v>
      </c>
      <c r="E911" s="4">
        <v>8443.4564857200003</v>
      </c>
      <c r="F911" s="4">
        <v>18573112.163066551</v>
      </c>
    </row>
    <row r="912" spans="1:6" x14ac:dyDescent="0.3">
      <c r="A912" s="3" t="s">
        <v>9</v>
      </c>
      <c r="B912" s="7" t="str">
        <f>VLOOKUP(VALUE(A912), 'DICIONÁRIO UF'!$A:$B, 2, FALSE)</f>
        <v>Amapá</v>
      </c>
      <c r="C912" s="3">
        <v>84014</v>
      </c>
      <c r="D912" s="5" t="str">
        <f>VLOOKUP(C912, 'DICIONÁRIO CNAES'!$A:$B, 2, FALSE)</f>
        <v>Defesa</v>
      </c>
      <c r="E912" s="4">
        <v>484.07712909999998</v>
      </c>
      <c r="F912" s="4">
        <v>2146604.9440740002</v>
      </c>
    </row>
    <row r="913" spans="1:6" x14ac:dyDescent="0.3">
      <c r="A913" s="3" t="s">
        <v>9</v>
      </c>
      <c r="B913" s="7" t="str">
        <f>VLOOKUP(VALUE(A913), 'DICIONÁRIO UF'!$A:$B, 2, FALSE)</f>
        <v>Amapá</v>
      </c>
      <c r="C913" s="3">
        <v>84015</v>
      </c>
      <c r="D913" s="5" t="str">
        <f>VLOOKUP(C913, 'DICIONÁRIO CNAES'!$A:$B, 2, FALSE)</f>
        <v>Outros serviços coletivos prestados pela administração pública - Federal</v>
      </c>
      <c r="E913" s="4">
        <v>150.2295555</v>
      </c>
      <c r="F913" s="4">
        <v>784198.27971000003</v>
      </c>
    </row>
    <row r="914" spans="1:6" x14ac:dyDescent="0.3">
      <c r="A914" s="3" t="s">
        <v>9</v>
      </c>
      <c r="B914" s="7" t="str">
        <f>VLOOKUP(VALUE(A914), 'DICIONÁRIO UF'!$A:$B, 2, FALSE)</f>
        <v>Amapá</v>
      </c>
      <c r="C914" s="3">
        <v>84016</v>
      </c>
      <c r="D914" s="5" t="str">
        <f>VLOOKUP(C914, 'DICIONÁRIO CNAES'!$A:$B, 2, FALSE)</f>
        <v>Outros serviços coletivos prestados pela administração pública - Estadual</v>
      </c>
      <c r="E914" s="4">
        <v>7580.0655784199998</v>
      </c>
      <c r="F914" s="4">
        <v>63728499.096562803</v>
      </c>
    </row>
    <row r="915" spans="1:6" x14ac:dyDescent="0.3">
      <c r="A915" s="3" t="s">
        <v>9</v>
      </c>
      <c r="B915" s="7" t="str">
        <f>VLOOKUP(VALUE(A915), 'DICIONÁRIO UF'!$A:$B, 2, FALSE)</f>
        <v>Amapá</v>
      </c>
      <c r="C915" s="3">
        <v>84017</v>
      </c>
      <c r="D915" s="5" t="str">
        <f>VLOOKUP(C915, 'DICIONÁRIO CNAES'!$A:$B, 2, FALSE)</f>
        <v>Outros serviços coletivos prestados pela administração pública - Municipal</v>
      </c>
      <c r="E915" s="4">
        <v>399.57640563000001</v>
      </c>
      <c r="F915" s="4">
        <v>913866.42455699993</v>
      </c>
    </row>
    <row r="916" spans="1:6" x14ac:dyDescent="0.3">
      <c r="A916" s="3" t="s">
        <v>9</v>
      </c>
      <c r="B916" s="7" t="str">
        <f>VLOOKUP(VALUE(A916), 'DICIONÁRIO UF'!$A:$B, 2, FALSE)</f>
        <v>Amapá</v>
      </c>
      <c r="C916" s="3">
        <v>84020</v>
      </c>
      <c r="D916" s="5" t="str">
        <f>VLOOKUP(C916, 'DICIONÁRIO CNAES'!$A:$B, 2, FALSE)</f>
        <v>Seguridade social obrigatória</v>
      </c>
      <c r="E916" s="4">
        <v>118.56278933</v>
      </c>
      <c r="F916" s="4">
        <v>1185627.8933000001</v>
      </c>
    </row>
    <row r="917" spans="1:6" x14ac:dyDescent="0.3">
      <c r="A917" s="3" t="s">
        <v>9</v>
      </c>
      <c r="B917" s="7" t="str">
        <f>VLOOKUP(VALUE(A917), 'DICIONÁRIO UF'!$A:$B, 2, FALSE)</f>
        <v>Amapá</v>
      </c>
      <c r="C917" s="3">
        <v>85012</v>
      </c>
      <c r="D917" s="5" t="str">
        <f>VLOOKUP(C917, 'DICIONÁRIO CNAES'!$A:$B, 2, FALSE)</f>
        <v>Pré-escola e ensino fundamental</v>
      </c>
      <c r="E917" s="4">
        <v>15751.66812778</v>
      </c>
      <c r="F917" s="4">
        <v>58356588.053162277</v>
      </c>
    </row>
    <row r="918" spans="1:6" x14ac:dyDescent="0.3">
      <c r="A918" s="3" t="s">
        <v>9</v>
      </c>
      <c r="B918" s="7" t="str">
        <f>VLOOKUP(VALUE(A918), 'DICIONÁRIO UF'!$A:$B, 2, FALSE)</f>
        <v>Amapá</v>
      </c>
      <c r="C918" s="3">
        <v>85013</v>
      </c>
      <c r="D918" s="5" t="str">
        <f>VLOOKUP(C918, 'DICIONÁRIO CNAES'!$A:$B, 2, FALSE)</f>
        <v>Ensino médio</v>
      </c>
      <c r="E918" s="4">
        <v>11107.91323045</v>
      </c>
      <c r="F918" s="4">
        <v>58135876.776877522</v>
      </c>
    </row>
    <row r="919" spans="1:6" x14ac:dyDescent="0.3">
      <c r="A919" s="3" t="s">
        <v>9</v>
      </c>
      <c r="B919" s="7" t="str">
        <f>VLOOKUP(VALUE(A919), 'DICIONÁRIO UF'!$A:$B, 2, FALSE)</f>
        <v>Amapá</v>
      </c>
      <c r="C919" s="3">
        <v>85014</v>
      </c>
      <c r="D919" s="5" t="str">
        <f>VLOOKUP(C919, 'DICIONÁRIO CNAES'!$A:$B, 2, FALSE)</f>
        <v>Educação superior</v>
      </c>
      <c r="E919" s="4">
        <v>1694.5849145499999</v>
      </c>
      <c r="F919" s="4">
        <v>4408554.7949980004</v>
      </c>
    </row>
    <row r="920" spans="1:6" x14ac:dyDescent="0.3">
      <c r="A920" s="3" t="s">
        <v>9</v>
      </c>
      <c r="B920" s="7" t="str">
        <f>VLOOKUP(VALUE(A920), 'DICIONÁRIO UF'!$A:$B, 2, FALSE)</f>
        <v>Amapá</v>
      </c>
      <c r="C920" s="3">
        <v>85021</v>
      </c>
      <c r="D920" s="5" t="str">
        <f>VLOOKUP(C920, 'DICIONÁRIO CNAES'!$A:$B, 2, FALSE)</f>
        <v>Serviços auxiliares à educação</v>
      </c>
      <c r="E920" s="4">
        <v>379.44839519999999</v>
      </c>
      <c r="F920" s="4">
        <v>1187493.9507780001</v>
      </c>
    </row>
    <row r="921" spans="1:6" x14ac:dyDescent="0.3">
      <c r="A921" s="3" t="s">
        <v>9</v>
      </c>
      <c r="B921" s="7" t="str">
        <f>VLOOKUP(VALUE(A921), 'DICIONÁRIO UF'!$A:$B, 2, FALSE)</f>
        <v>Amapá</v>
      </c>
      <c r="C921" s="3">
        <v>85029</v>
      </c>
      <c r="D921" s="5" t="str">
        <f>VLOOKUP(C921, 'DICIONÁRIO CNAES'!$A:$B, 2, FALSE)</f>
        <v>Outras atividades de ensino</v>
      </c>
      <c r="E921" s="4">
        <v>2365.3223502400001</v>
      </c>
      <c r="F921" s="4">
        <v>3932033.6477910001</v>
      </c>
    </row>
    <row r="922" spans="1:6" x14ac:dyDescent="0.3">
      <c r="A922" s="3" t="s">
        <v>9</v>
      </c>
      <c r="B922" s="7" t="str">
        <f>VLOOKUP(VALUE(A922), 'DICIONÁRIO UF'!$A:$B, 2, FALSE)</f>
        <v>Amapá</v>
      </c>
      <c r="C922" s="3">
        <v>86001</v>
      </c>
      <c r="D922" s="5" t="str">
        <f>VLOOKUP(C922, 'DICIONÁRIO CNAES'!$A:$B, 2, FALSE)</f>
        <v>Atividades de atendimento hospitalar</v>
      </c>
      <c r="E922" s="4">
        <v>6961.1953277000002</v>
      </c>
      <c r="F922" s="4">
        <v>22190406.543903999</v>
      </c>
    </row>
    <row r="923" spans="1:6" x14ac:dyDescent="0.3">
      <c r="A923" s="3" t="s">
        <v>9</v>
      </c>
      <c r="B923" s="7" t="str">
        <f>VLOOKUP(VALUE(A923), 'DICIONÁRIO UF'!$A:$B, 2, FALSE)</f>
        <v>Amapá</v>
      </c>
      <c r="C923" s="3">
        <v>86002</v>
      </c>
      <c r="D923" s="5" t="str">
        <f>VLOOKUP(C923, 'DICIONÁRIO CNAES'!$A:$B, 2, FALSE)</f>
        <v>Atividades de atenção ambulatorial executadas por médicos e odontólogos</v>
      </c>
      <c r="E923" s="4">
        <v>7687.4252611399997</v>
      </c>
      <c r="F923" s="4">
        <v>16150769.3405391</v>
      </c>
    </row>
    <row r="924" spans="1:6" x14ac:dyDescent="0.3">
      <c r="A924" s="3" t="s">
        <v>9</v>
      </c>
      <c r="B924" s="7" t="str">
        <f>VLOOKUP(VALUE(A924), 'DICIONÁRIO UF'!$A:$B, 2, FALSE)</f>
        <v>Amapá</v>
      </c>
      <c r="C924" s="3">
        <v>86003</v>
      </c>
      <c r="D924" s="5" t="str">
        <f>VLOOKUP(C924, 'DICIONÁRIO CNAES'!$A:$B, 2, FALSE)</f>
        <v>Atividades de serviços de complementação diagnóstica e terapêutica</v>
      </c>
      <c r="E924" s="4">
        <v>632.71076096000002</v>
      </c>
      <c r="F924" s="4">
        <v>2071424.34561</v>
      </c>
    </row>
    <row r="925" spans="1:6" x14ac:dyDescent="0.3">
      <c r="A925" s="3" t="s">
        <v>9</v>
      </c>
      <c r="B925" s="7" t="str">
        <f>VLOOKUP(VALUE(A925), 'DICIONÁRIO UF'!$A:$B, 2, FALSE)</f>
        <v>Amapá</v>
      </c>
      <c r="C925" s="3">
        <v>86004</v>
      </c>
      <c r="D925" s="5" t="str">
        <f>VLOOKUP(C925, 'DICIONÁRIO CNAES'!$A:$B, 2, FALSE)</f>
        <v>Atividades de profissionais da área de saúde, exceto médicos e odontólogos</v>
      </c>
      <c r="E925" s="4">
        <v>421.79200330999998</v>
      </c>
      <c r="F925" s="4">
        <v>1581141.562045</v>
      </c>
    </row>
    <row r="926" spans="1:6" x14ac:dyDescent="0.3">
      <c r="A926" s="3" t="s">
        <v>9</v>
      </c>
      <c r="B926" s="7" t="str">
        <f>VLOOKUP(VALUE(A926), 'DICIONÁRIO UF'!$A:$B, 2, FALSE)</f>
        <v>Amapá</v>
      </c>
      <c r="C926" s="3">
        <v>87000</v>
      </c>
      <c r="D926" s="5" t="str">
        <f>VLOOKUP(C926, 'DICIONÁRIO CNAES'!$A:$B, 2, FALSE)</f>
        <v>Atividades de assistência à saude humana integradas com assistencia social, inclusive prestadas em residencias</v>
      </c>
      <c r="E926" s="4">
        <v>514.31218228</v>
      </c>
      <c r="F926" s="4">
        <v>1238096.0090320001</v>
      </c>
    </row>
    <row r="927" spans="1:6" x14ac:dyDescent="0.3">
      <c r="A927" s="3" t="s">
        <v>9</v>
      </c>
      <c r="B927" s="7" t="str">
        <f>VLOOKUP(VALUE(A927), 'DICIONÁRIO UF'!$A:$B, 2, FALSE)</f>
        <v>Amapá</v>
      </c>
      <c r="C927" s="3">
        <v>88000</v>
      </c>
      <c r="D927" s="5" t="str">
        <f>VLOOKUP(C927, 'DICIONÁRIO CNAES'!$A:$B, 2, FALSE)</f>
        <v>Serviços de assistência social sem alojamento</v>
      </c>
      <c r="E927" s="4">
        <v>180.03523288</v>
      </c>
      <c r="F927" s="4">
        <v>360070.46575999999</v>
      </c>
    </row>
    <row r="928" spans="1:6" x14ac:dyDescent="0.3">
      <c r="A928" s="3" t="s">
        <v>9</v>
      </c>
      <c r="B928" s="7" t="str">
        <f>VLOOKUP(VALUE(A928), 'DICIONÁRIO UF'!$A:$B, 2, FALSE)</f>
        <v>Amapá</v>
      </c>
      <c r="C928" s="3">
        <v>90000</v>
      </c>
      <c r="D928" s="5" t="str">
        <f>VLOOKUP(C928, 'DICIONÁRIO CNAES'!$A:$B, 2, FALSE)</f>
        <v>Atividades artísticas, criativas e de espetáculos</v>
      </c>
      <c r="E928" s="4">
        <v>716.07558840999991</v>
      </c>
      <c r="F928" s="4">
        <v>1067777.221835</v>
      </c>
    </row>
    <row r="929" spans="1:6" x14ac:dyDescent="0.3">
      <c r="A929" s="3" t="s">
        <v>9</v>
      </c>
      <c r="B929" s="7" t="str">
        <f>VLOOKUP(VALUE(A929), 'DICIONÁRIO UF'!$A:$B, 2, FALSE)</f>
        <v>Amapá</v>
      </c>
      <c r="C929" s="3">
        <v>91000</v>
      </c>
      <c r="D929" s="5" t="str">
        <f>VLOOKUP(C929, 'DICIONÁRIO CNAES'!$A:$B, 2, FALSE)</f>
        <v>Atividades ligadas ao patrimônio cultural e ambiental</v>
      </c>
      <c r="E929" s="4">
        <v>123.68530042</v>
      </c>
      <c r="F929" s="4">
        <v>373653.29256882</v>
      </c>
    </row>
    <row r="930" spans="1:6" x14ac:dyDescent="0.3">
      <c r="A930" s="3" t="s">
        <v>9</v>
      </c>
      <c r="B930" s="7" t="str">
        <f>VLOOKUP(VALUE(A930), 'DICIONÁRIO UF'!$A:$B, 2, FALSE)</f>
        <v>Amapá</v>
      </c>
      <c r="C930" s="3">
        <v>93012</v>
      </c>
      <c r="D930" s="5" t="str">
        <f>VLOOKUP(C930, 'DICIONÁRIO CNAES'!$A:$B, 2, FALSE)</f>
        <v>Atividades de condicionamento físico</v>
      </c>
      <c r="E930" s="4">
        <v>1548.38130495</v>
      </c>
      <c r="F930" s="4">
        <v>8687865.5427470002</v>
      </c>
    </row>
    <row r="931" spans="1:6" x14ac:dyDescent="0.3">
      <c r="A931" s="3" t="s">
        <v>9</v>
      </c>
      <c r="B931" s="7" t="str">
        <f>VLOOKUP(VALUE(A931), 'DICIONÁRIO UF'!$A:$B, 2, FALSE)</f>
        <v>Amapá</v>
      </c>
      <c r="C931" s="3">
        <v>93020</v>
      </c>
      <c r="D931" s="5" t="str">
        <f>VLOOKUP(C931, 'DICIONÁRIO CNAES'!$A:$B, 2, FALSE)</f>
        <v>Atividades de recreação e lazer</v>
      </c>
      <c r="E931" s="4">
        <v>413.34454479999999</v>
      </c>
      <c r="F931" s="4">
        <v>3392149.6038319999</v>
      </c>
    </row>
    <row r="932" spans="1:6" x14ac:dyDescent="0.3">
      <c r="A932" s="3" t="s">
        <v>9</v>
      </c>
      <c r="B932" s="7" t="str">
        <f>VLOOKUP(VALUE(A932), 'DICIONÁRIO UF'!$A:$B, 2, FALSE)</f>
        <v>Amapá</v>
      </c>
      <c r="C932" s="3">
        <v>94091</v>
      </c>
      <c r="D932" s="5" t="str">
        <f>VLOOKUP(C932, 'DICIONÁRIO CNAES'!$A:$B, 2, FALSE)</f>
        <v>Atividades de organizações religiosas e filosóficas</v>
      </c>
      <c r="E932" s="4">
        <v>1140.97733898</v>
      </c>
      <c r="F932" s="4">
        <v>1332329.2675625</v>
      </c>
    </row>
    <row r="933" spans="1:6" x14ac:dyDescent="0.3">
      <c r="A933" s="3" t="s">
        <v>9</v>
      </c>
      <c r="B933" s="7" t="str">
        <f>VLOOKUP(VALUE(A933), 'DICIONÁRIO UF'!$A:$B, 2, FALSE)</f>
        <v>Amapá</v>
      </c>
      <c r="C933" s="3">
        <v>95010</v>
      </c>
      <c r="D933" s="5" t="str">
        <f>VLOOKUP(C933, 'DICIONÁRIO CNAES'!$A:$B, 2, FALSE)</f>
        <v>Reparação e manutenção de equipamentos de informática e comunicação</v>
      </c>
      <c r="E933" s="4">
        <v>1596.3056285600001</v>
      </c>
      <c r="F933" s="4">
        <v>1773915.705391</v>
      </c>
    </row>
    <row r="934" spans="1:6" x14ac:dyDescent="0.3">
      <c r="A934" s="3" t="s">
        <v>9</v>
      </c>
      <c r="B934" s="7" t="str">
        <f>VLOOKUP(VALUE(A934), 'DICIONÁRIO UF'!$A:$B, 2, FALSE)</f>
        <v>Amapá</v>
      </c>
      <c r="C934" s="3">
        <v>95030</v>
      </c>
      <c r="D934" s="5" t="str">
        <f>VLOOKUP(C934, 'DICIONÁRIO CNAES'!$A:$B, 2, FALSE)</f>
        <v>Reparação e manutenção de objetos e equipamentos pessoais e domésticos</v>
      </c>
      <c r="E934" s="4">
        <v>2631.7098219999998</v>
      </c>
      <c r="F934" s="4">
        <v>2957734.3861385002</v>
      </c>
    </row>
    <row r="935" spans="1:6" x14ac:dyDescent="0.3">
      <c r="A935" s="3" t="s">
        <v>9</v>
      </c>
      <c r="B935" s="7" t="str">
        <f>VLOOKUP(VALUE(A935), 'DICIONÁRIO UF'!$A:$B, 2, FALSE)</f>
        <v>Amapá</v>
      </c>
      <c r="C935" s="3">
        <v>96020</v>
      </c>
      <c r="D935" s="5" t="str">
        <f>VLOOKUP(C935, 'DICIONÁRIO CNAES'!$A:$B, 2, FALSE)</f>
        <v>Cabeleireiros e outras atividades de tratamento de beleza</v>
      </c>
      <c r="E935" s="4">
        <v>7498.8048431100005</v>
      </c>
      <c r="F935" s="4">
        <v>9537435.490983</v>
      </c>
    </row>
    <row r="936" spans="1:6" x14ac:dyDescent="0.3">
      <c r="A936" s="3" t="s">
        <v>9</v>
      </c>
      <c r="B936" s="7" t="str">
        <f>VLOOKUP(VALUE(A936), 'DICIONÁRIO UF'!$A:$B, 2, FALSE)</f>
        <v>Amapá</v>
      </c>
      <c r="C936" s="3">
        <v>96030</v>
      </c>
      <c r="D936" s="5" t="str">
        <f>VLOOKUP(C936, 'DICIONÁRIO CNAES'!$A:$B, 2, FALSE)</f>
        <v xml:space="preserve">Atividades funerárias e serviços relacionados </v>
      </c>
      <c r="E936" s="4">
        <v>460.62907409000002</v>
      </c>
      <c r="F936" s="4">
        <v>351036.58348650002</v>
      </c>
    </row>
    <row r="937" spans="1:6" x14ac:dyDescent="0.3">
      <c r="A937" s="3" t="s">
        <v>9</v>
      </c>
      <c r="B937" s="7" t="str">
        <f>VLOOKUP(VALUE(A937), 'DICIONÁRIO UF'!$A:$B, 2, FALSE)</f>
        <v>Amapá</v>
      </c>
      <c r="C937" s="3">
        <v>96090</v>
      </c>
      <c r="D937" s="5" t="str">
        <f>VLOOKUP(C937, 'DICIONÁRIO CNAES'!$A:$B, 2, FALSE)</f>
        <v>Outras atividades de serviços pessoais</v>
      </c>
      <c r="E937" s="4">
        <v>937.60868407999999</v>
      </c>
      <c r="F937" s="4">
        <v>1672099.0253445001</v>
      </c>
    </row>
    <row r="938" spans="1:6" x14ac:dyDescent="0.3">
      <c r="A938" s="3" t="s">
        <v>9</v>
      </c>
      <c r="B938" s="7" t="str">
        <f>VLOOKUP(VALUE(A938), 'DICIONÁRIO UF'!$A:$B, 2, FALSE)</f>
        <v>Amapá</v>
      </c>
      <c r="C938" s="3">
        <v>97000</v>
      </c>
      <c r="D938" s="5" t="str">
        <f>VLOOKUP(C938, 'DICIONÁRIO CNAES'!$A:$B, 2, FALSE)</f>
        <v>Serviços domésticos</v>
      </c>
      <c r="E938" s="4">
        <v>13935.33162983</v>
      </c>
      <c r="F938" s="4">
        <v>12148812.03880043</v>
      </c>
    </row>
    <row r="939" spans="1:6" x14ac:dyDescent="0.3">
      <c r="A939" s="3" t="s">
        <v>10</v>
      </c>
      <c r="B939" s="7" t="str">
        <f>VLOOKUP(VALUE(A939), 'DICIONÁRIO UF'!$A:$B, 2, FALSE)</f>
        <v>Tocantins</v>
      </c>
      <c r="C939" s="3">
        <v>1101</v>
      </c>
      <c r="D939" s="5" t="str">
        <f>VLOOKUP(C939, 'DICIONÁRIO CNAES'!$A:$B, 2, FALSE)</f>
        <v>Cultivo de arroz</v>
      </c>
      <c r="E939" s="4">
        <v>3063.3859061399999</v>
      </c>
      <c r="F939" s="4">
        <v>2211549.3523029</v>
      </c>
    </row>
    <row r="940" spans="1:6" x14ac:dyDescent="0.3">
      <c r="A940" s="3" t="s">
        <v>10</v>
      </c>
      <c r="B940" s="7" t="str">
        <f>VLOOKUP(VALUE(A940), 'DICIONÁRIO UF'!$A:$B, 2, FALSE)</f>
        <v>Tocantins</v>
      </c>
      <c r="C940" s="3">
        <v>1102</v>
      </c>
      <c r="D940" s="5" t="str">
        <f>VLOOKUP(C940, 'DICIONÁRIO CNAES'!$A:$B, 2, FALSE)</f>
        <v>Cultivo de milho</v>
      </c>
      <c r="E940" s="4">
        <v>2769.30483757</v>
      </c>
      <c r="F940" s="4">
        <v>5006513.5777538493</v>
      </c>
    </row>
    <row r="941" spans="1:6" x14ac:dyDescent="0.3">
      <c r="A941" s="3" t="s">
        <v>10</v>
      </c>
      <c r="B941" s="7" t="str">
        <f>VLOOKUP(VALUE(A941), 'DICIONÁRIO UF'!$A:$B, 2, FALSE)</f>
        <v>Tocantins</v>
      </c>
      <c r="C941" s="3">
        <v>1105</v>
      </c>
      <c r="D941" s="5" t="str">
        <f>VLOOKUP(C941, 'DICIONÁRIO CNAES'!$A:$B, 2, FALSE)</f>
        <v>Cultivo de cana-de-açúcar</v>
      </c>
      <c r="E941" s="4">
        <v>252.27565985999999</v>
      </c>
      <c r="F941" s="4">
        <v>198773.49938600001</v>
      </c>
    </row>
    <row r="942" spans="1:6" x14ac:dyDescent="0.3">
      <c r="A942" s="3" t="s">
        <v>10</v>
      </c>
      <c r="B942" s="7" t="str">
        <f>VLOOKUP(VALUE(A942), 'DICIONÁRIO UF'!$A:$B, 2, FALSE)</f>
        <v>Tocantins</v>
      </c>
      <c r="C942" s="3">
        <v>1107</v>
      </c>
      <c r="D942" s="5" t="str">
        <f>VLOOKUP(C942, 'DICIONÁRIO CNAES'!$A:$B, 2, FALSE)</f>
        <v>Cultivo de soja</v>
      </c>
      <c r="E942" s="4">
        <v>11309.09618289</v>
      </c>
      <c r="F942" s="4">
        <v>31066391.494332001</v>
      </c>
    </row>
    <row r="943" spans="1:6" x14ac:dyDescent="0.3">
      <c r="A943" s="3" t="s">
        <v>10</v>
      </c>
      <c r="B943" s="7" t="str">
        <f>VLOOKUP(VALUE(A943), 'DICIONÁRIO UF'!$A:$B, 2, FALSE)</f>
        <v>Tocantins</v>
      </c>
      <c r="C943" s="3">
        <v>1108</v>
      </c>
      <c r="D943" s="5" t="str">
        <f>VLOOKUP(C943, 'DICIONÁRIO CNAES'!$A:$B, 2, FALSE)</f>
        <v>Cultivo de mandioca</v>
      </c>
      <c r="E943" s="4">
        <v>5014.2983876400003</v>
      </c>
      <c r="F943" s="4">
        <v>3272547.0124029</v>
      </c>
    </row>
    <row r="944" spans="1:6" x14ac:dyDescent="0.3">
      <c r="A944" s="3" t="s">
        <v>10</v>
      </c>
      <c r="B944" s="7" t="str">
        <f>VLOOKUP(VALUE(A944), 'DICIONÁRIO UF'!$A:$B, 2, FALSE)</f>
        <v>Tocantins</v>
      </c>
      <c r="C944" s="3">
        <v>1109</v>
      </c>
      <c r="D944" s="5" t="str">
        <f>VLOOKUP(C944, 'DICIONÁRIO CNAES'!$A:$B, 2, FALSE)</f>
        <v>Cultivo de outras lavouras temporárias não especificadas anteriormente</v>
      </c>
      <c r="E944" s="4">
        <v>2437.43616337</v>
      </c>
      <c r="F944" s="4">
        <v>1524060.824917</v>
      </c>
    </row>
    <row r="945" spans="1:6" x14ac:dyDescent="0.3">
      <c r="A945" s="3" t="s">
        <v>10</v>
      </c>
      <c r="B945" s="7" t="str">
        <f>VLOOKUP(VALUE(A945), 'DICIONÁRIO UF'!$A:$B, 2, FALSE)</f>
        <v>Tocantins</v>
      </c>
      <c r="C945" s="3">
        <v>1110</v>
      </c>
      <c r="D945" s="5" t="str">
        <f>VLOOKUP(C945, 'DICIONÁRIO CNAES'!$A:$B, 2, FALSE)</f>
        <v>Horticultura</v>
      </c>
      <c r="E945" s="4">
        <v>1869.03316126</v>
      </c>
      <c r="F945" s="4">
        <v>1295820.3056659</v>
      </c>
    </row>
    <row r="946" spans="1:6" x14ac:dyDescent="0.3">
      <c r="A946" s="3" t="s">
        <v>10</v>
      </c>
      <c r="B946" s="7" t="str">
        <f>VLOOKUP(VALUE(A946), 'DICIONÁRIO UF'!$A:$B, 2, FALSE)</f>
        <v>Tocantins</v>
      </c>
      <c r="C946" s="3">
        <v>1112</v>
      </c>
      <c r="D946" s="5" t="str">
        <f>VLOOKUP(C946, 'DICIONÁRIO CNAES'!$A:$B, 2, FALSE)</f>
        <v>Cultivo de frutas cítricas</v>
      </c>
      <c r="E946" s="4">
        <v>158.87093200999999</v>
      </c>
      <c r="F946" s="4">
        <v>476612.79603000003</v>
      </c>
    </row>
    <row r="947" spans="1:6" x14ac:dyDescent="0.3">
      <c r="A947" s="3" t="s">
        <v>10</v>
      </c>
      <c r="B947" s="7" t="str">
        <f>VLOOKUP(VALUE(A947), 'DICIONÁRIO UF'!$A:$B, 2, FALSE)</f>
        <v>Tocantins</v>
      </c>
      <c r="C947" s="3">
        <v>1116</v>
      </c>
      <c r="D947" s="5" t="str">
        <f>VLOOKUP(C947, 'DICIONÁRIO CNAES'!$A:$B, 2, FALSE)</f>
        <v>Cultivo de banana</v>
      </c>
      <c r="E947" s="4">
        <v>1778.69019996</v>
      </c>
      <c r="F947" s="4">
        <v>2027338.415062</v>
      </c>
    </row>
    <row r="948" spans="1:6" x14ac:dyDescent="0.3">
      <c r="A948" s="3" t="s">
        <v>10</v>
      </c>
      <c r="B948" s="7" t="str">
        <f>VLOOKUP(VALUE(A948), 'DICIONÁRIO UF'!$A:$B, 2, FALSE)</f>
        <v>Tocantins</v>
      </c>
      <c r="C948" s="3">
        <v>1117</v>
      </c>
      <c r="D948" s="5" t="str">
        <f>VLOOKUP(C948, 'DICIONÁRIO CNAES'!$A:$B, 2, FALSE)</f>
        <v>Cultivo de outras plantas e frutas de lavoura permanente não especificadas anteriormente</v>
      </c>
      <c r="E948" s="4">
        <v>1907.8513277</v>
      </c>
      <c r="F948" s="4">
        <v>791844.40913699998</v>
      </c>
    </row>
    <row r="949" spans="1:6" x14ac:dyDescent="0.3">
      <c r="A949" s="3" t="s">
        <v>10</v>
      </c>
      <c r="B949" s="7" t="str">
        <f>VLOOKUP(VALUE(A949), 'DICIONÁRIO UF'!$A:$B, 2, FALSE)</f>
        <v>Tocantins</v>
      </c>
      <c r="C949" s="3">
        <v>1119</v>
      </c>
      <c r="D949" s="5" t="str">
        <f>VLOOKUP(C949, 'DICIONÁRIO CNAES'!$A:$B, 2, FALSE)</f>
        <v>Lavoura não especificada</v>
      </c>
      <c r="E949" s="4">
        <v>513.28666663000001</v>
      </c>
      <c r="F949" s="4">
        <v>728512.92961700005</v>
      </c>
    </row>
    <row r="950" spans="1:6" x14ac:dyDescent="0.3">
      <c r="A950" s="3" t="s">
        <v>10</v>
      </c>
      <c r="B950" s="7" t="str">
        <f>VLOOKUP(VALUE(A950), 'DICIONÁRIO UF'!$A:$B, 2, FALSE)</f>
        <v>Tocantins</v>
      </c>
      <c r="C950" s="3">
        <v>1201</v>
      </c>
      <c r="D950" s="5" t="str">
        <f>VLOOKUP(C950, 'DICIONÁRIO CNAES'!$A:$B, 2, FALSE)</f>
        <v>Criação de bovinos</v>
      </c>
      <c r="E950" s="4">
        <v>47665.75380626</v>
      </c>
      <c r="F950" s="4">
        <v>86692927.942714423</v>
      </c>
    </row>
    <row r="951" spans="1:6" x14ac:dyDescent="0.3">
      <c r="A951" s="3" t="s">
        <v>10</v>
      </c>
      <c r="B951" s="7" t="str">
        <f>VLOOKUP(VALUE(A951), 'DICIONÁRIO UF'!$A:$B, 2, FALSE)</f>
        <v>Tocantins</v>
      </c>
      <c r="C951" s="3">
        <v>1202</v>
      </c>
      <c r="D951" s="5" t="str">
        <f>VLOOKUP(C951, 'DICIONÁRIO CNAES'!$A:$B, 2, FALSE)</f>
        <v>Criação de outros animais de grande porte não especificados anteriormente</v>
      </c>
      <c r="E951" s="4">
        <v>1732.50987644</v>
      </c>
      <c r="F951" s="4">
        <v>1903656.242727</v>
      </c>
    </row>
    <row r="952" spans="1:6" x14ac:dyDescent="0.3">
      <c r="A952" s="3" t="s">
        <v>10</v>
      </c>
      <c r="B952" s="7" t="str">
        <f>VLOOKUP(VALUE(A952), 'DICIONÁRIO UF'!$A:$B, 2, FALSE)</f>
        <v>Tocantins</v>
      </c>
      <c r="C952" s="3">
        <v>1204</v>
      </c>
      <c r="D952" s="5" t="str">
        <f>VLOOKUP(C952, 'DICIONÁRIO CNAES'!$A:$B, 2, FALSE)</f>
        <v>Criação de suínos</v>
      </c>
      <c r="E952" s="4">
        <v>99.477227360000001</v>
      </c>
      <c r="F952" s="4">
        <v>79759.529907999997</v>
      </c>
    </row>
    <row r="953" spans="1:6" x14ac:dyDescent="0.3">
      <c r="A953" s="3" t="s">
        <v>10</v>
      </c>
      <c r="B953" s="7" t="str">
        <f>VLOOKUP(VALUE(A953), 'DICIONÁRIO UF'!$A:$B, 2, FALSE)</f>
        <v>Tocantins</v>
      </c>
      <c r="C953" s="3">
        <v>1205</v>
      </c>
      <c r="D953" s="5" t="str">
        <f>VLOOKUP(C953, 'DICIONÁRIO CNAES'!$A:$B, 2, FALSE)</f>
        <v>Criação de aves</v>
      </c>
      <c r="E953" s="4">
        <v>4601.1500158299996</v>
      </c>
      <c r="F953" s="4">
        <v>4008287.6233987999</v>
      </c>
    </row>
    <row r="954" spans="1:6" x14ac:dyDescent="0.3">
      <c r="A954" s="3" t="s">
        <v>10</v>
      </c>
      <c r="B954" s="7" t="str">
        <f>VLOOKUP(VALUE(A954), 'DICIONÁRIO UF'!$A:$B, 2, FALSE)</f>
        <v>Tocantins</v>
      </c>
      <c r="C954" s="3">
        <v>1206</v>
      </c>
      <c r="D954" s="5" t="str">
        <f>VLOOKUP(C954, 'DICIONÁRIO CNAES'!$A:$B, 2, FALSE)</f>
        <v>Apicultura</v>
      </c>
      <c r="E954" s="4">
        <v>71.639858959999998</v>
      </c>
      <c r="F954" s="4">
        <v>78803.844855999996</v>
      </c>
    </row>
    <row r="955" spans="1:6" x14ac:dyDescent="0.3">
      <c r="A955" s="3" t="s">
        <v>10</v>
      </c>
      <c r="B955" s="7" t="str">
        <f>VLOOKUP(VALUE(A955), 'DICIONÁRIO UF'!$A:$B, 2, FALSE)</f>
        <v>Tocantins</v>
      </c>
      <c r="C955" s="3">
        <v>1401</v>
      </c>
      <c r="D955" s="5" t="str">
        <f>VLOOKUP(C955, 'DICIONÁRIO CNAES'!$A:$B, 2, FALSE)</f>
        <v>Atividades de apoio à agricultura e pós-colheita</v>
      </c>
      <c r="E955" s="4">
        <v>1861.0690408099999</v>
      </c>
      <c r="F955" s="4">
        <v>3005552.7982970001</v>
      </c>
    </row>
    <row r="956" spans="1:6" x14ac:dyDescent="0.3">
      <c r="A956" s="3" t="s">
        <v>10</v>
      </c>
      <c r="B956" s="7" t="str">
        <f>VLOOKUP(VALUE(A956), 'DICIONÁRIO UF'!$A:$B, 2, FALSE)</f>
        <v>Tocantins</v>
      </c>
      <c r="C956" s="3">
        <v>1402</v>
      </c>
      <c r="D956" s="5" t="str">
        <f>VLOOKUP(C956, 'DICIONÁRIO CNAES'!$A:$B, 2, FALSE)</f>
        <v xml:space="preserve">Atividades de apoio à pecuária </v>
      </c>
      <c r="E956" s="4">
        <v>6311.3708513600004</v>
      </c>
      <c r="F956" s="4">
        <v>3948726.3518654001</v>
      </c>
    </row>
    <row r="957" spans="1:6" x14ac:dyDescent="0.3">
      <c r="A957" s="3" t="s">
        <v>10</v>
      </c>
      <c r="B957" s="7" t="str">
        <f>VLOOKUP(VALUE(A957), 'DICIONÁRIO UF'!$A:$B, 2, FALSE)</f>
        <v>Tocantins</v>
      </c>
      <c r="C957" s="3">
        <v>2000</v>
      </c>
      <c r="D957" s="5" t="str">
        <f>VLOOKUP(C957, 'DICIONÁRIO CNAES'!$A:$B, 2, FALSE)</f>
        <v xml:space="preserve">Produção florestal </v>
      </c>
      <c r="E957" s="4">
        <v>3977.2328547100001</v>
      </c>
      <c r="F957" s="4">
        <v>4594114.1511165397</v>
      </c>
    </row>
    <row r="958" spans="1:6" x14ac:dyDescent="0.3">
      <c r="A958" s="3" t="s">
        <v>10</v>
      </c>
      <c r="B958" s="7" t="str">
        <f>VLOOKUP(VALUE(A958), 'DICIONÁRIO UF'!$A:$B, 2, FALSE)</f>
        <v>Tocantins</v>
      </c>
      <c r="C958" s="3">
        <v>3001</v>
      </c>
      <c r="D958" s="5" t="str">
        <f>VLOOKUP(C958, 'DICIONÁRIO CNAES'!$A:$B, 2, FALSE)</f>
        <v>Pesca</v>
      </c>
      <c r="E958" s="4">
        <v>1591.7743339199999</v>
      </c>
      <c r="F958" s="4">
        <v>949314.78679795004</v>
      </c>
    </row>
    <row r="959" spans="1:6" x14ac:dyDescent="0.3">
      <c r="A959" s="3" t="s">
        <v>10</v>
      </c>
      <c r="B959" s="7" t="str">
        <f>VLOOKUP(VALUE(A959), 'DICIONÁRIO UF'!$A:$B, 2, FALSE)</f>
        <v>Tocantins</v>
      </c>
      <c r="C959" s="3">
        <v>3002</v>
      </c>
      <c r="D959" s="5" t="str">
        <f>VLOOKUP(C959, 'DICIONÁRIO CNAES'!$A:$B, 2, FALSE)</f>
        <v>Aqüicultura</v>
      </c>
      <c r="E959" s="4">
        <v>621.89157129</v>
      </c>
      <c r="F959" s="4">
        <v>965895.12149399996</v>
      </c>
    </row>
    <row r="960" spans="1:6" x14ac:dyDescent="0.3">
      <c r="A960" s="3" t="s">
        <v>10</v>
      </c>
      <c r="B960" s="7" t="str">
        <f>VLOOKUP(VALUE(A960), 'DICIONÁRIO UF'!$A:$B, 2, FALSE)</f>
        <v>Tocantins</v>
      </c>
      <c r="C960" s="3">
        <v>5000</v>
      </c>
      <c r="D960" s="5" t="str">
        <f>VLOOKUP(C960, 'DICIONÁRIO CNAES'!$A:$B, 2, FALSE)</f>
        <v>Extração de carvão mineral</v>
      </c>
      <c r="E960" s="4">
        <v>263.09271224999998</v>
      </c>
      <c r="F960" s="4">
        <v>289401.98347500002</v>
      </c>
    </row>
    <row r="961" spans="1:6" x14ac:dyDescent="0.3">
      <c r="A961" s="3" t="s">
        <v>10</v>
      </c>
      <c r="B961" s="7" t="str">
        <f>VLOOKUP(VALUE(A961), 'DICIONÁRIO UF'!$A:$B, 2, FALSE)</f>
        <v>Tocantins</v>
      </c>
      <c r="C961" s="3">
        <v>7002</v>
      </c>
      <c r="D961" s="5" t="str">
        <f>VLOOKUP(C961, 'DICIONÁRIO CNAES'!$A:$B, 2, FALSE)</f>
        <v xml:space="preserve">Extração de minerais metálicos não especificados anteriormente </v>
      </c>
      <c r="E961" s="4">
        <v>299.80181406999998</v>
      </c>
      <c r="F961" s="4">
        <v>548666.93004500004</v>
      </c>
    </row>
    <row r="962" spans="1:6" x14ac:dyDescent="0.3">
      <c r="A962" s="3" t="s">
        <v>10</v>
      </c>
      <c r="B962" s="7" t="str">
        <f>VLOOKUP(VALUE(A962), 'DICIONÁRIO UF'!$A:$B, 2, FALSE)</f>
        <v>Tocantins</v>
      </c>
      <c r="C962" s="3">
        <v>8001</v>
      </c>
      <c r="D962" s="5" t="str">
        <f>VLOOKUP(C962, 'DICIONÁRIO CNAES'!$A:$B, 2, FALSE)</f>
        <v>Extração de pedras, areia e argila</v>
      </c>
      <c r="E962" s="4">
        <v>1334.4705140200001</v>
      </c>
      <c r="F962" s="4">
        <v>2025105.9631670001</v>
      </c>
    </row>
    <row r="963" spans="1:6" x14ac:dyDescent="0.3">
      <c r="A963" s="3" t="s">
        <v>10</v>
      </c>
      <c r="B963" s="7" t="str">
        <f>VLOOKUP(VALUE(A963), 'DICIONÁRIO UF'!$A:$B, 2, FALSE)</f>
        <v>Tocantins</v>
      </c>
      <c r="C963" s="3">
        <v>10010</v>
      </c>
      <c r="D963" s="5" t="str">
        <f>VLOOKUP(C963, 'DICIONÁRIO CNAES'!$A:$B, 2, FALSE)</f>
        <v xml:space="preserve">Abate e fabricação de produtos de carne e pescado </v>
      </c>
      <c r="E963" s="4">
        <v>5161.3578216200003</v>
      </c>
      <c r="F963" s="4">
        <v>9072197.1653329097</v>
      </c>
    </row>
    <row r="964" spans="1:6" x14ac:dyDescent="0.3">
      <c r="A964" s="3" t="s">
        <v>10</v>
      </c>
      <c r="B964" s="7" t="str">
        <f>VLOOKUP(VALUE(A964), 'DICIONÁRIO UF'!$A:$B, 2, FALSE)</f>
        <v>Tocantins</v>
      </c>
      <c r="C964" s="3">
        <v>10030</v>
      </c>
      <c r="D964" s="5" t="str">
        <f>VLOOKUP(C964, 'DICIONÁRIO CNAES'!$A:$B, 2, FALSE)</f>
        <v>Laticínios</v>
      </c>
      <c r="E964" s="4">
        <v>1129.7807750100001</v>
      </c>
      <c r="F964" s="4">
        <v>2491689.6378294998</v>
      </c>
    </row>
    <row r="965" spans="1:6" x14ac:dyDescent="0.3">
      <c r="A965" s="3" t="s">
        <v>10</v>
      </c>
      <c r="B965" s="7" t="str">
        <f>VLOOKUP(VALUE(A965), 'DICIONÁRIO UF'!$A:$B, 2, FALSE)</f>
        <v>Tocantins</v>
      </c>
      <c r="C965" s="3">
        <v>10091</v>
      </c>
      <c r="D965" s="5" t="str">
        <f>VLOOKUP(C965, 'DICIONÁRIO CNAES'!$A:$B, 2, FALSE)</f>
        <v>Moagem, fabricação de produtos amiláceos e de alimentos para animais</v>
      </c>
      <c r="E965" s="4">
        <v>930.33221189999995</v>
      </c>
      <c r="F965" s="4">
        <v>1168501.072527</v>
      </c>
    </row>
    <row r="966" spans="1:6" x14ac:dyDescent="0.3">
      <c r="A966" s="3" t="s">
        <v>10</v>
      </c>
      <c r="B966" s="7" t="str">
        <f>VLOOKUP(VALUE(A966), 'DICIONÁRIO UF'!$A:$B, 2, FALSE)</f>
        <v>Tocantins</v>
      </c>
      <c r="C966" s="3">
        <v>10099</v>
      </c>
      <c r="D966" s="5" t="str">
        <f>VLOOKUP(C966, 'DICIONÁRIO CNAES'!$A:$B, 2, FALSE)</f>
        <v>Fabricação de outros produtos alimentícios</v>
      </c>
      <c r="E966" s="4">
        <v>162.68910711999999</v>
      </c>
      <c r="F966" s="4">
        <v>211495.83925600001</v>
      </c>
    </row>
    <row r="967" spans="1:6" x14ac:dyDescent="0.3">
      <c r="A967" s="3" t="s">
        <v>10</v>
      </c>
      <c r="B967" s="7" t="str">
        <f>VLOOKUP(VALUE(A967), 'DICIONÁRIO UF'!$A:$B, 2, FALSE)</f>
        <v>Tocantins</v>
      </c>
      <c r="C967" s="3">
        <v>11000</v>
      </c>
      <c r="D967" s="5" t="str">
        <f>VLOOKUP(C967, 'DICIONÁRIO CNAES'!$A:$B, 2, FALSE)</f>
        <v>Fabricação de bebidas</v>
      </c>
      <c r="E967" s="4">
        <v>624.28482774000008</v>
      </c>
      <c r="F967" s="4">
        <v>836652.87958900002</v>
      </c>
    </row>
    <row r="968" spans="1:6" x14ac:dyDescent="0.3">
      <c r="A968" s="3" t="s">
        <v>10</v>
      </c>
      <c r="B968" s="7" t="str">
        <f>VLOOKUP(VALUE(A968), 'DICIONÁRIO UF'!$A:$B, 2, FALSE)</f>
        <v>Tocantins</v>
      </c>
      <c r="C968" s="3">
        <v>13001</v>
      </c>
      <c r="D968" s="5" t="str">
        <f>VLOOKUP(C968, 'DICIONÁRIO CNAES'!$A:$B, 2, FALSE)</f>
        <v>Preparação de fibras, fiação e tecelagem</v>
      </c>
      <c r="E968" s="4">
        <v>575.85735950999992</v>
      </c>
      <c r="F968" s="4">
        <v>543421.74031799997</v>
      </c>
    </row>
    <row r="969" spans="1:6" x14ac:dyDescent="0.3">
      <c r="A969" s="3" t="s">
        <v>10</v>
      </c>
      <c r="B969" s="7" t="str">
        <f>VLOOKUP(VALUE(A969), 'DICIONÁRIO UF'!$A:$B, 2, FALSE)</f>
        <v>Tocantins</v>
      </c>
      <c r="C969" s="3">
        <v>13002</v>
      </c>
      <c r="D969" s="5" t="str">
        <f>VLOOKUP(C969, 'DICIONÁRIO CNAES'!$A:$B, 2, FALSE)</f>
        <v>Fabricação de artefatos têxteis, exceto vestuário</v>
      </c>
      <c r="E969" s="4">
        <v>1828.0282696100001</v>
      </c>
      <c r="F969" s="4">
        <v>524180.73585689999</v>
      </c>
    </row>
    <row r="970" spans="1:6" x14ac:dyDescent="0.3">
      <c r="A970" s="3" t="s">
        <v>10</v>
      </c>
      <c r="B970" s="7" t="str">
        <f>VLOOKUP(VALUE(A970), 'DICIONÁRIO UF'!$A:$B, 2, FALSE)</f>
        <v>Tocantins</v>
      </c>
      <c r="C970" s="3">
        <v>14001</v>
      </c>
      <c r="D970" s="5" t="str">
        <f>VLOOKUP(C970, 'DICIONÁRIO CNAES'!$A:$B, 2, FALSE)</f>
        <v>Confecção de artigos do vestuário e acessórios, exceto sob medida</v>
      </c>
      <c r="E970" s="4">
        <v>1659.3829208300001</v>
      </c>
      <c r="F970" s="4">
        <v>2392955.0079080998</v>
      </c>
    </row>
    <row r="971" spans="1:6" x14ac:dyDescent="0.3">
      <c r="A971" s="3" t="s">
        <v>10</v>
      </c>
      <c r="B971" s="7" t="str">
        <f>VLOOKUP(VALUE(A971), 'DICIONÁRIO UF'!$A:$B, 2, FALSE)</f>
        <v>Tocantins</v>
      </c>
      <c r="C971" s="3">
        <v>14002</v>
      </c>
      <c r="D971" s="5" t="str">
        <f>VLOOKUP(C971, 'DICIONÁRIO CNAES'!$A:$B, 2, FALSE)</f>
        <v>Confecção, sob medida, de artigos do vestuário</v>
      </c>
      <c r="E971" s="4">
        <v>2070.8705979000001</v>
      </c>
      <c r="F971" s="4">
        <v>1147796.3734391001</v>
      </c>
    </row>
    <row r="972" spans="1:6" x14ac:dyDescent="0.3">
      <c r="A972" s="3" t="s">
        <v>10</v>
      </c>
      <c r="B972" s="7" t="str">
        <f>VLOOKUP(VALUE(A972), 'DICIONÁRIO UF'!$A:$B, 2, FALSE)</f>
        <v>Tocantins</v>
      </c>
      <c r="C972" s="3">
        <v>15012</v>
      </c>
      <c r="D972" s="5" t="str">
        <f>VLOOKUP(C972, 'DICIONÁRIO CNAES'!$A:$B, 2, FALSE)</f>
        <v>Fabricação de artigos de viagem e de artefatos diversos de couro</v>
      </c>
      <c r="E972" s="4">
        <v>238.02640432000001</v>
      </c>
      <c r="F972" s="4">
        <v>119013.20216</v>
      </c>
    </row>
    <row r="973" spans="1:6" x14ac:dyDescent="0.3">
      <c r="A973" s="3" t="s">
        <v>10</v>
      </c>
      <c r="B973" s="7" t="str">
        <f>VLOOKUP(VALUE(A973), 'DICIONÁRIO UF'!$A:$B, 2, FALSE)</f>
        <v>Tocantins</v>
      </c>
      <c r="C973" s="3">
        <v>16001</v>
      </c>
      <c r="D973" s="5" t="str">
        <f>VLOOKUP(C973, 'DICIONÁRIO CNAES'!$A:$B, 2, FALSE)</f>
        <v>Serrarias</v>
      </c>
      <c r="E973" s="4">
        <v>501.42224601999999</v>
      </c>
      <c r="F973" s="4">
        <v>501422.24602000002</v>
      </c>
    </row>
    <row r="974" spans="1:6" x14ac:dyDescent="0.3">
      <c r="A974" s="3" t="s">
        <v>10</v>
      </c>
      <c r="B974" s="7" t="str">
        <f>VLOOKUP(VALUE(A974), 'DICIONÁRIO UF'!$A:$B, 2, FALSE)</f>
        <v>Tocantins</v>
      </c>
      <c r="C974" s="3">
        <v>16002</v>
      </c>
      <c r="D974" s="5" t="str">
        <f>VLOOKUP(C974, 'DICIONÁRIO CNAES'!$A:$B, 2, FALSE)</f>
        <v>Fabricação de produtos de madeira, cortiça e material trançado, exceto móveis</v>
      </c>
      <c r="E974" s="4">
        <v>1211.4750604599999</v>
      </c>
      <c r="F974" s="4">
        <v>1923436.686854</v>
      </c>
    </row>
    <row r="975" spans="1:6" x14ac:dyDescent="0.3">
      <c r="A975" s="3" t="s">
        <v>10</v>
      </c>
      <c r="B975" s="7" t="str">
        <f>VLOOKUP(VALUE(A975), 'DICIONÁRIO UF'!$A:$B, 2, FALSE)</f>
        <v>Tocantins</v>
      </c>
      <c r="C975" s="3">
        <v>17002</v>
      </c>
      <c r="D975" s="5" t="str">
        <f>VLOOKUP(C975, 'DICIONÁRIO CNAES'!$A:$B, 2, FALSE)</f>
        <v>Fabricação de embalagens e de produtos diversos de papel, cartolina, papel-cartão e papelão ondulado</v>
      </c>
      <c r="E975" s="4">
        <v>366.25626835000003</v>
      </c>
      <c r="F975" s="4">
        <v>293005.01468000002</v>
      </c>
    </row>
    <row r="976" spans="1:6" x14ac:dyDescent="0.3">
      <c r="A976" s="3" t="s">
        <v>10</v>
      </c>
      <c r="B976" s="7" t="str">
        <f>VLOOKUP(VALUE(A976), 'DICIONÁRIO UF'!$A:$B, 2, FALSE)</f>
        <v>Tocantins</v>
      </c>
      <c r="C976" s="3">
        <v>18000</v>
      </c>
      <c r="D976" s="5" t="str">
        <f>VLOOKUP(C976, 'DICIONÁRIO CNAES'!$A:$B, 2, FALSE)</f>
        <v>Impressão e reprodução de gravações</v>
      </c>
      <c r="E976" s="4">
        <v>367.52775366999998</v>
      </c>
      <c r="F976" s="4">
        <v>551291.63050500001</v>
      </c>
    </row>
    <row r="977" spans="1:6" x14ac:dyDescent="0.3">
      <c r="A977" s="3" t="s">
        <v>10</v>
      </c>
      <c r="B977" s="7" t="str">
        <f>VLOOKUP(VALUE(A977), 'DICIONÁRIO UF'!$A:$B, 2, FALSE)</f>
        <v>Tocantins</v>
      </c>
      <c r="C977" s="3">
        <v>19030</v>
      </c>
      <c r="D977" s="5" t="str">
        <f>VLOOKUP(C977, 'DICIONÁRIO CNAES'!$A:$B, 2, FALSE)</f>
        <v>Produção de biocombustíveis</v>
      </c>
      <c r="E977" s="4">
        <v>2050.7490978999999</v>
      </c>
      <c r="F977" s="4">
        <v>4647783.0789824994</v>
      </c>
    </row>
    <row r="978" spans="1:6" x14ac:dyDescent="0.3">
      <c r="A978" s="3" t="s">
        <v>10</v>
      </c>
      <c r="B978" s="7" t="str">
        <f>VLOOKUP(VALUE(A978), 'DICIONÁRIO UF'!$A:$B, 2, FALSE)</f>
        <v>Tocantins</v>
      </c>
      <c r="C978" s="3">
        <v>20090</v>
      </c>
      <c r="D978" s="5" t="str">
        <f>VLOOKUP(C978, 'DICIONÁRIO CNAES'!$A:$B, 2, FALSE)</f>
        <v>Fabricação de outros produtos químicos não especificados anteriormente</v>
      </c>
      <c r="E978" s="4">
        <v>501.03633602999997</v>
      </c>
      <c r="F978" s="4">
        <v>2505181.6801499999</v>
      </c>
    </row>
    <row r="979" spans="1:6" x14ac:dyDescent="0.3">
      <c r="A979" s="3" t="s">
        <v>10</v>
      </c>
      <c r="B979" s="7" t="str">
        <f>VLOOKUP(VALUE(A979), 'DICIONÁRIO UF'!$A:$B, 2, FALSE)</f>
        <v>Tocantins</v>
      </c>
      <c r="C979" s="3">
        <v>23091</v>
      </c>
      <c r="D979" s="5" t="str">
        <f>VLOOKUP(C979, 'DICIONÁRIO CNAES'!$A:$B, 2, FALSE)</f>
        <v>Fabricação de produtos cerâmicos</v>
      </c>
      <c r="E979" s="4">
        <v>3934.5555512999999</v>
      </c>
      <c r="F979" s="4">
        <v>5752144.1156059997</v>
      </c>
    </row>
    <row r="980" spans="1:6" x14ac:dyDescent="0.3">
      <c r="A980" s="3" t="s">
        <v>10</v>
      </c>
      <c r="B980" s="7" t="str">
        <f>VLOOKUP(VALUE(A980), 'DICIONÁRIO UF'!$A:$B, 2, FALSE)</f>
        <v>Tocantins</v>
      </c>
      <c r="C980" s="3">
        <v>23099</v>
      </c>
      <c r="D980" s="5" t="str">
        <f>VLOOKUP(C980, 'DICIONÁRIO CNAES'!$A:$B, 2, FALSE)</f>
        <v>Fabricação de outros produtos de minerais não-metálicos não especificados anteriormente</v>
      </c>
      <c r="E980" s="4">
        <v>638.28896232</v>
      </c>
      <c r="F980" s="4">
        <v>1047646.15122536</v>
      </c>
    </row>
    <row r="981" spans="1:6" x14ac:dyDescent="0.3">
      <c r="A981" s="3" t="s">
        <v>10</v>
      </c>
      <c r="B981" s="7" t="str">
        <f>VLOOKUP(VALUE(A981), 'DICIONÁRIO UF'!$A:$B, 2, FALSE)</f>
        <v>Tocantins</v>
      </c>
      <c r="C981" s="3">
        <v>25001</v>
      </c>
      <c r="D981" s="5" t="str">
        <f>VLOOKUP(C981, 'DICIONÁRIO CNAES'!$A:$B, 2, FALSE)</f>
        <v>Fabricação de produtos de metal, exceto máquinas e equipamentos</v>
      </c>
      <c r="E981" s="4">
        <v>4088.0552309200002</v>
      </c>
      <c r="F981" s="4">
        <v>7876790.6630415004</v>
      </c>
    </row>
    <row r="982" spans="1:6" x14ac:dyDescent="0.3">
      <c r="A982" s="3" t="s">
        <v>10</v>
      </c>
      <c r="B982" s="7" t="str">
        <f>VLOOKUP(VALUE(A982), 'DICIONÁRIO UF'!$A:$B, 2, FALSE)</f>
        <v>Tocantins</v>
      </c>
      <c r="C982" s="3">
        <v>31000</v>
      </c>
      <c r="D982" s="5" t="str">
        <f>VLOOKUP(C982, 'DICIONÁRIO CNAES'!$A:$B, 2, FALSE)</f>
        <v>Fabricação de móveis</v>
      </c>
      <c r="E982" s="4">
        <v>1654.91347666</v>
      </c>
      <c r="F982" s="4">
        <v>459044.86933999998</v>
      </c>
    </row>
    <row r="983" spans="1:6" x14ac:dyDescent="0.3">
      <c r="A983" s="3" t="s">
        <v>10</v>
      </c>
      <c r="B983" s="7" t="str">
        <f>VLOOKUP(VALUE(A983), 'DICIONÁRIO UF'!$A:$B, 2, FALSE)</f>
        <v>Tocantins</v>
      </c>
      <c r="C983" s="3">
        <v>32009</v>
      </c>
      <c r="D983" s="5" t="str">
        <f>VLOOKUP(C983, 'DICIONÁRIO CNAES'!$A:$B, 2, FALSE)</f>
        <v>Fabricação de produtos diversos</v>
      </c>
      <c r="E983" s="4">
        <v>234.85697066</v>
      </c>
      <c r="F983" s="4">
        <v>281828.36479199998</v>
      </c>
    </row>
    <row r="984" spans="1:6" x14ac:dyDescent="0.3">
      <c r="A984" s="3" t="s">
        <v>10</v>
      </c>
      <c r="B984" s="7" t="str">
        <f>VLOOKUP(VALUE(A984), 'DICIONÁRIO UF'!$A:$B, 2, FALSE)</f>
        <v>Tocantins</v>
      </c>
      <c r="C984" s="3">
        <v>33001</v>
      </c>
      <c r="D984" s="5" t="str">
        <f>VLOOKUP(C984, 'DICIONÁRIO CNAES'!$A:$B, 2, FALSE)</f>
        <v>Manutenção e reparação de máquinas e equipamentos</v>
      </c>
      <c r="E984" s="4">
        <v>1929.9451103199999</v>
      </c>
      <c r="F984" s="4">
        <v>3210017.8783100001</v>
      </c>
    </row>
    <row r="985" spans="1:6" x14ac:dyDescent="0.3">
      <c r="A985" s="3" t="s">
        <v>10</v>
      </c>
      <c r="B985" s="7" t="str">
        <f>VLOOKUP(VALUE(A985), 'DICIONÁRIO UF'!$A:$B, 2, FALSE)</f>
        <v>Tocantins</v>
      </c>
      <c r="C985" s="3">
        <v>33002</v>
      </c>
      <c r="D985" s="5" t="str">
        <f>VLOOKUP(C985, 'DICIONÁRIO CNAES'!$A:$B, 2, FALSE)</f>
        <v>Instalação de máquinas e equipamentos</v>
      </c>
      <c r="E985" s="4">
        <v>161.62081014</v>
      </c>
      <c r="F985" s="4">
        <v>646483.24056000006</v>
      </c>
    </row>
    <row r="986" spans="1:6" x14ac:dyDescent="0.3">
      <c r="A986" s="3" t="s">
        <v>10</v>
      </c>
      <c r="B986" s="7" t="str">
        <f>VLOOKUP(VALUE(A986), 'DICIONÁRIO UF'!$A:$B, 2, FALSE)</f>
        <v>Tocantins</v>
      </c>
      <c r="C986" s="3">
        <v>35010</v>
      </c>
      <c r="D986" s="5" t="str">
        <f>VLOOKUP(C986, 'DICIONÁRIO CNAES'!$A:$B, 2, FALSE)</f>
        <v>Geração, transmissão e distribuição de energia elétrica</v>
      </c>
      <c r="E986" s="4">
        <v>1430.5111038800001</v>
      </c>
      <c r="F986" s="4">
        <v>3227294.2339184899</v>
      </c>
    </row>
    <row r="987" spans="1:6" x14ac:dyDescent="0.3">
      <c r="A987" s="3" t="s">
        <v>10</v>
      </c>
      <c r="B987" s="7" t="str">
        <f>VLOOKUP(VALUE(A987), 'DICIONÁRIO UF'!$A:$B, 2, FALSE)</f>
        <v>Tocantins</v>
      </c>
      <c r="C987" s="3">
        <v>36000</v>
      </c>
      <c r="D987" s="5" t="str">
        <f>VLOOKUP(C987, 'DICIONÁRIO CNAES'!$A:$B, 2, FALSE)</f>
        <v>Captação, tratamento e distribuição de água</v>
      </c>
      <c r="E987" s="4">
        <v>1286.6221268300001</v>
      </c>
      <c r="F987" s="4">
        <v>1717803.3159119999</v>
      </c>
    </row>
    <row r="988" spans="1:6" x14ac:dyDescent="0.3">
      <c r="A988" s="3" t="s">
        <v>10</v>
      </c>
      <c r="B988" s="7" t="str">
        <f>VLOOKUP(VALUE(A988), 'DICIONÁRIO UF'!$A:$B, 2, FALSE)</f>
        <v>Tocantins</v>
      </c>
      <c r="C988" s="3">
        <v>37000</v>
      </c>
      <c r="D988" s="5" t="str">
        <f>VLOOKUP(C988, 'DICIONÁRIO CNAES'!$A:$B, 2, FALSE)</f>
        <v>Esgoto e atividades relacionadas</v>
      </c>
      <c r="E988" s="4">
        <v>226.21712098</v>
      </c>
      <c r="F988" s="4">
        <v>248838.833078</v>
      </c>
    </row>
    <row r="989" spans="1:6" x14ac:dyDescent="0.3">
      <c r="A989" s="3" t="s">
        <v>10</v>
      </c>
      <c r="B989" s="7" t="str">
        <f>VLOOKUP(VALUE(A989), 'DICIONÁRIO UF'!$A:$B, 2, FALSE)</f>
        <v>Tocantins</v>
      </c>
      <c r="C989" s="3">
        <v>38000</v>
      </c>
      <c r="D989" s="5" t="str">
        <f>VLOOKUP(C989, 'DICIONÁRIO CNAES'!$A:$B, 2, FALSE)</f>
        <v>Coleta, tratamento e disposição de resíduos; recuperação de materiais</v>
      </c>
      <c r="E989" s="4">
        <v>2417.2695260199998</v>
      </c>
      <c r="F989" s="4">
        <v>2884588.5437420001</v>
      </c>
    </row>
    <row r="990" spans="1:6" x14ac:dyDescent="0.3">
      <c r="A990" s="3" t="s">
        <v>10</v>
      </c>
      <c r="B990" s="7" t="str">
        <f>VLOOKUP(VALUE(A990), 'DICIONÁRIO UF'!$A:$B, 2, FALSE)</f>
        <v>Tocantins</v>
      </c>
      <c r="C990" s="3">
        <v>41000</v>
      </c>
      <c r="D990" s="5" t="str">
        <f>VLOOKUP(C990, 'DICIONÁRIO CNAES'!$A:$B, 2, FALSE)</f>
        <v>Construção de edifícios</v>
      </c>
      <c r="E990" s="4">
        <v>49642.973619720004</v>
      </c>
      <c r="F990" s="4">
        <v>78774148.879534602</v>
      </c>
    </row>
    <row r="991" spans="1:6" x14ac:dyDescent="0.3">
      <c r="A991" s="3" t="s">
        <v>10</v>
      </c>
      <c r="B991" s="7" t="str">
        <f>VLOOKUP(VALUE(A991), 'DICIONÁRIO UF'!$A:$B, 2, FALSE)</f>
        <v>Tocantins</v>
      </c>
      <c r="C991" s="3">
        <v>42000</v>
      </c>
      <c r="D991" s="5" t="str">
        <f>VLOOKUP(C991, 'DICIONÁRIO CNAES'!$A:$B, 2, FALSE)</f>
        <v>Construção de obras de infra-estrutura</v>
      </c>
      <c r="E991" s="4">
        <v>6861.9816581499999</v>
      </c>
      <c r="F991" s="4">
        <v>14007291.29660056</v>
      </c>
    </row>
    <row r="992" spans="1:6" x14ac:dyDescent="0.3">
      <c r="A992" s="3" t="s">
        <v>10</v>
      </c>
      <c r="B992" s="7" t="str">
        <f>VLOOKUP(VALUE(A992), 'DICIONÁRIO UF'!$A:$B, 2, FALSE)</f>
        <v>Tocantins</v>
      </c>
      <c r="C992" s="3">
        <v>43000</v>
      </c>
      <c r="D992" s="5" t="str">
        <f>VLOOKUP(C992, 'DICIONÁRIO CNAES'!$A:$B, 2, FALSE)</f>
        <v>Serviços especializados para construção</v>
      </c>
      <c r="E992" s="4">
        <v>14696.452168600001</v>
      </c>
      <c r="F992" s="4">
        <v>22077225.876205999</v>
      </c>
    </row>
    <row r="993" spans="1:6" x14ac:dyDescent="0.3">
      <c r="A993" s="3" t="s">
        <v>10</v>
      </c>
      <c r="B993" s="7" t="str">
        <f>VLOOKUP(VALUE(A993), 'DICIONÁRIO UF'!$A:$B, 2, FALSE)</f>
        <v>Tocantins</v>
      </c>
      <c r="C993" s="3">
        <v>45010</v>
      </c>
      <c r="D993" s="5" t="str">
        <f>VLOOKUP(C993, 'DICIONÁRIO CNAES'!$A:$B, 2, FALSE)</f>
        <v>Comércio de veículos automotores</v>
      </c>
      <c r="E993" s="4">
        <v>1621.3576032599999</v>
      </c>
      <c r="F993" s="4">
        <v>2115120.8814869998</v>
      </c>
    </row>
    <row r="994" spans="1:6" x14ac:dyDescent="0.3">
      <c r="A994" s="3" t="s">
        <v>10</v>
      </c>
      <c r="B994" s="7" t="str">
        <f>VLOOKUP(VALUE(A994), 'DICIONÁRIO UF'!$A:$B, 2, FALSE)</f>
        <v>Tocantins</v>
      </c>
      <c r="C994" s="3">
        <v>45020</v>
      </c>
      <c r="D994" s="5" t="str">
        <f>VLOOKUP(C994, 'DICIONÁRIO CNAES'!$A:$B, 2, FALSE)</f>
        <v>Manutenção e reparação de veículos automotores</v>
      </c>
      <c r="E994" s="4">
        <v>17470.408867760001</v>
      </c>
      <c r="F994" s="4">
        <v>28078634.5228322</v>
      </c>
    </row>
    <row r="995" spans="1:6" x14ac:dyDescent="0.3">
      <c r="A995" s="3" t="s">
        <v>10</v>
      </c>
      <c r="B995" s="7" t="str">
        <f>VLOOKUP(VALUE(A995), 'DICIONÁRIO UF'!$A:$B, 2, FALSE)</f>
        <v>Tocantins</v>
      </c>
      <c r="C995" s="3">
        <v>45030</v>
      </c>
      <c r="D995" s="5" t="str">
        <f>VLOOKUP(C995, 'DICIONÁRIO CNAES'!$A:$B, 2, FALSE)</f>
        <v>Comércio de peças e acessórios para veículos automotores</v>
      </c>
      <c r="E995" s="4">
        <v>880.88116807000006</v>
      </c>
      <c r="F995" s="4">
        <v>1120425.6809294999</v>
      </c>
    </row>
    <row r="996" spans="1:6" x14ac:dyDescent="0.3">
      <c r="A996" s="3" t="s">
        <v>10</v>
      </c>
      <c r="B996" s="7" t="str">
        <f>VLOOKUP(VALUE(A996), 'DICIONÁRIO UF'!$A:$B, 2, FALSE)</f>
        <v>Tocantins</v>
      </c>
      <c r="C996" s="3">
        <v>45040</v>
      </c>
      <c r="D996" s="5" t="str">
        <f>VLOOKUP(C996, 'DICIONÁRIO CNAES'!$A:$B, 2, FALSE)</f>
        <v>Comércio, manutenção e reparação de motocicletas, peças e acessórios</v>
      </c>
      <c r="E996" s="4">
        <v>1191.69118377</v>
      </c>
      <c r="F996" s="4">
        <v>2108468.7088120002</v>
      </c>
    </row>
    <row r="997" spans="1:6" x14ac:dyDescent="0.3">
      <c r="A997" s="3" t="s">
        <v>10</v>
      </c>
      <c r="B997" s="7" t="str">
        <f>VLOOKUP(VALUE(A997), 'DICIONÁRIO UF'!$A:$B, 2, FALSE)</f>
        <v>Tocantins</v>
      </c>
      <c r="C997" s="3">
        <v>48010</v>
      </c>
      <c r="D997" s="5" t="str">
        <f>VLOOKUP(C997, 'DICIONÁRIO CNAES'!$A:$B, 2, FALSE)</f>
        <v>Representantes comerciais e agentes do comércio, exceto de veículos automotores e motocicletas</v>
      </c>
      <c r="E997" s="4">
        <v>1684.6063021</v>
      </c>
      <c r="F997" s="4">
        <v>10192767.0809</v>
      </c>
    </row>
    <row r="998" spans="1:6" x14ac:dyDescent="0.3">
      <c r="A998" s="3" t="s">
        <v>10</v>
      </c>
      <c r="B998" s="7" t="str">
        <f>VLOOKUP(VALUE(A998), 'DICIONÁRIO UF'!$A:$B, 2, FALSE)</f>
        <v>Tocantins</v>
      </c>
      <c r="C998" s="3">
        <v>48020</v>
      </c>
      <c r="D998" s="5" t="str">
        <f>VLOOKUP(C998, 'DICIONÁRIO CNAES'!$A:$B, 2, FALSE)</f>
        <v>Comércio de matérias-primas agrícolas e animais vivos</v>
      </c>
      <c r="E998" s="4">
        <v>1910.13880475</v>
      </c>
      <c r="F998" s="4">
        <v>3303727.7043770002</v>
      </c>
    </row>
    <row r="999" spans="1:6" x14ac:dyDescent="0.3">
      <c r="A999" s="3" t="s">
        <v>10</v>
      </c>
      <c r="B999" s="7" t="str">
        <f>VLOOKUP(VALUE(A999), 'DICIONÁRIO UF'!$A:$B, 2, FALSE)</f>
        <v>Tocantins</v>
      </c>
      <c r="C999" s="3">
        <v>48030</v>
      </c>
      <c r="D999" s="5" t="str">
        <f>VLOOKUP(C999, 'DICIONÁRIO CNAES'!$A:$B, 2, FALSE)</f>
        <v>Comércio de produtos alimentícios, bebidas e fumo</v>
      </c>
      <c r="E999" s="4">
        <v>16348.223295149999</v>
      </c>
      <c r="F999" s="4">
        <v>28618709.714890901</v>
      </c>
    </row>
    <row r="1000" spans="1:6" x14ac:dyDescent="0.3">
      <c r="A1000" s="3" t="s">
        <v>10</v>
      </c>
      <c r="B1000" s="7" t="str">
        <f>VLOOKUP(VALUE(A1000), 'DICIONÁRIO UF'!$A:$B, 2, FALSE)</f>
        <v>Tocantins</v>
      </c>
      <c r="C1000" s="3">
        <v>48041</v>
      </c>
      <c r="D1000" s="5" t="str">
        <f>VLOOKUP(C1000, 'DICIONÁRIO CNAES'!$A:$B, 2, FALSE)</f>
        <v>Comércio de tecidos, artefatos de tecidos e armarinho</v>
      </c>
      <c r="E1000" s="4">
        <v>631.83624263000002</v>
      </c>
      <c r="F1000" s="4">
        <v>1075848.6202420001</v>
      </c>
    </row>
    <row r="1001" spans="1:6" x14ac:dyDescent="0.3">
      <c r="A1001" s="3" t="s">
        <v>10</v>
      </c>
      <c r="B1001" s="7" t="str">
        <f>VLOOKUP(VALUE(A1001), 'DICIONÁRIO UF'!$A:$B, 2, FALSE)</f>
        <v>Tocantins</v>
      </c>
      <c r="C1001" s="3">
        <v>48042</v>
      </c>
      <c r="D1001" s="5" t="str">
        <f>VLOOKUP(C1001, 'DICIONÁRIO CNAES'!$A:$B, 2, FALSE)</f>
        <v>Comércio de artigos do vestuário, complementos, calçados e artigos de viagem</v>
      </c>
      <c r="E1001" s="4">
        <v>9284.4531601300005</v>
      </c>
      <c r="F1001" s="4">
        <v>15118972.1465574</v>
      </c>
    </row>
    <row r="1002" spans="1:6" x14ac:dyDescent="0.3">
      <c r="A1002" s="3" t="s">
        <v>10</v>
      </c>
      <c r="B1002" s="7" t="str">
        <f>VLOOKUP(VALUE(A1002), 'DICIONÁRIO UF'!$A:$B, 2, FALSE)</f>
        <v>Tocantins</v>
      </c>
      <c r="C1002" s="3">
        <v>48050</v>
      </c>
      <c r="D1002" s="5" t="str">
        <f>VLOOKUP(C1002, 'DICIONÁRIO CNAES'!$A:$B, 2, FALSE)</f>
        <v>Comércio de madeira, material de construção, ferragens e ferramentas</v>
      </c>
      <c r="E1002" s="4">
        <v>7279.9666755099997</v>
      </c>
      <c r="F1002" s="4">
        <v>17554271.796071999</v>
      </c>
    </row>
    <row r="1003" spans="1:6" x14ac:dyDescent="0.3">
      <c r="A1003" s="3" t="s">
        <v>10</v>
      </c>
      <c r="B1003" s="7" t="str">
        <f>VLOOKUP(VALUE(A1003), 'DICIONÁRIO UF'!$A:$B, 2, FALSE)</f>
        <v>Tocantins</v>
      </c>
      <c r="C1003" s="3">
        <v>48060</v>
      </c>
      <c r="D1003" s="5" t="str">
        <f>VLOOKUP(C1003, 'DICIONÁRIO CNAES'!$A:$B, 2, FALSE)</f>
        <v>Comércio de combustíveis para veículos automotores</v>
      </c>
      <c r="E1003" s="4">
        <v>6703.4221195099999</v>
      </c>
      <c r="F1003" s="4">
        <v>10707577.041399</v>
      </c>
    </row>
    <row r="1004" spans="1:6" x14ac:dyDescent="0.3">
      <c r="A1004" s="3" t="s">
        <v>10</v>
      </c>
      <c r="B1004" s="7" t="str">
        <f>VLOOKUP(VALUE(A1004), 'DICIONÁRIO UF'!$A:$B, 2, FALSE)</f>
        <v>Tocantins</v>
      </c>
      <c r="C1004" s="3">
        <v>48071</v>
      </c>
      <c r="D1004" s="5" t="str">
        <f>VLOOKUP(C1004, 'DICIONÁRIO CNAES'!$A:$B, 2, FALSE)</f>
        <v>Comércio de produtos farmaceuticos, médicos, ortopédicos, odontológicos e de cosméticos e perfumaria</v>
      </c>
      <c r="E1004" s="4">
        <v>10636.18149888</v>
      </c>
      <c r="F1004" s="4">
        <v>16803747.888114199</v>
      </c>
    </row>
    <row r="1005" spans="1:6" x14ac:dyDescent="0.3">
      <c r="A1005" s="3" t="s">
        <v>10</v>
      </c>
      <c r="B1005" s="7" t="str">
        <f>VLOOKUP(VALUE(A1005), 'DICIONÁRIO UF'!$A:$B, 2, FALSE)</f>
        <v>Tocantins</v>
      </c>
      <c r="C1005" s="3">
        <v>48072</v>
      </c>
      <c r="D1005" s="5" t="str">
        <f>VLOOKUP(C1005, 'DICIONÁRIO CNAES'!$A:$B, 2, FALSE)</f>
        <v>Comércio de artigos de escritório e de papelaria; livros, jornais e outras publicações</v>
      </c>
      <c r="E1005" s="4">
        <v>1015.8529804999999</v>
      </c>
      <c r="F1005" s="4">
        <v>1307742.8326280001</v>
      </c>
    </row>
    <row r="1006" spans="1:6" x14ac:dyDescent="0.3">
      <c r="A1006" s="3" t="s">
        <v>10</v>
      </c>
      <c r="B1006" s="7" t="str">
        <f>VLOOKUP(VALUE(A1006), 'DICIONÁRIO UF'!$A:$B, 2, FALSE)</f>
        <v>Tocantins</v>
      </c>
      <c r="C1006" s="3">
        <v>48073</v>
      </c>
      <c r="D1006" s="5" t="str">
        <f>VLOOKUP(C1006, 'DICIONÁRIO CNAES'!$A:$B, 2, FALSE)</f>
        <v>Comércio de eletrodomésticos, móveis e outros artigos de residência</v>
      </c>
      <c r="E1006" s="4">
        <v>6297.8405990000001</v>
      </c>
      <c r="F1006" s="4">
        <v>11661245.256697999</v>
      </c>
    </row>
    <row r="1007" spans="1:6" x14ac:dyDescent="0.3">
      <c r="A1007" s="3" t="s">
        <v>10</v>
      </c>
      <c r="B1007" s="7" t="str">
        <f>VLOOKUP(VALUE(A1007), 'DICIONÁRIO UF'!$A:$B, 2, FALSE)</f>
        <v>Tocantins</v>
      </c>
      <c r="C1007" s="3">
        <v>48074</v>
      </c>
      <c r="D1007" s="5" t="str">
        <f>VLOOKUP(C1007, 'DICIONÁRIO CNAES'!$A:$B, 2, FALSE)</f>
        <v>Comércio de equipamentos e produtos de tecnologias de informação e comunicação</v>
      </c>
      <c r="E1007" s="4">
        <v>2034.9660785599999</v>
      </c>
      <c r="F1007" s="4">
        <v>9823852.0368719995</v>
      </c>
    </row>
    <row r="1008" spans="1:6" x14ac:dyDescent="0.3">
      <c r="A1008" s="3" t="s">
        <v>10</v>
      </c>
      <c r="B1008" s="7" t="str">
        <f>VLOOKUP(VALUE(A1008), 'DICIONÁRIO UF'!$A:$B, 2, FALSE)</f>
        <v>Tocantins</v>
      </c>
      <c r="C1008" s="3">
        <v>48075</v>
      </c>
      <c r="D1008" s="5" t="str">
        <f>VLOOKUP(C1008, 'DICIONÁRIO CNAES'!$A:$B, 2, FALSE)</f>
        <v xml:space="preserve">Comércio de máquinas, aparelhos e equipamentos, exceto eletrodomésticos </v>
      </c>
      <c r="E1008" s="4">
        <v>1754.0316292099999</v>
      </c>
      <c r="F1008" s="4">
        <v>3589016.6561079999</v>
      </c>
    </row>
    <row r="1009" spans="1:6" x14ac:dyDescent="0.3">
      <c r="A1009" s="3" t="s">
        <v>10</v>
      </c>
      <c r="B1009" s="7" t="str">
        <f>VLOOKUP(VALUE(A1009), 'DICIONÁRIO UF'!$A:$B, 2, FALSE)</f>
        <v>Tocantins</v>
      </c>
      <c r="C1009" s="3">
        <v>48076</v>
      </c>
      <c r="D1009" s="5" t="str">
        <f>VLOOKUP(C1009, 'DICIONÁRIO CNAES'!$A:$B, 2, FALSE)</f>
        <v>Comércio de combustíveis sólidos, líquidos e gasosos, exceto para veículos automotores</v>
      </c>
      <c r="E1009" s="4">
        <v>1542.09439124</v>
      </c>
      <c r="F1009" s="4">
        <v>4687325.1606651004</v>
      </c>
    </row>
    <row r="1010" spans="1:6" x14ac:dyDescent="0.3">
      <c r="A1010" s="3" t="s">
        <v>10</v>
      </c>
      <c r="B1010" s="7" t="str">
        <f>VLOOKUP(VALUE(A1010), 'DICIONÁRIO UF'!$A:$B, 2, FALSE)</f>
        <v>Tocantins</v>
      </c>
      <c r="C1010" s="3">
        <v>48077</v>
      </c>
      <c r="D1010" s="5" t="str">
        <f>VLOOKUP(C1010, 'DICIONÁRIO CNAES'!$A:$B, 2, FALSE)</f>
        <v>Comércio de produtos usados</v>
      </c>
      <c r="E1010" s="4">
        <v>316.13896333000002</v>
      </c>
      <c r="F1010" s="4">
        <v>347752.85966299998</v>
      </c>
    </row>
    <row r="1011" spans="1:6" x14ac:dyDescent="0.3">
      <c r="A1011" s="3" t="s">
        <v>10</v>
      </c>
      <c r="B1011" s="7" t="str">
        <f>VLOOKUP(VALUE(A1011), 'DICIONÁRIO UF'!$A:$B, 2, FALSE)</f>
        <v>Tocantins</v>
      </c>
      <c r="C1011" s="3">
        <v>48078</v>
      </c>
      <c r="D1011" s="5" t="str">
        <f>VLOOKUP(C1011, 'DICIONÁRIO CNAES'!$A:$B, 2, FALSE)</f>
        <v>Comercio de residuos e sucatas</v>
      </c>
      <c r="E1011" s="4">
        <v>532.66003352999996</v>
      </c>
      <c r="F1011" s="4">
        <v>311216.61647429998</v>
      </c>
    </row>
    <row r="1012" spans="1:6" x14ac:dyDescent="0.3">
      <c r="A1012" s="3" t="s">
        <v>10</v>
      </c>
      <c r="B1012" s="7" t="str">
        <f>VLOOKUP(VALUE(A1012), 'DICIONÁRIO UF'!$A:$B, 2, FALSE)</f>
        <v>Tocantins</v>
      </c>
      <c r="C1012" s="3">
        <v>48079</v>
      </c>
      <c r="D1012" s="5" t="str">
        <f>VLOOKUP(C1012, 'DICIONÁRIO CNAES'!$A:$B, 2, FALSE)</f>
        <v>Comércio de produtos novos não especificados anteriormente</v>
      </c>
      <c r="E1012" s="4">
        <v>5792.7386021000002</v>
      </c>
      <c r="F1012" s="4">
        <v>13843916.963119769</v>
      </c>
    </row>
    <row r="1013" spans="1:6" x14ac:dyDescent="0.3">
      <c r="A1013" s="3" t="s">
        <v>10</v>
      </c>
      <c r="B1013" s="7" t="str">
        <f>VLOOKUP(VALUE(A1013), 'DICIONÁRIO UF'!$A:$B, 2, FALSE)</f>
        <v>Tocantins</v>
      </c>
      <c r="C1013" s="3">
        <v>48080</v>
      </c>
      <c r="D1013" s="5" t="str">
        <f>VLOOKUP(C1013, 'DICIONÁRIO CNAES'!$A:$B, 2, FALSE)</f>
        <v>Supermercado e hipermercado</v>
      </c>
      <c r="E1013" s="4">
        <v>11942.411738160001</v>
      </c>
      <c r="F1013" s="4">
        <v>15447867.89237868</v>
      </c>
    </row>
    <row r="1014" spans="1:6" x14ac:dyDescent="0.3">
      <c r="A1014" s="3" t="s">
        <v>10</v>
      </c>
      <c r="B1014" s="7" t="str">
        <f>VLOOKUP(VALUE(A1014), 'DICIONÁRIO UF'!$A:$B, 2, FALSE)</f>
        <v>Tocantins</v>
      </c>
      <c r="C1014" s="3">
        <v>48090</v>
      </c>
      <c r="D1014" s="5" t="str">
        <f>VLOOKUP(C1014, 'DICIONÁRIO CNAES'!$A:$B, 2, FALSE)</f>
        <v>Lojas de departamento e outros comércios não especializados, sem predominância de produtos alimentícios</v>
      </c>
      <c r="E1014" s="4">
        <v>590.75355137999998</v>
      </c>
      <c r="F1014" s="4">
        <v>1181507.1027599999</v>
      </c>
    </row>
    <row r="1015" spans="1:6" x14ac:dyDescent="0.3">
      <c r="A1015" s="3" t="s">
        <v>10</v>
      </c>
      <c r="B1015" s="7" t="str">
        <f>VLOOKUP(VALUE(A1015), 'DICIONÁRIO UF'!$A:$B, 2, FALSE)</f>
        <v>Tocantins</v>
      </c>
      <c r="C1015" s="3">
        <v>48100</v>
      </c>
      <c r="D1015" s="5" t="str">
        <f>VLOOKUP(C1015, 'DICIONÁRIO CNAES'!$A:$B, 2, FALSE)</f>
        <v>Comércio ambulante e feiras</v>
      </c>
      <c r="E1015" s="4">
        <v>3803.1280784</v>
      </c>
      <c r="F1015" s="4">
        <v>4319524.6300983997</v>
      </c>
    </row>
    <row r="1016" spans="1:6" x14ac:dyDescent="0.3">
      <c r="A1016" s="3" t="s">
        <v>10</v>
      </c>
      <c r="B1016" s="7" t="str">
        <f>VLOOKUP(VALUE(A1016), 'DICIONÁRIO UF'!$A:$B, 2, FALSE)</f>
        <v>Tocantins</v>
      </c>
      <c r="C1016" s="3">
        <v>49030</v>
      </c>
      <c r="D1016" s="5" t="str">
        <f>VLOOKUP(C1016, 'DICIONÁRIO CNAES'!$A:$B, 2, FALSE)</f>
        <v>Transporte rodoviário de passageiros</v>
      </c>
      <c r="E1016" s="4">
        <v>7884.4748450400002</v>
      </c>
      <c r="F1016" s="4">
        <v>12581384.5944</v>
      </c>
    </row>
    <row r="1017" spans="1:6" x14ac:dyDescent="0.3">
      <c r="A1017" s="3" t="s">
        <v>10</v>
      </c>
      <c r="B1017" s="7" t="str">
        <f>VLOOKUP(VALUE(A1017), 'DICIONÁRIO UF'!$A:$B, 2, FALSE)</f>
        <v>Tocantins</v>
      </c>
      <c r="C1017" s="3">
        <v>49040</v>
      </c>
      <c r="D1017" s="5" t="str">
        <f>VLOOKUP(C1017, 'DICIONÁRIO CNAES'!$A:$B, 2, FALSE)</f>
        <v>Transporte rodoviário de carga</v>
      </c>
      <c r="E1017" s="4">
        <v>10207.72655997</v>
      </c>
      <c r="F1017" s="4">
        <v>21413477.353763498</v>
      </c>
    </row>
    <row r="1018" spans="1:6" x14ac:dyDescent="0.3">
      <c r="A1018" s="3" t="s">
        <v>10</v>
      </c>
      <c r="B1018" s="7" t="str">
        <f>VLOOKUP(VALUE(A1018), 'DICIONÁRIO UF'!$A:$B, 2, FALSE)</f>
        <v>Tocantins</v>
      </c>
      <c r="C1018" s="3">
        <v>51000</v>
      </c>
      <c r="D1018" s="5" t="str">
        <f>VLOOKUP(C1018, 'DICIONÁRIO CNAES'!$A:$B, 2, FALSE)</f>
        <v>Transporte Aéreo</v>
      </c>
      <c r="E1018" s="4">
        <v>258.59907443999998</v>
      </c>
      <c r="F1018" s="4">
        <v>335661.59862311999</v>
      </c>
    </row>
    <row r="1019" spans="1:6" x14ac:dyDescent="0.3">
      <c r="A1019" s="3" t="s">
        <v>10</v>
      </c>
      <c r="B1019" s="7" t="str">
        <f>VLOOKUP(VALUE(A1019), 'DICIONÁRIO UF'!$A:$B, 2, FALSE)</f>
        <v>Tocantins</v>
      </c>
      <c r="C1019" s="3">
        <v>52010</v>
      </c>
      <c r="D1019" s="5" t="str">
        <f>VLOOKUP(C1019, 'DICIONÁRIO CNAES'!$A:$B, 2, FALSE)</f>
        <v>Armazenamento, carga e descarga</v>
      </c>
      <c r="E1019" s="4">
        <v>2395.0451373400001</v>
      </c>
      <c r="F1019" s="4">
        <v>2429039.5535630002</v>
      </c>
    </row>
    <row r="1020" spans="1:6" x14ac:dyDescent="0.3">
      <c r="A1020" s="3" t="s">
        <v>10</v>
      </c>
      <c r="B1020" s="7" t="str">
        <f>VLOOKUP(VALUE(A1020), 'DICIONÁRIO UF'!$A:$B, 2, FALSE)</f>
        <v>Tocantins</v>
      </c>
      <c r="C1020" s="3">
        <v>52020</v>
      </c>
      <c r="D1020" s="5" t="str">
        <f>VLOOKUP(C1020, 'DICIONÁRIO CNAES'!$A:$B, 2, FALSE)</f>
        <v xml:space="preserve">Atividades auxiliares dos transportes e atividades relacionadas à organização do transporte de carga </v>
      </c>
      <c r="E1020" s="4">
        <v>108.07590245</v>
      </c>
      <c r="F1020" s="4">
        <v>129691.08293999999</v>
      </c>
    </row>
    <row r="1021" spans="1:6" x14ac:dyDescent="0.3">
      <c r="A1021" s="3" t="s">
        <v>10</v>
      </c>
      <c r="B1021" s="7" t="str">
        <f>VLOOKUP(VALUE(A1021), 'DICIONÁRIO UF'!$A:$B, 2, FALSE)</f>
        <v>Tocantins</v>
      </c>
      <c r="C1021" s="3">
        <v>53001</v>
      </c>
      <c r="D1021" s="5" t="str">
        <f>VLOOKUP(C1021, 'DICIONÁRIO CNAES'!$A:$B, 2, FALSE)</f>
        <v>Atividades de Correio</v>
      </c>
      <c r="E1021" s="4">
        <v>103.30064785</v>
      </c>
      <c r="F1021" s="4">
        <v>286142.79454450001</v>
      </c>
    </row>
    <row r="1022" spans="1:6" x14ac:dyDescent="0.3">
      <c r="A1022" s="3" t="s">
        <v>10</v>
      </c>
      <c r="B1022" s="7" t="str">
        <f>VLOOKUP(VALUE(A1022), 'DICIONÁRIO UF'!$A:$B, 2, FALSE)</f>
        <v>Tocantins</v>
      </c>
      <c r="C1022" s="3">
        <v>53002</v>
      </c>
      <c r="D1022" s="5" t="str">
        <f>VLOOKUP(C1022, 'DICIONÁRIO CNAES'!$A:$B, 2, FALSE)</f>
        <v>Atividades de malote e de entrega</v>
      </c>
      <c r="E1022" s="4">
        <v>883.06656941000006</v>
      </c>
      <c r="F1022" s="4">
        <v>2205179.913127</v>
      </c>
    </row>
    <row r="1023" spans="1:6" x14ac:dyDescent="0.3">
      <c r="A1023" s="3" t="s">
        <v>10</v>
      </c>
      <c r="B1023" s="7" t="str">
        <f>VLOOKUP(VALUE(A1023), 'DICIONÁRIO UF'!$A:$B, 2, FALSE)</f>
        <v>Tocantins</v>
      </c>
      <c r="C1023" s="3">
        <v>55000</v>
      </c>
      <c r="D1023" s="5" t="str">
        <f>VLOOKUP(C1023, 'DICIONÁRIO CNAES'!$A:$B, 2, FALSE)</f>
        <v>Alojamento</v>
      </c>
      <c r="E1023" s="4">
        <v>3763.2234518</v>
      </c>
      <c r="F1023" s="4">
        <v>5787792.3914024998</v>
      </c>
    </row>
    <row r="1024" spans="1:6" x14ac:dyDescent="0.3">
      <c r="A1024" s="3" t="s">
        <v>10</v>
      </c>
      <c r="B1024" s="7" t="str">
        <f>VLOOKUP(VALUE(A1024), 'DICIONÁRIO UF'!$A:$B, 2, FALSE)</f>
        <v>Tocantins</v>
      </c>
      <c r="C1024" s="3">
        <v>56011</v>
      </c>
      <c r="D1024" s="5" t="str">
        <f>VLOOKUP(C1024, 'DICIONÁRIO CNAES'!$A:$B, 2, FALSE)</f>
        <v>Restaurantes e outros estabelecimentos de serviços de alimentação e bebidas</v>
      </c>
      <c r="E1024" s="4">
        <v>22228.46327982</v>
      </c>
      <c r="F1024" s="4">
        <v>31710487.224908002</v>
      </c>
    </row>
    <row r="1025" spans="1:6" x14ac:dyDescent="0.3">
      <c r="A1025" s="3" t="s">
        <v>10</v>
      </c>
      <c r="B1025" s="7" t="str">
        <f>VLOOKUP(VALUE(A1025), 'DICIONÁRIO UF'!$A:$B, 2, FALSE)</f>
        <v>Tocantins</v>
      </c>
      <c r="C1025" s="3">
        <v>56012</v>
      </c>
      <c r="D1025" s="5" t="str">
        <f>VLOOKUP(C1025, 'DICIONÁRIO CNAES'!$A:$B, 2, FALSE)</f>
        <v>Serviços de catering, bufê e outros serviços de comida preparada</v>
      </c>
      <c r="E1025" s="4">
        <v>4235.4930962799999</v>
      </c>
      <c r="F1025" s="4">
        <v>7253777.0756893996</v>
      </c>
    </row>
    <row r="1026" spans="1:6" x14ac:dyDescent="0.3">
      <c r="A1026" s="3" t="s">
        <v>10</v>
      </c>
      <c r="B1026" s="7" t="str">
        <f>VLOOKUP(VALUE(A1026), 'DICIONÁRIO UF'!$A:$B, 2, FALSE)</f>
        <v>Tocantins</v>
      </c>
      <c r="C1026" s="3">
        <v>56020</v>
      </c>
      <c r="D1026" s="5" t="str">
        <f>VLOOKUP(C1026, 'DICIONÁRIO CNAES'!$A:$B, 2, FALSE)</f>
        <v>Serviços ambulantes de alimentação</v>
      </c>
      <c r="E1026" s="4">
        <v>727.23631456999999</v>
      </c>
      <c r="F1026" s="4">
        <v>863030.81566499989</v>
      </c>
    </row>
    <row r="1027" spans="1:6" x14ac:dyDescent="0.3">
      <c r="A1027" s="3" t="s">
        <v>10</v>
      </c>
      <c r="B1027" s="7" t="str">
        <f>VLOOKUP(VALUE(A1027), 'DICIONÁRIO UF'!$A:$B, 2, FALSE)</f>
        <v>Tocantins</v>
      </c>
      <c r="C1027" s="3">
        <v>59000</v>
      </c>
      <c r="D1027" s="5" t="str">
        <f>VLOOKUP(C1027, 'DICIONÁRIO CNAES'!$A:$B, 2, FALSE)</f>
        <v>Atividades cinematográficas, produção de vídeos e de programas de televisão, gravação de som e de música</v>
      </c>
      <c r="E1027" s="4">
        <v>579.37354029000005</v>
      </c>
      <c r="F1027" s="4">
        <v>1075824.4842089999</v>
      </c>
    </row>
    <row r="1028" spans="1:6" x14ac:dyDescent="0.3">
      <c r="A1028" s="3" t="s">
        <v>10</v>
      </c>
      <c r="B1028" s="7" t="str">
        <f>VLOOKUP(VALUE(A1028), 'DICIONÁRIO UF'!$A:$B, 2, FALSE)</f>
        <v>Tocantins</v>
      </c>
      <c r="C1028" s="3">
        <v>60002</v>
      </c>
      <c r="D1028" s="5" t="str">
        <f>VLOOKUP(C1028, 'DICIONÁRIO CNAES'!$A:$B, 2, FALSE)</f>
        <v>Atividades de televisão</v>
      </c>
      <c r="E1028" s="4">
        <v>692.25637803999996</v>
      </c>
      <c r="F1028" s="4">
        <v>1730640.9450999999</v>
      </c>
    </row>
    <row r="1029" spans="1:6" x14ac:dyDescent="0.3">
      <c r="A1029" s="3" t="s">
        <v>10</v>
      </c>
      <c r="B1029" s="7" t="str">
        <f>VLOOKUP(VALUE(A1029), 'DICIONÁRIO UF'!$A:$B, 2, FALSE)</f>
        <v>Tocantins</v>
      </c>
      <c r="C1029" s="3">
        <v>61000</v>
      </c>
      <c r="D1029" s="5" t="str">
        <f>VLOOKUP(C1029, 'DICIONÁRIO CNAES'!$A:$B, 2, FALSE)</f>
        <v>Telecomunicações</v>
      </c>
      <c r="E1029" s="4">
        <v>2122.9396127599998</v>
      </c>
      <c r="F1029" s="4">
        <v>2669495.2281534998</v>
      </c>
    </row>
    <row r="1030" spans="1:6" x14ac:dyDescent="0.3">
      <c r="A1030" s="3" t="s">
        <v>10</v>
      </c>
      <c r="B1030" s="7" t="str">
        <f>VLOOKUP(VALUE(A1030), 'DICIONÁRIO UF'!$A:$B, 2, FALSE)</f>
        <v>Tocantins</v>
      </c>
      <c r="C1030" s="3">
        <v>62000</v>
      </c>
      <c r="D1030" s="5" t="str">
        <f>VLOOKUP(C1030, 'DICIONÁRIO CNAES'!$A:$B, 2, FALSE)</f>
        <v>Atividades dos serviços de tecnologia da informação</v>
      </c>
      <c r="E1030" s="4">
        <v>1996.9156344999999</v>
      </c>
      <c r="F1030" s="4">
        <v>16596570.616311001</v>
      </c>
    </row>
    <row r="1031" spans="1:6" x14ac:dyDescent="0.3">
      <c r="A1031" s="3" t="s">
        <v>10</v>
      </c>
      <c r="B1031" s="7" t="str">
        <f>VLOOKUP(VALUE(A1031), 'DICIONÁRIO UF'!$A:$B, 2, FALSE)</f>
        <v>Tocantins</v>
      </c>
      <c r="C1031" s="3">
        <v>63000</v>
      </c>
      <c r="D1031" s="5" t="str">
        <f>VLOOKUP(C1031, 'DICIONÁRIO CNAES'!$A:$B, 2, FALSE)</f>
        <v>Atividades de prestação de serviços de informação</v>
      </c>
      <c r="E1031" s="4">
        <v>757.98020681000003</v>
      </c>
      <c r="F1031" s="4">
        <v>1972026.010548</v>
      </c>
    </row>
    <row r="1032" spans="1:6" x14ac:dyDescent="0.3">
      <c r="A1032" s="3" t="s">
        <v>10</v>
      </c>
      <c r="B1032" s="7" t="str">
        <f>VLOOKUP(VALUE(A1032), 'DICIONÁRIO UF'!$A:$B, 2, FALSE)</f>
        <v>Tocantins</v>
      </c>
      <c r="C1032" s="3">
        <v>64000</v>
      </c>
      <c r="D1032" s="5" t="str">
        <f>VLOOKUP(C1032, 'DICIONÁRIO CNAES'!$A:$B, 2, FALSE)</f>
        <v>Serviços financeiros</v>
      </c>
      <c r="E1032" s="4">
        <v>3339.9106675799999</v>
      </c>
      <c r="F1032" s="4">
        <v>14597768.216773881</v>
      </c>
    </row>
    <row r="1033" spans="1:6" x14ac:dyDescent="0.3">
      <c r="A1033" s="3" t="s">
        <v>10</v>
      </c>
      <c r="B1033" s="7" t="str">
        <f>VLOOKUP(VALUE(A1033), 'DICIONÁRIO UF'!$A:$B, 2, FALSE)</f>
        <v>Tocantins</v>
      </c>
      <c r="C1033" s="3">
        <v>66002</v>
      </c>
      <c r="D1033" s="5" t="str">
        <f>VLOOKUP(C1033, 'DICIONÁRIO CNAES'!$A:$B, 2, FALSE)</f>
        <v>Atividades auxiliares dos seguros, da previdência complementar e dos planos de saúde</v>
      </c>
      <c r="E1033" s="4">
        <v>939.76599466000005</v>
      </c>
      <c r="F1033" s="4">
        <v>2341301.844112</v>
      </c>
    </row>
    <row r="1034" spans="1:6" x14ac:dyDescent="0.3">
      <c r="A1034" s="3" t="s">
        <v>10</v>
      </c>
      <c r="B1034" s="7" t="str">
        <f>VLOOKUP(VALUE(A1034), 'DICIONÁRIO UF'!$A:$B, 2, FALSE)</f>
        <v>Tocantins</v>
      </c>
      <c r="C1034" s="3">
        <v>68000</v>
      </c>
      <c r="D1034" s="5" t="str">
        <f>VLOOKUP(C1034, 'DICIONÁRIO CNAES'!$A:$B, 2, FALSE)</f>
        <v>Atividades imobiliárias</v>
      </c>
      <c r="E1034" s="4">
        <v>2711.0588846199998</v>
      </c>
      <c r="F1034" s="4">
        <v>5874154.037881</v>
      </c>
    </row>
    <row r="1035" spans="1:6" x14ac:dyDescent="0.3">
      <c r="A1035" s="3" t="s">
        <v>10</v>
      </c>
      <c r="B1035" s="7" t="str">
        <f>VLOOKUP(VALUE(A1035), 'DICIONÁRIO UF'!$A:$B, 2, FALSE)</f>
        <v>Tocantins</v>
      </c>
      <c r="C1035" s="3">
        <v>69000</v>
      </c>
      <c r="D1035" s="5" t="str">
        <f>VLOOKUP(C1035, 'DICIONÁRIO CNAES'!$A:$B, 2, FALSE)</f>
        <v xml:space="preserve">Atividades jurídicas, de contabilidade e de auditoria </v>
      </c>
      <c r="E1035" s="4">
        <v>10843.75865172</v>
      </c>
      <c r="F1035" s="4">
        <v>29696759.036356501</v>
      </c>
    </row>
    <row r="1036" spans="1:6" x14ac:dyDescent="0.3">
      <c r="A1036" s="3" t="s">
        <v>10</v>
      </c>
      <c r="B1036" s="7" t="str">
        <f>VLOOKUP(VALUE(A1036), 'DICIONÁRIO UF'!$A:$B, 2, FALSE)</f>
        <v>Tocantins</v>
      </c>
      <c r="C1036" s="3">
        <v>71000</v>
      </c>
      <c r="D1036" s="5" t="str">
        <f>VLOOKUP(C1036, 'DICIONÁRIO CNAES'!$A:$B, 2, FALSE)</f>
        <v>Serviços de arquitetura e engenharia e atividades técnicas relacionadas; Testes e análises técnicas</v>
      </c>
      <c r="E1036" s="4">
        <v>3045.1230985799998</v>
      </c>
      <c r="F1036" s="4">
        <v>13907429.578265</v>
      </c>
    </row>
    <row r="1037" spans="1:6" x14ac:dyDescent="0.3">
      <c r="A1037" s="3" t="s">
        <v>10</v>
      </c>
      <c r="B1037" s="7" t="str">
        <f>VLOOKUP(VALUE(A1037), 'DICIONÁRIO UF'!$A:$B, 2, FALSE)</f>
        <v>Tocantins</v>
      </c>
      <c r="C1037" s="3">
        <v>72000</v>
      </c>
      <c r="D1037" s="5" t="str">
        <f>VLOOKUP(C1037, 'DICIONÁRIO CNAES'!$A:$B, 2, FALSE)</f>
        <v>Pesquisa e desenvolvimento científico</v>
      </c>
      <c r="E1037" s="4">
        <v>306.66066007000001</v>
      </c>
      <c r="F1037" s="4">
        <v>3679927.9208399998</v>
      </c>
    </row>
    <row r="1038" spans="1:6" x14ac:dyDescent="0.3">
      <c r="A1038" s="3" t="s">
        <v>10</v>
      </c>
      <c r="B1038" s="7" t="str">
        <f>VLOOKUP(VALUE(A1038), 'DICIONÁRIO UF'!$A:$B, 2, FALSE)</f>
        <v>Tocantins</v>
      </c>
      <c r="C1038" s="3">
        <v>73010</v>
      </c>
      <c r="D1038" s="5" t="str">
        <f>VLOOKUP(C1038, 'DICIONÁRIO CNAES'!$A:$B, 2, FALSE)</f>
        <v>Publicidade</v>
      </c>
      <c r="E1038" s="4">
        <v>2462.3353863299999</v>
      </c>
      <c r="F1038" s="4">
        <v>9125234.4466516003</v>
      </c>
    </row>
    <row r="1039" spans="1:6" x14ac:dyDescent="0.3">
      <c r="A1039" s="3" t="s">
        <v>10</v>
      </c>
      <c r="B1039" s="7" t="str">
        <f>VLOOKUP(VALUE(A1039), 'DICIONÁRIO UF'!$A:$B, 2, FALSE)</f>
        <v>Tocantins</v>
      </c>
      <c r="C1039" s="3">
        <v>74000</v>
      </c>
      <c r="D1039" s="5" t="str">
        <f>VLOOKUP(C1039, 'DICIONÁRIO CNAES'!$A:$B, 2, FALSE)</f>
        <v>Outras atividades profissionais, científicas e técnicas não especificadas anteriormente</v>
      </c>
      <c r="E1039" s="4">
        <v>1845.63777052</v>
      </c>
      <c r="F1039" s="4">
        <v>4813101.8432980003</v>
      </c>
    </row>
    <row r="1040" spans="1:6" x14ac:dyDescent="0.3">
      <c r="A1040" s="3" t="s">
        <v>10</v>
      </c>
      <c r="B1040" s="7" t="str">
        <f>VLOOKUP(VALUE(A1040), 'DICIONÁRIO UF'!$A:$B, 2, FALSE)</f>
        <v>Tocantins</v>
      </c>
      <c r="C1040" s="3">
        <v>75000</v>
      </c>
      <c r="D1040" s="5" t="str">
        <f>VLOOKUP(C1040, 'DICIONÁRIO CNAES'!$A:$B, 2, FALSE)</f>
        <v>Atividades veterinárias</v>
      </c>
      <c r="E1040" s="4">
        <v>604.55401886000004</v>
      </c>
      <c r="F1040" s="4">
        <v>5103331.8504419997</v>
      </c>
    </row>
    <row r="1041" spans="1:6" x14ac:dyDescent="0.3">
      <c r="A1041" s="3" t="s">
        <v>10</v>
      </c>
      <c r="B1041" s="7" t="str">
        <f>VLOOKUP(VALUE(A1041), 'DICIONÁRIO UF'!$A:$B, 2, FALSE)</f>
        <v>Tocantins</v>
      </c>
      <c r="C1041" s="3">
        <v>77010</v>
      </c>
      <c r="D1041" s="5" t="str">
        <f>VLOOKUP(C1041, 'DICIONÁRIO CNAES'!$A:$B, 2, FALSE)</f>
        <v>Aluguel de objetos pessoais e domésticos</v>
      </c>
      <c r="E1041" s="4">
        <v>1222.1336845599999</v>
      </c>
      <c r="F1041" s="4">
        <v>2497143.0066924999</v>
      </c>
    </row>
    <row r="1042" spans="1:6" x14ac:dyDescent="0.3">
      <c r="A1042" s="3" t="s">
        <v>10</v>
      </c>
      <c r="B1042" s="7" t="str">
        <f>VLOOKUP(VALUE(A1042), 'DICIONÁRIO UF'!$A:$B, 2, FALSE)</f>
        <v>Tocantins</v>
      </c>
      <c r="C1042" s="3">
        <v>77020</v>
      </c>
      <c r="D1042" s="5" t="str">
        <f>VLOOKUP(C1042, 'DICIONÁRIO CNAES'!$A:$B, 2, FALSE)</f>
        <v>Aluguel de meios de transportes, maquinas e equipamentos sem operador e gestão de ativos intangíveis não financeiros</v>
      </c>
      <c r="E1042" s="4">
        <v>257.04748009000002</v>
      </c>
      <c r="F1042" s="4">
        <v>282752.228099</v>
      </c>
    </row>
    <row r="1043" spans="1:6" x14ac:dyDescent="0.3">
      <c r="A1043" s="3" t="s">
        <v>10</v>
      </c>
      <c r="B1043" s="7" t="str">
        <f>VLOOKUP(VALUE(A1043), 'DICIONÁRIO UF'!$A:$B, 2, FALSE)</f>
        <v>Tocantins</v>
      </c>
      <c r="C1043" s="3">
        <v>78000</v>
      </c>
      <c r="D1043" s="5" t="str">
        <f>VLOOKUP(C1043, 'DICIONÁRIO CNAES'!$A:$B, 2, FALSE)</f>
        <v>Seleção, agenciamento e locação de mão-de-obra</v>
      </c>
      <c r="E1043" s="4">
        <v>2515.9601826799999</v>
      </c>
      <c r="F1043" s="4">
        <v>4767126.9546494</v>
      </c>
    </row>
    <row r="1044" spans="1:6" x14ac:dyDescent="0.3">
      <c r="A1044" s="3" t="s">
        <v>10</v>
      </c>
      <c r="B1044" s="7" t="str">
        <f>VLOOKUP(VALUE(A1044), 'DICIONÁRIO UF'!$A:$B, 2, FALSE)</f>
        <v>Tocantins</v>
      </c>
      <c r="C1044" s="3">
        <v>79000</v>
      </c>
      <c r="D1044" s="5" t="str">
        <f>VLOOKUP(C1044, 'DICIONÁRIO CNAES'!$A:$B, 2, FALSE)</f>
        <v>Agências de viagens, operadores turísticos e serviços de reservas</v>
      </c>
      <c r="E1044" s="4">
        <v>570.91493076999996</v>
      </c>
      <c r="F1044" s="4">
        <v>1065550.9468380001</v>
      </c>
    </row>
    <row r="1045" spans="1:6" x14ac:dyDescent="0.3">
      <c r="A1045" s="3" t="s">
        <v>10</v>
      </c>
      <c r="B1045" s="7" t="str">
        <f>VLOOKUP(VALUE(A1045), 'DICIONÁRIO UF'!$A:$B, 2, FALSE)</f>
        <v>Tocantins</v>
      </c>
      <c r="C1045" s="3">
        <v>80000</v>
      </c>
      <c r="D1045" s="5" t="str">
        <f>VLOOKUP(C1045, 'DICIONÁRIO CNAES'!$A:$B, 2, FALSE)</f>
        <v>Atividades de vigilância, segurança, transporte de valores e investigação</v>
      </c>
      <c r="E1045" s="4">
        <v>2205.2754908100001</v>
      </c>
      <c r="F1045" s="4">
        <v>3592827.8746425002</v>
      </c>
    </row>
    <row r="1046" spans="1:6" x14ac:dyDescent="0.3">
      <c r="A1046" s="3" t="s">
        <v>10</v>
      </c>
      <c r="B1046" s="7" t="str">
        <f>VLOOKUP(VALUE(A1046), 'DICIONÁRIO UF'!$A:$B, 2, FALSE)</f>
        <v>Tocantins</v>
      </c>
      <c r="C1046" s="3">
        <v>81011</v>
      </c>
      <c r="D1046" s="5" t="str">
        <f>VLOOKUP(C1046, 'DICIONÁRIO CNAES'!$A:$B, 2, FALSE)</f>
        <v>Serviços de limpeza e de apoio a edifícios, exceto condomínios prediais</v>
      </c>
      <c r="E1046" s="4">
        <v>3511.2550488000002</v>
      </c>
      <c r="F1046" s="4">
        <v>4004815.11839105</v>
      </c>
    </row>
    <row r="1047" spans="1:6" x14ac:dyDescent="0.3">
      <c r="A1047" s="3" t="s">
        <v>10</v>
      </c>
      <c r="B1047" s="7" t="str">
        <f>VLOOKUP(VALUE(A1047), 'DICIONÁRIO UF'!$A:$B, 2, FALSE)</f>
        <v>Tocantins</v>
      </c>
      <c r="C1047" s="3">
        <v>81020</v>
      </c>
      <c r="D1047" s="5" t="str">
        <f>VLOOKUP(C1047, 'DICIONÁRIO CNAES'!$A:$B, 2, FALSE)</f>
        <v>Atividades paisagísticas</v>
      </c>
      <c r="E1047" s="4">
        <v>871.96936972000003</v>
      </c>
      <c r="F1047" s="4">
        <v>1270048.2031060001</v>
      </c>
    </row>
    <row r="1048" spans="1:6" x14ac:dyDescent="0.3">
      <c r="A1048" s="3" t="s">
        <v>10</v>
      </c>
      <c r="B1048" s="7" t="str">
        <f>VLOOKUP(VALUE(A1048), 'DICIONÁRIO UF'!$A:$B, 2, FALSE)</f>
        <v>Tocantins</v>
      </c>
      <c r="C1048" s="3">
        <v>82001</v>
      </c>
      <c r="D1048" s="5" t="str">
        <f>VLOOKUP(C1048, 'DICIONÁRIO CNAES'!$A:$B, 2, FALSE)</f>
        <v>Serviços de escritório e apoio administrativo</v>
      </c>
      <c r="E1048" s="4">
        <v>919.58753535000005</v>
      </c>
      <c r="F1048" s="4">
        <v>875057.96464939998</v>
      </c>
    </row>
    <row r="1049" spans="1:6" x14ac:dyDescent="0.3">
      <c r="A1049" s="3" t="s">
        <v>10</v>
      </c>
      <c r="B1049" s="7" t="str">
        <f>VLOOKUP(VALUE(A1049), 'DICIONÁRIO UF'!$A:$B, 2, FALSE)</f>
        <v>Tocantins</v>
      </c>
      <c r="C1049" s="3">
        <v>82002</v>
      </c>
      <c r="D1049" s="5" t="str">
        <f>VLOOKUP(C1049, 'DICIONÁRIO CNAES'!$A:$B, 2, FALSE)</f>
        <v>Atividades de teleatendimento</v>
      </c>
      <c r="E1049" s="4">
        <v>887.45856337000009</v>
      </c>
      <c r="F1049" s="4">
        <v>357641.598612</v>
      </c>
    </row>
    <row r="1050" spans="1:6" x14ac:dyDescent="0.3">
      <c r="A1050" s="3" t="s">
        <v>10</v>
      </c>
      <c r="B1050" s="7" t="str">
        <f>VLOOKUP(VALUE(A1050), 'DICIONÁRIO UF'!$A:$B, 2, FALSE)</f>
        <v>Tocantins</v>
      </c>
      <c r="C1050" s="3">
        <v>82003</v>
      </c>
      <c r="D1050" s="5" t="str">
        <f>VLOOKUP(C1050, 'DICIONÁRIO CNAES'!$A:$B, 2, FALSE)</f>
        <v>Atividades de organização de eventos, exceto culturais e esportivos</v>
      </c>
      <c r="E1050" s="4">
        <v>1047.42122821</v>
      </c>
      <c r="F1050" s="4">
        <v>1333780.4018000001</v>
      </c>
    </row>
    <row r="1051" spans="1:6" x14ac:dyDescent="0.3">
      <c r="A1051" s="3" t="s">
        <v>10</v>
      </c>
      <c r="B1051" s="7" t="str">
        <f>VLOOKUP(VALUE(A1051), 'DICIONÁRIO UF'!$A:$B, 2, FALSE)</f>
        <v>Tocantins</v>
      </c>
      <c r="C1051" s="3">
        <v>82009</v>
      </c>
      <c r="D1051" s="5" t="str">
        <f>VLOOKUP(C1051, 'DICIONÁRIO CNAES'!$A:$B, 2, FALSE)</f>
        <v>Outras atividades de serviços prestados principalmente às empresas</v>
      </c>
      <c r="E1051" s="4">
        <v>193.11197435</v>
      </c>
      <c r="F1051" s="4">
        <v>482779.93587500002</v>
      </c>
    </row>
    <row r="1052" spans="1:6" x14ac:dyDescent="0.3">
      <c r="A1052" s="3" t="s">
        <v>10</v>
      </c>
      <c r="B1052" s="7" t="str">
        <f>VLOOKUP(VALUE(A1052), 'DICIONÁRIO UF'!$A:$B, 2, FALSE)</f>
        <v>Tocantins</v>
      </c>
      <c r="C1052" s="3">
        <v>84011</v>
      </c>
      <c r="D1052" s="5" t="str">
        <f>VLOOKUP(C1052, 'DICIONÁRIO CNAES'!$A:$B, 2, FALSE)</f>
        <v>Administração publica e regulação da política econômica e social - Federal</v>
      </c>
      <c r="E1052" s="4">
        <v>2343.6947666900001</v>
      </c>
      <c r="F1052" s="4">
        <v>18755738.071957029</v>
      </c>
    </row>
    <row r="1053" spans="1:6" x14ac:dyDescent="0.3">
      <c r="A1053" s="3" t="s">
        <v>10</v>
      </c>
      <c r="B1053" s="7" t="str">
        <f>VLOOKUP(VALUE(A1053), 'DICIONÁRIO UF'!$A:$B, 2, FALSE)</f>
        <v>Tocantins</v>
      </c>
      <c r="C1053" s="3">
        <v>84012</v>
      </c>
      <c r="D1053" s="5" t="str">
        <f>VLOOKUP(C1053, 'DICIONÁRIO CNAES'!$A:$B, 2, FALSE)</f>
        <v>Administração publica e regulação da política econômica e social - Estadual</v>
      </c>
      <c r="E1053" s="4">
        <v>11830.535104480001</v>
      </c>
      <c r="F1053" s="4">
        <v>47517463.037879936</v>
      </c>
    </row>
    <row r="1054" spans="1:6" x14ac:dyDescent="0.3">
      <c r="A1054" s="3" t="s">
        <v>10</v>
      </c>
      <c r="B1054" s="7" t="str">
        <f>VLOOKUP(VALUE(A1054), 'DICIONÁRIO UF'!$A:$B, 2, FALSE)</f>
        <v>Tocantins</v>
      </c>
      <c r="C1054" s="3">
        <v>84013</v>
      </c>
      <c r="D1054" s="5" t="str">
        <f>VLOOKUP(C1054, 'DICIONÁRIO CNAES'!$A:$B, 2, FALSE)</f>
        <v>Administração publica e regulação da política econômica e social - Municipal</v>
      </c>
      <c r="E1054" s="4">
        <v>38375.392418089999</v>
      </c>
      <c r="F1054" s="4">
        <v>82768725.370849952</v>
      </c>
    </row>
    <row r="1055" spans="1:6" x14ac:dyDescent="0.3">
      <c r="A1055" s="3" t="s">
        <v>10</v>
      </c>
      <c r="B1055" s="7" t="str">
        <f>VLOOKUP(VALUE(A1055), 'DICIONÁRIO UF'!$A:$B, 2, FALSE)</f>
        <v>Tocantins</v>
      </c>
      <c r="C1055" s="3">
        <v>84014</v>
      </c>
      <c r="D1055" s="5" t="str">
        <f>VLOOKUP(C1055, 'DICIONÁRIO CNAES'!$A:$B, 2, FALSE)</f>
        <v>Defesa</v>
      </c>
      <c r="E1055" s="4">
        <v>156.91949876000001</v>
      </c>
      <c r="F1055" s="4">
        <v>360914.84714799997</v>
      </c>
    </row>
    <row r="1056" spans="1:6" x14ac:dyDescent="0.3">
      <c r="A1056" s="3" t="s">
        <v>10</v>
      </c>
      <c r="B1056" s="7" t="str">
        <f>VLOOKUP(VALUE(A1056), 'DICIONÁRIO UF'!$A:$B, 2, FALSE)</f>
        <v>Tocantins</v>
      </c>
      <c r="C1056" s="3">
        <v>84015</v>
      </c>
      <c r="D1056" s="5" t="str">
        <f>VLOOKUP(C1056, 'DICIONÁRIO CNAES'!$A:$B, 2, FALSE)</f>
        <v>Outros serviços coletivos prestados pela administração pública - Federal</v>
      </c>
      <c r="E1056" s="4">
        <v>680.51327465999998</v>
      </c>
      <c r="F1056" s="4">
        <v>2370835.8192670001</v>
      </c>
    </row>
    <row r="1057" spans="1:6" x14ac:dyDescent="0.3">
      <c r="A1057" s="3" t="s">
        <v>10</v>
      </c>
      <c r="B1057" s="7" t="str">
        <f>VLOOKUP(VALUE(A1057), 'DICIONÁRIO UF'!$A:$B, 2, FALSE)</f>
        <v>Tocantins</v>
      </c>
      <c r="C1057" s="3">
        <v>84016</v>
      </c>
      <c r="D1057" s="5" t="str">
        <f>VLOOKUP(C1057, 'DICIONÁRIO CNAES'!$A:$B, 2, FALSE)</f>
        <v>Outros serviços coletivos prestados pela administração pública - Estadual</v>
      </c>
      <c r="E1057" s="4">
        <v>16349.156544040001</v>
      </c>
      <c r="F1057" s="4">
        <v>113124201.44719259</v>
      </c>
    </row>
    <row r="1058" spans="1:6" x14ac:dyDescent="0.3">
      <c r="A1058" s="3" t="s">
        <v>10</v>
      </c>
      <c r="B1058" s="7" t="str">
        <f>VLOOKUP(VALUE(A1058), 'DICIONÁRIO UF'!$A:$B, 2, FALSE)</f>
        <v>Tocantins</v>
      </c>
      <c r="C1058" s="3">
        <v>85011</v>
      </c>
      <c r="D1058" s="5" t="str">
        <f>VLOOKUP(C1058, 'DICIONÁRIO CNAES'!$A:$B, 2, FALSE)</f>
        <v>Creche</v>
      </c>
      <c r="E1058" s="4">
        <v>4473.4882526299998</v>
      </c>
      <c r="F1058" s="4">
        <v>9118101.9391152598</v>
      </c>
    </row>
    <row r="1059" spans="1:6" x14ac:dyDescent="0.3">
      <c r="A1059" s="3" t="s">
        <v>10</v>
      </c>
      <c r="B1059" s="7" t="str">
        <f>VLOOKUP(VALUE(A1059), 'DICIONÁRIO UF'!$A:$B, 2, FALSE)</f>
        <v>Tocantins</v>
      </c>
      <c r="C1059" s="3">
        <v>85012</v>
      </c>
      <c r="D1059" s="5" t="str">
        <f>VLOOKUP(C1059, 'DICIONÁRIO CNAES'!$A:$B, 2, FALSE)</f>
        <v>Pré-escola e ensino fundamental</v>
      </c>
      <c r="E1059" s="4">
        <v>30141.498375520001</v>
      </c>
      <c r="F1059" s="4">
        <v>95865439.284217</v>
      </c>
    </row>
    <row r="1060" spans="1:6" x14ac:dyDescent="0.3">
      <c r="A1060" s="3" t="s">
        <v>10</v>
      </c>
      <c r="B1060" s="7" t="str">
        <f>VLOOKUP(VALUE(A1060), 'DICIONÁRIO UF'!$A:$B, 2, FALSE)</f>
        <v>Tocantins</v>
      </c>
      <c r="C1060" s="3">
        <v>85013</v>
      </c>
      <c r="D1060" s="5" t="str">
        <f>VLOOKUP(C1060, 'DICIONÁRIO CNAES'!$A:$B, 2, FALSE)</f>
        <v>Ensino médio</v>
      </c>
      <c r="E1060" s="4">
        <v>12173.073201339999</v>
      </c>
      <c r="F1060" s="4">
        <v>35203258.332946517</v>
      </c>
    </row>
    <row r="1061" spans="1:6" x14ac:dyDescent="0.3">
      <c r="A1061" s="3" t="s">
        <v>10</v>
      </c>
      <c r="B1061" s="7" t="str">
        <f>VLOOKUP(VALUE(A1061), 'DICIONÁRIO UF'!$A:$B, 2, FALSE)</f>
        <v>Tocantins</v>
      </c>
      <c r="C1061" s="3">
        <v>85014</v>
      </c>
      <c r="D1061" s="5" t="str">
        <f>VLOOKUP(C1061, 'DICIONÁRIO CNAES'!$A:$B, 2, FALSE)</f>
        <v>Educação superior</v>
      </c>
      <c r="E1061" s="4">
        <v>4228.9507372400003</v>
      </c>
      <c r="F1061" s="4">
        <v>25564385.532837</v>
      </c>
    </row>
    <row r="1062" spans="1:6" x14ac:dyDescent="0.3">
      <c r="A1062" s="3" t="s">
        <v>10</v>
      </c>
      <c r="B1062" s="7" t="str">
        <f>VLOOKUP(VALUE(A1062), 'DICIONÁRIO UF'!$A:$B, 2, FALSE)</f>
        <v>Tocantins</v>
      </c>
      <c r="C1062" s="3">
        <v>85029</v>
      </c>
      <c r="D1062" s="5" t="str">
        <f>VLOOKUP(C1062, 'DICIONÁRIO CNAES'!$A:$B, 2, FALSE)</f>
        <v>Outras atividades de ensino</v>
      </c>
      <c r="E1062" s="4">
        <v>3787.5168102799998</v>
      </c>
      <c r="F1062" s="4">
        <v>10292456.888769001</v>
      </c>
    </row>
    <row r="1063" spans="1:6" x14ac:dyDescent="0.3">
      <c r="A1063" s="3" t="s">
        <v>10</v>
      </c>
      <c r="B1063" s="7" t="str">
        <f>VLOOKUP(VALUE(A1063), 'DICIONÁRIO UF'!$A:$B, 2, FALSE)</f>
        <v>Tocantins</v>
      </c>
      <c r="C1063" s="3">
        <v>86001</v>
      </c>
      <c r="D1063" s="5" t="str">
        <f>VLOOKUP(C1063, 'DICIONÁRIO CNAES'!$A:$B, 2, FALSE)</f>
        <v>Atividades de atendimento hospitalar</v>
      </c>
      <c r="E1063" s="4">
        <v>20023.945488429999</v>
      </c>
      <c r="F1063" s="4">
        <v>67907353.721659273</v>
      </c>
    </row>
    <row r="1064" spans="1:6" x14ac:dyDescent="0.3">
      <c r="A1064" s="3" t="s">
        <v>10</v>
      </c>
      <c r="B1064" s="7" t="str">
        <f>VLOOKUP(VALUE(A1064), 'DICIONÁRIO UF'!$A:$B, 2, FALSE)</f>
        <v>Tocantins</v>
      </c>
      <c r="C1064" s="3">
        <v>86002</v>
      </c>
      <c r="D1064" s="5" t="str">
        <f>VLOOKUP(C1064, 'DICIONÁRIO CNAES'!$A:$B, 2, FALSE)</f>
        <v>Atividades de atenção ambulatorial executadas por médicos e odontólogos</v>
      </c>
      <c r="E1064" s="4">
        <v>17617.823333349999</v>
      </c>
      <c r="F1064" s="4">
        <v>32668236.316978712</v>
      </c>
    </row>
    <row r="1065" spans="1:6" x14ac:dyDescent="0.3">
      <c r="A1065" s="3" t="s">
        <v>10</v>
      </c>
      <c r="B1065" s="7" t="str">
        <f>VLOOKUP(VALUE(A1065), 'DICIONÁRIO UF'!$A:$B, 2, FALSE)</f>
        <v>Tocantins</v>
      </c>
      <c r="C1065" s="3">
        <v>86003</v>
      </c>
      <c r="D1065" s="5" t="str">
        <f>VLOOKUP(C1065, 'DICIONÁRIO CNAES'!$A:$B, 2, FALSE)</f>
        <v>Atividades de serviços de complementação diagnóstica e terapêutica</v>
      </c>
      <c r="E1065" s="4">
        <v>2929.1201743699999</v>
      </c>
      <c r="F1065" s="4">
        <v>5833811.6062979996</v>
      </c>
    </row>
    <row r="1066" spans="1:6" x14ac:dyDescent="0.3">
      <c r="A1066" s="3" t="s">
        <v>10</v>
      </c>
      <c r="B1066" s="7" t="str">
        <f>VLOOKUP(VALUE(A1066), 'DICIONÁRIO UF'!$A:$B, 2, FALSE)</f>
        <v>Tocantins</v>
      </c>
      <c r="C1066" s="3">
        <v>86004</v>
      </c>
      <c r="D1066" s="5" t="str">
        <f>VLOOKUP(C1066, 'DICIONÁRIO CNAES'!$A:$B, 2, FALSE)</f>
        <v>Atividades de profissionais da área de saúde, exceto médicos e odontólogos</v>
      </c>
      <c r="E1066" s="4">
        <v>881.45534133000001</v>
      </c>
      <c r="F1066" s="4">
        <v>459171.32861999999</v>
      </c>
    </row>
    <row r="1067" spans="1:6" x14ac:dyDescent="0.3">
      <c r="A1067" s="3" t="s">
        <v>10</v>
      </c>
      <c r="B1067" s="7" t="str">
        <f>VLOOKUP(VALUE(A1067), 'DICIONÁRIO UF'!$A:$B, 2, FALSE)</f>
        <v>Tocantins</v>
      </c>
      <c r="C1067" s="3">
        <v>86009</v>
      </c>
      <c r="D1067" s="5" t="str">
        <f>VLOOKUP(C1067, 'DICIONÁRIO CNAES'!$A:$B, 2, FALSE)</f>
        <v>Atividades de atenção à saúde humana não especificadas anteriormente</v>
      </c>
      <c r="E1067" s="4">
        <v>565.37290395000002</v>
      </c>
      <c r="F1067" s="4">
        <v>226149.16158000001</v>
      </c>
    </row>
    <row r="1068" spans="1:6" x14ac:dyDescent="0.3">
      <c r="A1068" s="3" t="s">
        <v>10</v>
      </c>
      <c r="B1068" s="7" t="str">
        <f>VLOOKUP(VALUE(A1068), 'DICIONÁRIO UF'!$A:$B, 2, FALSE)</f>
        <v>Tocantins</v>
      </c>
      <c r="C1068" s="3">
        <v>87000</v>
      </c>
      <c r="D1068" s="5" t="str">
        <f>VLOOKUP(C1068, 'DICIONÁRIO CNAES'!$A:$B, 2, FALSE)</f>
        <v>Atividades de assistência à saude humana integradas com assistencia social, inclusive prestadas em residencias</v>
      </c>
      <c r="E1068" s="4">
        <v>898.92001935000008</v>
      </c>
      <c r="F1068" s="4">
        <v>1497967.8862689999</v>
      </c>
    </row>
    <row r="1069" spans="1:6" x14ac:dyDescent="0.3">
      <c r="A1069" s="3" t="s">
        <v>10</v>
      </c>
      <c r="B1069" s="7" t="str">
        <f>VLOOKUP(VALUE(A1069), 'DICIONÁRIO UF'!$A:$B, 2, FALSE)</f>
        <v>Tocantins</v>
      </c>
      <c r="C1069" s="3">
        <v>88000</v>
      </c>
      <c r="D1069" s="5" t="str">
        <f>VLOOKUP(C1069, 'DICIONÁRIO CNAES'!$A:$B, 2, FALSE)</f>
        <v>Serviços de assistência social sem alojamento</v>
      </c>
      <c r="E1069" s="4">
        <v>1144.9240702100001</v>
      </c>
      <c r="F1069" s="4">
        <v>1503207.0892205499</v>
      </c>
    </row>
    <row r="1070" spans="1:6" x14ac:dyDescent="0.3">
      <c r="A1070" s="3" t="s">
        <v>10</v>
      </c>
      <c r="B1070" s="7" t="str">
        <f>VLOOKUP(VALUE(A1070), 'DICIONÁRIO UF'!$A:$B, 2, FALSE)</f>
        <v>Tocantins</v>
      </c>
      <c r="C1070" s="3">
        <v>90000</v>
      </c>
      <c r="D1070" s="5" t="str">
        <f>VLOOKUP(C1070, 'DICIONÁRIO CNAES'!$A:$B, 2, FALSE)</f>
        <v>Atividades artísticas, criativas e de espetáculos</v>
      </c>
      <c r="E1070" s="4">
        <v>656.23483677000002</v>
      </c>
      <c r="F1070" s="4">
        <v>1297213.35916</v>
      </c>
    </row>
    <row r="1071" spans="1:6" x14ac:dyDescent="0.3">
      <c r="A1071" s="3" t="s">
        <v>10</v>
      </c>
      <c r="B1071" s="7" t="str">
        <f>VLOOKUP(VALUE(A1071), 'DICIONÁRIO UF'!$A:$B, 2, FALSE)</f>
        <v>Tocantins</v>
      </c>
      <c r="C1071" s="3">
        <v>93011</v>
      </c>
      <c r="D1071" s="5" t="str">
        <f>VLOOKUP(C1071, 'DICIONÁRIO CNAES'!$A:$B, 2, FALSE)</f>
        <v>Atividades esportivas</v>
      </c>
      <c r="E1071" s="4">
        <v>337.33869860999999</v>
      </c>
      <c r="F1071" s="4">
        <v>255293.98717199999</v>
      </c>
    </row>
    <row r="1072" spans="1:6" x14ac:dyDescent="0.3">
      <c r="A1072" s="3" t="s">
        <v>10</v>
      </c>
      <c r="B1072" s="7" t="str">
        <f>VLOOKUP(VALUE(A1072), 'DICIONÁRIO UF'!$A:$B, 2, FALSE)</f>
        <v>Tocantins</v>
      </c>
      <c r="C1072" s="3">
        <v>93012</v>
      </c>
      <c r="D1072" s="5" t="str">
        <f>VLOOKUP(C1072, 'DICIONÁRIO CNAES'!$A:$B, 2, FALSE)</f>
        <v>Atividades de condicionamento físico</v>
      </c>
      <c r="E1072" s="4">
        <v>1980.25449312</v>
      </c>
      <c r="F1072" s="4">
        <v>2840755.944348</v>
      </c>
    </row>
    <row r="1073" spans="1:6" x14ac:dyDescent="0.3">
      <c r="A1073" s="3" t="s">
        <v>10</v>
      </c>
      <c r="B1073" s="7" t="str">
        <f>VLOOKUP(VALUE(A1073), 'DICIONÁRIO UF'!$A:$B, 2, FALSE)</f>
        <v>Tocantins</v>
      </c>
      <c r="C1073" s="3">
        <v>94020</v>
      </c>
      <c r="D1073" s="5" t="str">
        <f>VLOOKUP(C1073, 'DICIONÁRIO CNAES'!$A:$B, 2, FALSE)</f>
        <v>Atividades de organizações sindicais</v>
      </c>
      <c r="E1073" s="4">
        <v>351.19416391999999</v>
      </c>
      <c r="F1073" s="4">
        <v>416283.11658400012</v>
      </c>
    </row>
    <row r="1074" spans="1:6" x14ac:dyDescent="0.3">
      <c r="A1074" s="3" t="s">
        <v>10</v>
      </c>
      <c r="B1074" s="7" t="str">
        <f>VLOOKUP(VALUE(A1074), 'DICIONÁRIO UF'!$A:$B, 2, FALSE)</f>
        <v>Tocantins</v>
      </c>
      <c r="C1074" s="3">
        <v>94091</v>
      </c>
      <c r="D1074" s="5" t="str">
        <f>VLOOKUP(C1074, 'DICIONÁRIO CNAES'!$A:$B, 2, FALSE)</f>
        <v>Atividades de organizações religiosas e filosóficas</v>
      </c>
      <c r="E1074" s="4">
        <v>2310.7167419299999</v>
      </c>
      <c r="F1074" s="4">
        <v>5171328.3499144996</v>
      </c>
    </row>
    <row r="1075" spans="1:6" x14ac:dyDescent="0.3">
      <c r="A1075" s="3" t="s">
        <v>10</v>
      </c>
      <c r="B1075" s="7" t="str">
        <f>VLOOKUP(VALUE(A1075), 'DICIONÁRIO UF'!$A:$B, 2, FALSE)</f>
        <v>Tocantins</v>
      </c>
      <c r="C1075" s="3">
        <v>95010</v>
      </c>
      <c r="D1075" s="5" t="str">
        <f>VLOOKUP(C1075, 'DICIONÁRIO CNAES'!$A:$B, 2, FALSE)</f>
        <v>Reparação e manutenção de equipamentos de informática e comunicação</v>
      </c>
      <c r="E1075" s="4">
        <v>861.12700900999994</v>
      </c>
      <c r="F1075" s="4">
        <v>1268217.4173796</v>
      </c>
    </row>
    <row r="1076" spans="1:6" x14ac:dyDescent="0.3">
      <c r="A1076" s="3" t="s">
        <v>10</v>
      </c>
      <c r="B1076" s="7" t="str">
        <f>VLOOKUP(VALUE(A1076), 'DICIONÁRIO UF'!$A:$B, 2, FALSE)</f>
        <v>Tocantins</v>
      </c>
      <c r="C1076" s="3">
        <v>95030</v>
      </c>
      <c r="D1076" s="5" t="str">
        <f>VLOOKUP(C1076, 'DICIONÁRIO CNAES'!$A:$B, 2, FALSE)</f>
        <v>Reparação e manutenção de objetos e equipamentos pessoais e domésticos</v>
      </c>
      <c r="E1076" s="4">
        <v>3279.2828332300001</v>
      </c>
      <c r="F1076" s="4">
        <v>3670428.9581367499</v>
      </c>
    </row>
    <row r="1077" spans="1:6" x14ac:dyDescent="0.3">
      <c r="A1077" s="3" t="s">
        <v>10</v>
      </c>
      <c r="B1077" s="7" t="str">
        <f>VLOOKUP(VALUE(A1077), 'DICIONÁRIO UF'!$A:$B, 2, FALSE)</f>
        <v>Tocantins</v>
      </c>
      <c r="C1077" s="3">
        <v>96010</v>
      </c>
      <c r="D1077" s="5" t="str">
        <f>VLOOKUP(C1077, 'DICIONÁRIO CNAES'!$A:$B, 2, FALSE)</f>
        <v>Lavanderias, tinturarias e toalheiros</v>
      </c>
      <c r="E1077" s="4">
        <v>748.03432286999998</v>
      </c>
      <c r="F1077" s="4">
        <v>1118613.248467</v>
      </c>
    </row>
    <row r="1078" spans="1:6" x14ac:dyDescent="0.3">
      <c r="A1078" s="3" t="s">
        <v>10</v>
      </c>
      <c r="B1078" s="7" t="str">
        <f>VLOOKUP(VALUE(A1078), 'DICIONÁRIO UF'!$A:$B, 2, FALSE)</f>
        <v>Tocantins</v>
      </c>
      <c r="C1078" s="3">
        <v>96020</v>
      </c>
      <c r="D1078" s="5" t="str">
        <f>VLOOKUP(C1078, 'DICIONÁRIO CNAES'!$A:$B, 2, FALSE)</f>
        <v>Cabeleireiros e outras atividades de tratamento de beleza</v>
      </c>
      <c r="E1078" s="4">
        <v>14387.963591850001</v>
      </c>
      <c r="F1078" s="4">
        <v>17292404.275249001</v>
      </c>
    </row>
    <row r="1079" spans="1:6" x14ac:dyDescent="0.3">
      <c r="A1079" s="3" t="s">
        <v>10</v>
      </c>
      <c r="B1079" s="7" t="str">
        <f>VLOOKUP(VALUE(A1079), 'DICIONÁRIO UF'!$A:$B, 2, FALSE)</f>
        <v>Tocantins</v>
      </c>
      <c r="C1079" s="3">
        <v>96030</v>
      </c>
      <c r="D1079" s="5" t="str">
        <f>VLOOKUP(C1079, 'DICIONÁRIO CNAES'!$A:$B, 2, FALSE)</f>
        <v xml:space="preserve">Atividades funerárias e serviços relacionados </v>
      </c>
      <c r="E1079" s="4">
        <v>945.96332630999996</v>
      </c>
      <c r="F1079" s="4">
        <v>939110.089561</v>
      </c>
    </row>
    <row r="1080" spans="1:6" x14ac:dyDescent="0.3">
      <c r="A1080" s="3" t="s">
        <v>10</v>
      </c>
      <c r="B1080" s="7" t="str">
        <f>VLOOKUP(VALUE(A1080), 'DICIONÁRIO UF'!$A:$B, 2, FALSE)</f>
        <v>Tocantins</v>
      </c>
      <c r="C1080" s="3">
        <v>96090</v>
      </c>
      <c r="D1080" s="5" t="str">
        <f>VLOOKUP(C1080, 'DICIONÁRIO CNAES'!$A:$B, 2, FALSE)</f>
        <v>Outras atividades de serviços pessoais</v>
      </c>
      <c r="E1080" s="4">
        <v>544.64329365000003</v>
      </c>
      <c r="F1080" s="4">
        <v>682620.69974000007</v>
      </c>
    </row>
    <row r="1081" spans="1:6" x14ac:dyDescent="0.3">
      <c r="A1081" s="3" t="s">
        <v>10</v>
      </c>
      <c r="B1081" s="7" t="str">
        <f>VLOOKUP(VALUE(A1081), 'DICIONÁRIO UF'!$A:$B, 2, FALSE)</f>
        <v>Tocantins</v>
      </c>
      <c r="C1081" s="3">
        <v>97000</v>
      </c>
      <c r="D1081" s="5" t="str">
        <f>VLOOKUP(C1081, 'DICIONÁRIO CNAES'!$A:$B, 2, FALSE)</f>
        <v>Serviços domésticos</v>
      </c>
      <c r="E1081" s="4">
        <v>49145.494834459998</v>
      </c>
      <c r="F1081" s="4">
        <v>36770493.996061102</v>
      </c>
    </row>
    <row r="1082" spans="1:6" x14ac:dyDescent="0.3">
      <c r="A1082" s="3" t="s">
        <v>11</v>
      </c>
      <c r="B1082" s="7" t="str">
        <f>VLOOKUP(VALUE(A1082), 'DICIONÁRIO UF'!$A:$B, 2, FALSE)</f>
        <v>Maranhão</v>
      </c>
      <c r="C1082" s="3">
        <v>1101</v>
      </c>
      <c r="D1082" s="5" t="str">
        <f>VLOOKUP(C1082, 'DICIONÁRIO CNAES'!$A:$B, 2, FALSE)</f>
        <v>Cultivo de arroz</v>
      </c>
      <c r="E1082" s="4">
        <v>49187.658679389999</v>
      </c>
      <c r="F1082" s="4">
        <v>12919126.66901488</v>
      </c>
    </row>
    <row r="1083" spans="1:6" x14ac:dyDescent="0.3">
      <c r="A1083" s="3" t="s">
        <v>11</v>
      </c>
      <c r="B1083" s="7" t="str">
        <f>VLOOKUP(VALUE(A1083), 'DICIONÁRIO UF'!$A:$B, 2, FALSE)</f>
        <v>Maranhão</v>
      </c>
      <c r="C1083" s="3">
        <v>1102</v>
      </c>
      <c r="D1083" s="5" t="str">
        <f>VLOOKUP(C1083, 'DICIONÁRIO CNAES'!$A:$B, 2, FALSE)</f>
        <v>Cultivo de milho</v>
      </c>
      <c r="E1083" s="4">
        <v>12416.805394499999</v>
      </c>
      <c r="F1083" s="4">
        <v>9040158.2420387492</v>
      </c>
    </row>
    <row r="1084" spans="1:6" x14ac:dyDescent="0.3">
      <c r="A1084" s="3" t="s">
        <v>11</v>
      </c>
      <c r="B1084" s="7" t="str">
        <f>VLOOKUP(VALUE(A1084), 'DICIONÁRIO UF'!$A:$B, 2, FALSE)</f>
        <v>Maranhão</v>
      </c>
      <c r="C1084" s="3">
        <v>1104</v>
      </c>
      <c r="D1084" s="5" t="str">
        <f>VLOOKUP(C1084, 'DICIONÁRIO CNAES'!$A:$B, 2, FALSE)</f>
        <v>Cultivo de algodão</v>
      </c>
      <c r="E1084" s="4">
        <v>312.08781162000002</v>
      </c>
      <c r="F1084" s="4">
        <v>463868.93784299999</v>
      </c>
    </row>
    <row r="1085" spans="1:6" x14ac:dyDescent="0.3">
      <c r="A1085" s="3" t="s">
        <v>11</v>
      </c>
      <c r="B1085" s="7" t="str">
        <f>VLOOKUP(VALUE(A1085), 'DICIONÁRIO UF'!$A:$B, 2, FALSE)</f>
        <v>Maranhão</v>
      </c>
      <c r="C1085" s="3">
        <v>1105</v>
      </c>
      <c r="D1085" s="5" t="str">
        <f>VLOOKUP(C1085, 'DICIONÁRIO CNAES'!$A:$B, 2, FALSE)</f>
        <v>Cultivo de cana-de-açúcar</v>
      </c>
      <c r="E1085" s="4">
        <v>2282.5182155500001</v>
      </c>
      <c r="F1085" s="4">
        <v>3602697.85923575</v>
      </c>
    </row>
    <row r="1086" spans="1:6" x14ac:dyDescent="0.3">
      <c r="A1086" s="3" t="s">
        <v>11</v>
      </c>
      <c r="B1086" s="7" t="str">
        <f>VLOOKUP(VALUE(A1086), 'DICIONÁRIO UF'!$A:$B, 2, FALSE)</f>
        <v>Maranhão</v>
      </c>
      <c r="C1086" s="3">
        <v>1107</v>
      </c>
      <c r="D1086" s="5" t="str">
        <f>VLOOKUP(C1086, 'DICIONÁRIO CNAES'!$A:$B, 2, FALSE)</f>
        <v>Cultivo de soja</v>
      </c>
      <c r="E1086" s="4">
        <v>9338.7087409899996</v>
      </c>
      <c r="F1086" s="4">
        <v>15779254.95601856</v>
      </c>
    </row>
    <row r="1087" spans="1:6" x14ac:dyDescent="0.3">
      <c r="A1087" s="3" t="s">
        <v>11</v>
      </c>
      <c r="B1087" s="7" t="str">
        <f>VLOOKUP(VALUE(A1087), 'DICIONÁRIO UF'!$A:$B, 2, FALSE)</f>
        <v>Maranhão</v>
      </c>
      <c r="C1087" s="3">
        <v>1108</v>
      </c>
      <c r="D1087" s="5" t="str">
        <f>VLOOKUP(C1087, 'DICIONÁRIO CNAES'!$A:$B, 2, FALSE)</f>
        <v>Cultivo de mandioca</v>
      </c>
      <c r="E1087" s="4">
        <v>33048.077951599997</v>
      </c>
      <c r="F1087" s="4">
        <v>9609878.6710749306</v>
      </c>
    </row>
    <row r="1088" spans="1:6" x14ac:dyDescent="0.3">
      <c r="A1088" s="3" t="s">
        <v>11</v>
      </c>
      <c r="B1088" s="7" t="str">
        <f>VLOOKUP(VALUE(A1088), 'DICIONÁRIO UF'!$A:$B, 2, FALSE)</f>
        <v>Maranhão</v>
      </c>
      <c r="C1088" s="3">
        <v>1109</v>
      </c>
      <c r="D1088" s="5" t="str">
        <f>VLOOKUP(C1088, 'DICIONÁRIO CNAES'!$A:$B, 2, FALSE)</f>
        <v>Cultivo de outras lavouras temporárias não especificadas anteriormente</v>
      </c>
      <c r="E1088" s="4">
        <v>16263.65317353</v>
      </c>
      <c r="F1088" s="4">
        <v>9248353.4548841994</v>
      </c>
    </row>
    <row r="1089" spans="1:6" x14ac:dyDescent="0.3">
      <c r="A1089" s="3" t="s">
        <v>11</v>
      </c>
      <c r="B1089" s="7" t="str">
        <f>VLOOKUP(VALUE(A1089), 'DICIONÁRIO UF'!$A:$B, 2, FALSE)</f>
        <v>Maranhão</v>
      </c>
      <c r="C1089" s="3">
        <v>1110</v>
      </c>
      <c r="D1089" s="5" t="str">
        <f>VLOOKUP(C1089, 'DICIONÁRIO CNAES'!$A:$B, 2, FALSE)</f>
        <v>Horticultura</v>
      </c>
      <c r="E1089" s="4">
        <v>8111.6392535000005</v>
      </c>
      <c r="F1089" s="4">
        <v>6473408.6600414002</v>
      </c>
    </row>
    <row r="1090" spans="1:6" x14ac:dyDescent="0.3">
      <c r="A1090" s="3" t="s">
        <v>11</v>
      </c>
      <c r="B1090" s="7" t="str">
        <f>VLOOKUP(VALUE(A1090), 'DICIONÁRIO UF'!$A:$B, 2, FALSE)</f>
        <v>Maranhão</v>
      </c>
      <c r="C1090" s="3">
        <v>1111</v>
      </c>
      <c r="D1090" s="5" t="str">
        <f>VLOOKUP(C1090, 'DICIONÁRIO CNAES'!$A:$B, 2, FALSE)</f>
        <v>Cultivo de flores e plantas ornamentais</v>
      </c>
      <c r="E1090" s="4">
        <v>878.71763340999996</v>
      </c>
      <c r="F1090" s="4">
        <v>588203.98514092003</v>
      </c>
    </row>
    <row r="1091" spans="1:6" x14ac:dyDescent="0.3">
      <c r="A1091" s="3" t="s">
        <v>11</v>
      </c>
      <c r="B1091" s="7" t="str">
        <f>VLOOKUP(VALUE(A1091), 'DICIONÁRIO UF'!$A:$B, 2, FALSE)</f>
        <v>Maranhão</v>
      </c>
      <c r="C1091" s="3">
        <v>1112</v>
      </c>
      <c r="D1091" s="5" t="str">
        <f>VLOOKUP(C1091, 'DICIONÁRIO CNAES'!$A:$B, 2, FALSE)</f>
        <v>Cultivo de frutas cítricas</v>
      </c>
      <c r="E1091" s="4">
        <v>441.76269793</v>
      </c>
      <c r="F1091" s="4">
        <v>541070.64648300002</v>
      </c>
    </row>
    <row r="1092" spans="1:6" x14ac:dyDescent="0.3">
      <c r="A1092" s="3" t="s">
        <v>11</v>
      </c>
      <c r="B1092" s="7" t="str">
        <f>VLOOKUP(VALUE(A1092), 'DICIONÁRIO UF'!$A:$B, 2, FALSE)</f>
        <v>Maranhão</v>
      </c>
      <c r="C1092" s="3">
        <v>1113</v>
      </c>
      <c r="D1092" s="5" t="str">
        <f>VLOOKUP(C1092, 'DICIONÁRIO CNAES'!$A:$B, 2, FALSE)</f>
        <v>Cultivo de café</v>
      </c>
      <c r="E1092" s="4">
        <v>123.46711947</v>
      </c>
      <c r="F1092" s="4">
        <v>185200.67920499999</v>
      </c>
    </row>
    <row r="1093" spans="1:6" x14ac:dyDescent="0.3">
      <c r="A1093" s="3" t="s">
        <v>11</v>
      </c>
      <c r="B1093" s="7" t="str">
        <f>VLOOKUP(VALUE(A1093), 'DICIONÁRIO UF'!$A:$B, 2, FALSE)</f>
        <v>Maranhão</v>
      </c>
      <c r="C1093" s="3">
        <v>1114</v>
      </c>
      <c r="D1093" s="5" t="str">
        <f>VLOOKUP(C1093, 'DICIONÁRIO CNAES'!$A:$B, 2, FALSE)</f>
        <v>Cultivo de cacau</v>
      </c>
      <c r="E1093" s="4">
        <v>121.73926132</v>
      </c>
      <c r="F1093" s="4">
        <v>60869.630660000003</v>
      </c>
    </row>
    <row r="1094" spans="1:6" x14ac:dyDescent="0.3">
      <c r="A1094" s="3" t="s">
        <v>11</v>
      </c>
      <c r="B1094" s="7" t="str">
        <f>VLOOKUP(VALUE(A1094), 'DICIONÁRIO UF'!$A:$B, 2, FALSE)</f>
        <v>Maranhão</v>
      </c>
      <c r="C1094" s="3">
        <v>1116</v>
      </c>
      <c r="D1094" s="5" t="str">
        <f>VLOOKUP(C1094, 'DICIONÁRIO CNAES'!$A:$B, 2, FALSE)</f>
        <v>Cultivo de banana</v>
      </c>
      <c r="E1094" s="4">
        <v>2443.6701909399999</v>
      </c>
      <c r="F1094" s="4">
        <v>2329533.5764330998</v>
      </c>
    </row>
    <row r="1095" spans="1:6" x14ac:dyDescent="0.3">
      <c r="A1095" s="3" t="s">
        <v>11</v>
      </c>
      <c r="B1095" s="7" t="str">
        <f>VLOOKUP(VALUE(A1095), 'DICIONÁRIO UF'!$A:$B, 2, FALSE)</f>
        <v>Maranhão</v>
      </c>
      <c r="C1095" s="3">
        <v>1117</v>
      </c>
      <c r="D1095" s="5" t="str">
        <f>VLOOKUP(C1095, 'DICIONÁRIO CNAES'!$A:$B, 2, FALSE)</f>
        <v>Cultivo de outras plantas e frutas de lavoura permanente não especificadas anteriormente</v>
      </c>
      <c r="E1095" s="4">
        <v>407.01833790000001</v>
      </c>
      <c r="F1095" s="4">
        <v>176604.5518248</v>
      </c>
    </row>
    <row r="1096" spans="1:6" x14ac:dyDescent="0.3">
      <c r="A1096" s="3" t="s">
        <v>11</v>
      </c>
      <c r="B1096" s="7" t="str">
        <f>VLOOKUP(VALUE(A1096), 'DICIONÁRIO UF'!$A:$B, 2, FALSE)</f>
        <v>Maranhão</v>
      </c>
      <c r="C1096" s="3">
        <v>1119</v>
      </c>
      <c r="D1096" s="5" t="str">
        <f>VLOOKUP(C1096, 'DICIONÁRIO CNAES'!$A:$B, 2, FALSE)</f>
        <v>Lavoura não especificada</v>
      </c>
      <c r="E1096" s="4">
        <v>111.57664147</v>
      </c>
      <c r="F1096" s="4">
        <v>278941.60367500002</v>
      </c>
    </row>
    <row r="1097" spans="1:6" x14ac:dyDescent="0.3">
      <c r="A1097" s="3" t="s">
        <v>11</v>
      </c>
      <c r="B1097" s="7" t="str">
        <f>VLOOKUP(VALUE(A1097), 'DICIONÁRIO UF'!$A:$B, 2, FALSE)</f>
        <v>Maranhão</v>
      </c>
      <c r="C1097" s="3">
        <v>1201</v>
      </c>
      <c r="D1097" s="5" t="str">
        <f>VLOOKUP(C1097, 'DICIONÁRIO CNAES'!$A:$B, 2, FALSE)</f>
        <v>Criação de bovinos</v>
      </c>
      <c r="E1097" s="4">
        <v>77178.68716673</v>
      </c>
      <c r="F1097" s="4">
        <v>107356169.1765603</v>
      </c>
    </row>
    <row r="1098" spans="1:6" x14ac:dyDescent="0.3">
      <c r="A1098" s="3" t="s">
        <v>11</v>
      </c>
      <c r="B1098" s="7" t="str">
        <f>VLOOKUP(VALUE(A1098), 'DICIONÁRIO UF'!$A:$B, 2, FALSE)</f>
        <v>Maranhão</v>
      </c>
      <c r="C1098" s="3">
        <v>1202</v>
      </c>
      <c r="D1098" s="5" t="str">
        <f>VLOOKUP(C1098, 'DICIONÁRIO CNAES'!$A:$B, 2, FALSE)</f>
        <v>Criação de outros animais de grande porte não especificados anteriormente</v>
      </c>
      <c r="E1098" s="4">
        <v>598.92788824000002</v>
      </c>
      <c r="F1098" s="4">
        <v>519600.9528656</v>
      </c>
    </row>
    <row r="1099" spans="1:6" x14ac:dyDescent="0.3">
      <c r="A1099" s="3" t="s">
        <v>11</v>
      </c>
      <c r="B1099" s="7" t="str">
        <f>VLOOKUP(VALUE(A1099), 'DICIONÁRIO UF'!$A:$B, 2, FALSE)</f>
        <v>Maranhão</v>
      </c>
      <c r="C1099" s="3">
        <v>1203</v>
      </c>
      <c r="D1099" s="5" t="str">
        <f>VLOOKUP(C1099, 'DICIONÁRIO CNAES'!$A:$B, 2, FALSE)</f>
        <v>Criação de caprinos e ovinos</v>
      </c>
      <c r="E1099" s="4">
        <v>695.49719885000002</v>
      </c>
      <c r="F1099" s="4">
        <v>632435.78096699994</v>
      </c>
    </row>
    <row r="1100" spans="1:6" x14ac:dyDescent="0.3">
      <c r="A1100" s="3" t="s">
        <v>11</v>
      </c>
      <c r="B1100" s="7" t="str">
        <f>VLOOKUP(VALUE(A1100), 'DICIONÁRIO UF'!$A:$B, 2, FALSE)</f>
        <v>Maranhão</v>
      </c>
      <c r="C1100" s="3">
        <v>1204</v>
      </c>
      <c r="D1100" s="5" t="str">
        <f>VLOOKUP(C1100, 'DICIONÁRIO CNAES'!$A:$B, 2, FALSE)</f>
        <v>Criação de suínos</v>
      </c>
      <c r="E1100" s="4">
        <v>4066.24640976</v>
      </c>
      <c r="F1100" s="4">
        <v>3105908.4037095001</v>
      </c>
    </row>
    <row r="1101" spans="1:6" x14ac:dyDescent="0.3">
      <c r="A1101" s="3" t="s">
        <v>11</v>
      </c>
      <c r="B1101" s="7" t="str">
        <f>VLOOKUP(VALUE(A1101), 'DICIONÁRIO UF'!$A:$B, 2, FALSE)</f>
        <v>Maranhão</v>
      </c>
      <c r="C1101" s="3">
        <v>1205</v>
      </c>
      <c r="D1101" s="5" t="str">
        <f>VLOOKUP(C1101, 'DICIONÁRIO CNAES'!$A:$B, 2, FALSE)</f>
        <v>Criação de aves</v>
      </c>
      <c r="E1101" s="4">
        <v>5134.8372033599999</v>
      </c>
      <c r="F1101" s="4">
        <v>5353327.8952209996</v>
      </c>
    </row>
    <row r="1102" spans="1:6" x14ac:dyDescent="0.3">
      <c r="A1102" s="3" t="s">
        <v>11</v>
      </c>
      <c r="B1102" s="7" t="str">
        <f>VLOOKUP(VALUE(A1102), 'DICIONÁRIO UF'!$A:$B, 2, FALSE)</f>
        <v>Maranhão</v>
      </c>
      <c r="C1102" s="3">
        <v>1206</v>
      </c>
      <c r="D1102" s="5" t="str">
        <f>VLOOKUP(C1102, 'DICIONÁRIO CNAES'!$A:$B, 2, FALSE)</f>
        <v>Apicultura</v>
      </c>
      <c r="E1102" s="4">
        <v>327.97903362</v>
      </c>
      <c r="F1102" s="4">
        <v>941082.70427600003</v>
      </c>
    </row>
    <row r="1103" spans="1:6" x14ac:dyDescent="0.3">
      <c r="A1103" s="3" t="s">
        <v>11</v>
      </c>
      <c r="B1103" s="7" t="str">
        <f>VLOOKUP(VALUE(A1103), 'DICIONÁRIO UF'!$A:$B, 2, FALSE)</f>
        <v>Maranhão</v>
      </c>
      <c r="C1103" s="3">
        <v>1207</v>
      </c>
      <c r="D1103" s="5" t="str">
        <f>VLOOKUP(C1103, 'DICIONÁRIO CNAES'!$A:$B, 2, FALSE)</f>
        <v>Sericicultura</v>
      </c>
      <c r="E1103" s="4">
        <v>197.72240206000001</v>
      </c>
      <c r="F1103" s="4">
        <v>59316.720617999999</v>
      </c>
    </row>
    <row r="1104" spans="1:6" x14ac:dyDescent="0.3">
      <c r="A1104" s="3" t="s">
        <v>11</v>
      </c>
      <c r="B1104" s="7" t="str">
        <f>VLOOKUP(VALUE(A1104), 'DICIONÁRIO UF'!$A:$B, 2, FALSE)</f>
        <v>Maranhão</v>
      </c>
      <c r="C1104" s="3">
        <v>1401</v>
      </c>
      <c r="D1104" s="5" t="str">
        <f>VLOOKUP(C1104, 'DICIONÁRIO CNAES'!$A:$B, 2, FALSE)</f>
        <v>Atividades de apoio à agricultura e pós-colheita</v>
      </c>
      <c r="E1104" s="4">
        <v>5575.1755384200014</v>
      </c>
      <c r="F1104" s="4">
        <v>3718127.0848154002</v>
      </c>
    </row>
    <row r="1105" spans="1:6" x14ac:dyDescent="0.3">
      <c r="A1105" s="3" t="s">
        <v>11</v>
      </c>
      <c r="B1105" s="7" t="str">
        <f>VLOOKUP(VALUE(A1105), 'DICIONÁRIO UF'!$A:$B, 2, FALSE)</f>
        <v>Maranhão</v>
      </c>
      <c r="C1105" s="3">
        <v>1402</v>
      </c>
      <c r="D1105" s="5" t="str">
        <f>VLOOKUP(C1105, 'DICIONÁRIO CNAES'!$A:$B, 2, FALSE)</f>
        <v xml:space="preserve">Atividades de apoio à pecuária </v>
      </c>
      <c r="E1105" s="4">
        <v>4038.0411877400002</v>
      </c>
      <c r="F1105" s="4">
        <v>2666051.418236</v>
      </c>
    </row>
    <row r="1106" spans="1:6" x14ac:dyDescent="0.3">
      <c r="A1106" s="3" t="s">
        <v>11</v>
      </c>
      <c r="B1106" s="7" t="str">
        <f>VLOOKUP(VALUE(A1106), 'DICIONÁRIO UF'!$A:$B, 2, FALSE)</f>
        <v>Maranhão</v>
      </c>
      <c r="C1106" s="3">
        <v>1999</v>
      </c>
      <c r="D1106" s="5" t="str">
        <f>VLOOKUP(C1106, 'DICIONÁRIO CNAES'!$A:$B, 2, FALSE)</f>
        <v>Agropecuária</v>
      </c>
      <c r="E1106" s="4">
        <v>150.89311391999999</v>
      </c>
      <c r="F1106" s="4">
        <v>45267.934176000002</v>
      </c>
    </row>
    <row r="1107" spans="1:6" x14ac:dyDescent="0.3">
      <c r="A1107" s="3" t="s">
        <v>11</v>
      </c>
      <c r="B1107" s="7" t="str">
        <f>VLOOKUP(VALUE(A1107), 'DICIONÁRIO UF'!$A:$B, 2, FALSE)</f>
        <v>Maranhão</v>
      </c>
      <c r="C1107" s="3">
        <v>2000</v>
      </c>
      <c r="D1107" s="5" t="str">
        <f>VLOOKUP(C1107, 'DICIONÁRIO CNAES'!$A:$B, 2, FALSE)</f>
        <v xml:space="preserve">Produção florestal </v>
      </c>
      <c r="E1107" s="4">
        <v>42203.16718959</v>
      </c>
      <c r="F1107" s="4">
        <v>16699159.32115802</v>
      </c>
    </row>
    <row r="1108" spans="1:6" x14ac:dyDescent="0.3">
      <c r="A1108" s="3" t="s">
        <v>11</v>
      </c>
      <c r="B1108" s="7" t="str">
        <f>VLOOKUP(VALUE(A1108), 'DICIONÁRIO UF'!$A:$B, 2, FALSE)</f>
        <v>Maranhão</v>
      </c>
      <c r="C1108" s="3">
        <v>3001</v>
      </c>
      <c r="D1108" s="5" t="str">
        <f>VLOOKUP(C1108, 'DICIONÁRIO CNAES'!$A:$B, 2, FALSE)</f>
        <v>Pesca</v>
      </c>
      <c r="E1108" s="4">
        <v>28416.312124079999</v>
      </c>
      <c r="F1108" s="4">
        <v>13284061.7767298</v>
      </c>
    </row>
    <row r="1109" spans="1:6" x14ac:dyDescent="0.3">
      <c r="A1109" s="3" t="s">
        <v>11</v>
      </c>
      <c r="B1109" s="7" t="str">
        <f>VLOOKUP(VALUE(A1109), 'DICIONÁRIO UF'!$A:$B, 2, FALSE)</f>
        <v>Maranhão</v>
      </c>
      <c r="C1109" s="3">
        <v>3002</v>
      </c>
      <c r="D1109" s="5" t="str">
        <f>VLOOKUP(C1109, 'DICIONÁRIO CNAES'!$A:$B, 2, FALSE)</f>
        <v>Aqüicultura</v>
      </c>
      <c r="E1109" s="4">
        <v>2886.88898466</v>
      </c>
      <c r="F1109" s="4">
        <v>1729125.9916195001</v>
      </c>
    </row>
    <row r="1110" spans="1:6" x14ac:dyDescent="0.3">
      <c r="A1110" s="3" t="s">
        <v>11</v>
      </c>
      <c r="B1110" s="7" t="str">
        <f>VLOOKUP(VALUE(A1110), 'DICIONÁRIO UF'!$A:$B, 2, FALSE)</f>
        <v>Maranhão</v>
      </c>
      <c r="C1110" s="3">
        <v>6000</v>
      </c>
      <c r="D1110" s="5" t="str">
        <f>VLOOKUP(C1110, 'DICIONÁRIO CNAES'!$A:$B, 2, FALSE)</f>
        <v xml:space="preserve">Extração de petróleo e gás natural </v>
      </c>
      <c r="E1110" s="4">
        <v>203.30593947</v>
      </c>
      <c r="F1110" s="4">
        <v>416650.33471199998</v>
      </c>
    </row>
    <row r="1111" spans="1:6" x14ac:dyDescent="0.3">
      <c r="A1111" s="3" t="s">
        <v>11</v>
      </c>
      <c r="B1111" s="7" t="str">
        <f>VLOOKUP(VALUE(A1111), 'DICIONÁRIO UF'!$A:$B, 2, FALSE)</f>
        <v>Maranhão</v>
      </c>
      <c r="C1111" s="3">
        <v>7001</v>
      </c>
      <c r="D1111" s="5" t="str">
        <f>VLOOKUP(C1111, 'DICIONÁRIO CNAES'!$A:$B, 2, FALSE)</f>
        <v>Extração de minérios de metais preciosos</v>
      </c>
      <c r="E1111" s="4">
        <v>5385.6268479399996</v>
      </c>
      <c r="F1111" s="4">
        <v>11882546.566322479</v>
      </c>
    </row>
    <row r="1112" spans="1:6" x14ac:dyDescent="0.3">
      <c r="A1112" s="3" t="s">
        <v>11</v>
      </c>
      <c r="B1112" s="7" t="str">
        <f>VLOOKUP(VALUE(A1112), 'DICIONÁRIO UF'!$A:$B, 2, FALSE)</f>
        <v>Maranhão</v>
      </c>
      <c r="C1112" s="3">
        <v>7002</v>
      </c>
      <c r="D1112" s="5" t="str">
        <f>VLOOKUP(C1112, 'DICIONÁRIO CNAES'!$A:$B, 2, FALSE)</f>
        <v xml:space="preserve">Extração de minerais metálicos não especificados anteriormente </v>
      </c>
      <c r="E1112" s="4">
        <v>12660.96242991</v>
      </c>
      <c r="F1112" s="4">
        <v>28469533.249628391</v>
      </c>
    </row>
    <row r="1113" spans="1:6" x14ac:dyDescent="0.3">
      <c r="A1113" s="3" t="s">
        <v>11</v>
      </c>
      <c r="B1113" s="7" t="str">
        <f>VLOOKUP(VALUE(A1113), 'DICIONÁRIO UF'!$A:$B, 2, FALSE)</f>
        <v>Maranhão</v>
      </c>
      <c r="C1113" s="3">
        <v>8001</v>
      </c>
      <c r="D1113" s="5" t="str">
        <f>VLOOKUP(C1113, 'DICIONÁRIO CNAES'!$A:$B, 2, FALSE)</f>
        <v>Extração de pedras, areia e argila</v>
      </c>
      <c r="E1113" s="4">
        <v>3460.2661355800001</v>
      </c>
      <c r="F1113" s="4">
        <v>5617790.3973864997</v>
      </c>
    </row>
    <row r="1114" spans="1:6" x14ac:dyDescent="0.3">
      <c r="A1114" s="3" t="s">
        <v>11</v>
      </c>
      <c r="B1114" s="7" t="str">
        <f>VLOOKUP(VALUE(A1114), 'DICIONÁRIO UF'!$A:$B, 2, FALSE)</f>
        <v>Maranhão</v>
      </c>
      <c r="C1114" s="3">
        <v>10010</v>
      </c>
      <c r="D1114" s="5" t="str">
        <f>VLOOKUP(C1114, 'DICIONÁRIO CNAES'!$A:$B, 2, FALSE)</f>
        <v xml:space="preserve">Abate e fabricação de produtos de carne e pescado </v>
      </c>
      <c r="E1114" s="4">
        <v>5817.2110812199999</v>
      </c>
      <c r="F1114" s="4">
        <v>6292596.5691010002</v>
      </c>
    </row>
    <row r="1115" spans="1:6" x14ac:dyDescent="0.3">
      <c r="A1115" s="3" t="s">
        <v>11</v>
      </c>
      <c r="B1115" s="7" t="str">
        <f>VLOOKUP(VALUE(A1115), 'DICIONÁRIO UF'!$A:$B, 2, FALSE)</f>
        <v>Maranhão</v>
      </c>
      <c r="C1115" s="3">
        <v>10021</v>
      </c>
      <c r="D1115" s="5" t="str">
        <f>VLOOKUP(C1115, 'DICIONÁRIO CNAES'!$A:$B, 2, FALSE)</f>
        <v>Fabricação de conservas de frutas, legumes e outros vegetais</v>
      </c>
      <c r="E1115" s="4">
        <v>3592.8856223799999</v>
      </c>
      <c r="F1115" s="4">
        <v>10400458.043061201</v>
      </c>
    </row>
    <row r="1116" spans="1:6" x14ac:dyDescent="0.3">
      <c r="A1116" s="3" t="s">
        <v>11</v>
      </c>
      <c r="B1116" s="7" t="str">
        <f>VLOOKUP(VALUE(A1116), 'DICIONÁRIO UF'!$A:$B, 2, FALSE)</f>
        <v>Maranhão</v>
      </c>
      <c r="C1116" s="3">
        <v>10022</v>
      </c>
      <c r="D1116" s="5" t="str">
        <f>VLOOKUP(C1116, 'DICIONÁRIO CNAES'!$A:$B, 2, FALSE)</f>
        <v>Fabricação de óleos vegetais e gorduras vegetais e animais</v>
      </c>
      <c r="E1116" s="4">
        <v>343.23257602000001</v>
      </c>
      <c r="F1116" s="4">
        <v>179785.191857</v>
      </c>
    </row>
    <row r="1117" spans="1:6" x14ac:dyDescent="0.3">
      <c r="A1117" s="3" t="s">
        <v>11</v>
      </c>
      <c r="B1117" s="7" t="str">
        <f>VLOOKUP(VALUE(A1117), 'DICIONÁRIO UF'!$A:$B, 2, FALSE)</f>
        <v>Maranhão</v>
      </c>
      <c r="C1117" s="3">
        <v>10030</v>
      </c>
      <c r="D1117" s="5" t="str">
        <f>VLOOKUP(C1117, 'DICIONÁRIO CNAES'!$A:$B, 2, FALSE)</f>
        <v>Laticínios</v>
      </c>
      <c r="E1117" s="4">
        <v>2572.8116888999998</v>
      </c>
      <c r="F1117" s="4">
        <v>848201.73095959995</v>
      </c>
    </row>
    <row r="1118" spans="1:6" x14ac:dyDescent="0.3">
      <c r="A1118" s="3" t="s">
        <v>11</v>
      </c>
      <c r="B1118" s="7" t="str">
        <f>VLOOKUP(VALUE(A1118), 'DICIONÁRIO UF'!$A:$B, 2, FALSE)</f>
        <v>Maranhão</v>
      </c>
      <c r="C1118" s="3">
        <v>10091</v>
      </c>
      <c r="D1118" s="5" t="str">
        <f>VLOOKUP(C1118, 'DICIONÁRIO CNAES'!$A:$B, 2, FALSE)</f>
        <v>Moagem, fabricação de produtos amiláceos e de alimentos para animais</v>
      </c>
      <c r="E1118" s="4">
        <v>3631.6095355299999</v>
      </c>
      <c r="F1118" s="4">
        <v>2424827.8220911999</v>
      </c>
    </row>
    <row r="1119" spans="1:6" x14ac:dyDescent="0.3">
      <c r="A1119" s="3" t="s">
        <v>11</v>
      </c>
      <c r="B1119" s="7" t="str">
        <f>VLOOKUP(VALUE(A1119), 'DICIONÁRIO UF'!$A:$B, 2, FALSE)</f>
        <v>Maranhão</v>
      </c>
      <c r="C1119" s="3">
        <v>10099</v>
      </c>
      <c r="D1119" s="5" t="str">
        <f>VLOOKUP(C1119, 'DICIONÁRIO CNAES'!$A:$B, 2, FALSE)</f>
        <v>Fabricação de outros produtos alimentícios</v>
      </c>
      <c r="E1119" s="4">
        <v>1371.81431744</v>
      </c>
      <c r="F1119" s="4">
        <v>1301390.0221889999</v>
      </c>
    </row>
    <row r="1120" spans="1:6" x14ac:dyDescent="0.3">
      <c r="A1120" s="3" t="s">
        <v>11</v>
      </c>
      <c r="B1120" s="7" t="str">
        <f>VLOOKUP(VALUE(A1120), 'DICIONÁRIO UF'!$A:$B, 2, FALSE)</f>
        <v>Maranhão</v>
      </c>
      <c r="C1120" s="3">
        <v>11000</v>
      </c>
      <c r="D1120" s="5" t="str">
        <f>VLOOKUP(C1120, 'DICIONÁRIO CNAES'!$A:$B, 2, FALSE)</f>
        <v>Fabricação de bebidas</v>
      </c>
      <c r="E1120" s="4">
        <v>6349.0405705900002</v>
      </c>
      <c r="F1120" s="4">
        <v>6997867.0395047003</v>
      </c>
    </row>
    <row r="1121" spans="1:6" x14ac:dyDescent="0.3">
      <c r="A1121" s="3" t="s">
        <v>11</v>
      </c>
      <c r="B1121" s="7" t="str">
        <f>VLOOKUP(VALUE(A1121), 'DICIONÁRIO UF'!$A:$B, 2, FALSE)</f>
        <v>Maranhão</v>
      </c>
      <c r="C1121" s="3">
        <v>13001</v>
      </c>
      <c r="D1121" s="5" t="str">
        <f>VLOOKUP(C1121, 'DICIONÁRIO CNAES'!$A:$B, 2, FALSE)</f>
        <v>Preparação de fibras, fiação e tecelagem</v>
      </c>
      <c r="E1121" s="4">
        <v>319.25487063000003</v>
      </c>
      <c r="F1121" s="4">
        <v>153019.761054</v>
      </c>
    </row>
    <row r="1122" spans="1:6" x14ac:dyDescent="0.3">
      <c r="A1122" s="3" t="s">
        <v>11</v>
      </c>
      <c r="B1122" s="7" t="str">
        <f>VLOOKUP(VALUE(A1122), 'DICIONÁRIO UF'!$A:$B, 2, FALSE)</f>
        <v>Maranhão</v>
      </c>
      <c r="C1122" s="3">
        <v>13002</v>
      </c>
      <c r="D1122" s="5" t="str">
        <f>VLOOKUP(C1122, 'DICIONÁRIO CNAES'!$A:$B, 2, FALSE)</f>
        <v>Fabricação de artefatos têxteis, exceto vestuário</v>
      </c>
      <c r="E1122" s="4">
        <v>4293.9317338800001</v>
      </c>
      <c r="F1122" s="4">
        <v>2520983.0637635002</v>
      </c>
    </row>
    <row r="1123" spans="1:6" x14ac:dyDescent="0.3">
      <c r="A1123" s="3" t="s">
        <v>11</v>
      </c>
      <c r="B1123" s="7" t="str">
        <f>VLOOKUP(VALUE(A1123), 'DICIONÁRIO UF'!$A:$B, 2, FALSE)</f>
        <v>Maranhão</v>
      </c>
      <c r="C1123" s="3">
        <v>14001</v>
      </c>
      <c r="D1123" s="5" t="str">
        <f>VLOOKUP(C1123, 'DICIONÁRIO CNAES'!$A:$B, 2, FALSE)</f>
        <v>Confecção de artigos do vestuário e acessórios, exceto sob medida</v>
      </c>
      <c r="E1123" s="4">
        <v>4596.2729434499997</v>
      </c>
      <c r="F1123" s="4">
        <v>6151305.6354705999</v>
      </c>
    </row>
    <row r="1124" spans="1:6" x14ac:dyDescent="0.3">
      <c r="A1124" s="3" t="s">
        <v>11</v>
      </c>
      <c r="B1124" s="7" t="str">
        <f>VLOOKUP(VALUE(A1124), 'DICIONÁRIO UF'!$A:$B, 2, FALSE)</f>
        <v>Maranhão</v>
      </c>
      <c r="C1124" s="3">
        <v>14002</v>
      </c>
      <c r="D1124" s="5" t="str">
        <f>VLOOKUP(C1124, 'DICIONÁRIO CNAES'!$A:$B, 2, FALSE)</f>
        <v>Confecção, sob medida, de artigos do vestuário</v>
      </c>
      <c r="E1124" s="4">
        <v>18600.676160219999</v>
      </c>
      <c r="F1124" s="4">
        <v>14138989.0269459</v>
      </c>
    </row>
    <row r="1125" spans="1:6" x14ac:dyDescent="0.3">
      <c r="A1125" s="3" t="s">
        <v>11</v>
      </c>
      <c r="B1125" s="7" t="str">
        <f>VLOOKUP(VALUE(A1125), 'DICIONÁRIO UF'!$A:$B, 2, FALSE)</f>
        <v>Maranhão</v>
      </c>
      <c r="C1125" s="3">
        <v>15011</v>
      </c>
      <c r="D1125" s="5" t="str">
        <f>VLOOKUP(C1125, 'DICIONÁRIO CNAES'!$A:$B, 2, FALSE)</f>
        <v>Curtimento e outras preparações de couro</v>
      </c>
      <c r="E1125" s="4">
        <v>564.43078732000004</v>
      </c>
      <c r="F1125" s="4">
        <v>597597.71098750003</v>
      </c>
    </row>
    <row r="1126" spans="1:6" x14ac:dyDescent="0.3">
      <c r="A1126" s="3" t="s">
        <v>11</v>
      </c>
      <c r="B1126" s="7" t="str">
        <f>VLOOKUP(VALUE(A1126), 'DICIONÁRIO UF'!$A:$B, 2, FALSE)</f>
        <v>Maranhão</v>
      </c>
      <c r="C1126" s="3">
        <v>15012</v>
      </c>
      <c r="D1126" s="5" t="str">
        <f>VLOOKUP(C1126, 'DICIONÁRIO CNAES'!$A:$B, 2, FALSE)</f>
        <v>Fabricação de artigos de viagem e de artefatos diversos de couro</v>
      </c>
      <c r="E1126" s="4">
        <v>1308.75510093</v>
      </c>
      <c r="F1126" s="4">
        <v>2407253.442059</v>
      </c>
    </row>
    <row r="1127" spans="1:6" x14ac:dyDescent="0.3">
      <c r="A1127" s="3" t="s">
        <v>11</v>
      </c>
      <c r="B1127" s="7" t="str">
        <f>VLOOKUP(VALUE(A1127), 'DICIONÁRIO UF'!$A:$B, 2, FALSE)</f>
        <v>Maranhão</v>
      </c>
      <c r="C1127" s="3">
        <v>16001</v>
      </c>
      <c r="D1127" s="5" t="str">
        <f>VLOOKUP(C1127, 'DICIONÁRIO CNAES'!$A:$B, 2, FALSE)</f>
        <v>Serrarias</v>
      </c>
      <c r="E1127" s="4">
        <v>973.48809629000004</v>
      </c>
      <c r="F1127" s="4">
        <v>852730.89637640002</v>
      </c>
    </row>
    <row r="1128" spans="1:6" x14ac:dyDescent="0.3">
      <c r="A1128" s="3" t="s">
        <v>11</v>
      </c>
      <c r="B1128" s="7" t="str">
        <f>VLOOKUP(VALUE(A1128), 'DICIONÁRIO UF'!$A:$B, 2, FALSE)</f>
        <v>Maranhão</v>
      </c>
      <c r="C1128" s="3">
        <v>16002</v>
      </c>
      <c r="D1128" s="5" t="str">
        <f>VLOOKUP(C1128, 'DICIONÁRIO CNAES'!$A:$B, 2, FALSE)</f>
        <v>Fabricação de produtos de madeira, cortiça e material trançado, exceto móveis</v>
      </c>
      <c r="E1128" s="4">
        <v>11585.806424599999</v>
      </c>
      <c r="F1128" s="4">
        <v>14305735.824667949</v>
      </c>
    </row>
    <row r="1129" spans="1:6" x14ac:dyDescent="0.3">
      <c r="A1129" s="3" t="s">
        <v>11</v>
      </c>
      <c r="B1129" s="7" t="str">
        <f>VLOOKUP(VALUE(A1129), 'DICIONÁRIO UF'!$A:$B, 2, FALSE)</f>
        <v>Maranhão</v>
      </c>
      <c r="C1129" s="3">
        <v>17001</v>
      </c>
      <c r="D1129" s="5" t="str">
        <f>VLOOKUP(C1129, 'DICIONÁRIO CNAES'!$A:$B, 2, FALSE)</f>
        <v>Fabricação de celulose, papel, cartolina e papel-cartão</v>
      </c>
      <c r="E1129" s="4">
        <v>3332.7825703200001</v>
      </c>
      <c r="F1129" s="4">
        <v>8779173.9060750008</v>
      </c>
    </row>
    <row r="1130" spans="1:6" x14ac:dyDescent="0.3">
      <c r="A1130" s="3" t="s">
        <v>11</v>
      </c>
      <c r="B1130" s="7" t="str">
        <f>VLOOKUP(VALUE(A1130), 'DICIONÁRIO UF'!$A:$B, 2, FALSE)</f>
        <v>Maranhão</v>
      </c>
      <c r="C1130" s="3">
        <v>17002</v>
      </c>
      <c r="D1130" s="5" t="str">
        <f>VLOOKUP(C1130, 'DICIONÁRIO CNAES'!$A:$B, 2, FALSE)</f>
        <v>Fabricação de embalagens e de produtos diversos de papel, cartolina, papel-cartão e papelão ondulado</v>
      </c>
      <c r="E1130" s="4">
        <v>342.53973463</v>
      </c>
      <c r="F1130" s="4">
        <v>297295.84112499998</v>
      </c>
    </row>
    <row r="1131" spans="1:6" x14ac:dyDescent="0.3">
      <c r="A1131" s="3" t="s">
        <v>11</v>
      </c>
      <c r="B1131" s="7" t="str">
        <f>VLOOKUP(VALUE(A1131), 'DICIONÁRIO UF'!$A:$B, 2, FALSE)</f>
        <v>Maranhão</v>
      </c>
      <c r="C1131" s="3">
        <v>18000</v>
      </c>
      <c r="D1131" s="5" t="str">
        <f>VLOOKUP(C1131, 'DICIONÁRIO CNAES'!$A:$B, 2, FALSE)</f>
        <v>Impressão e reprodução de gravações</v>
      </c>
      <c r="E1131" s="4">
        <v>6035.5129869399998</v>
      </c>
      <c r="F1131" s="4">
        <v>6886657.0090427501</v>
      </c>
    </row>
    <row r="1132" spans="1:6" x14ac:dyDescent="0.3">
      <c r="A1132" s="3" t="s">
        <v>11</v>
      </c>
      <c r="B1132" s="7" t="str">
        <f>VLOOKUP(VALUE(A1132), 'DICIONÁRIO UF'!$A:$B, 2, FALSE)</f>
        <v>Maranhão</v>
      </c>
      <c r="C1132" s="3">
        <v>19010</v>
      </c>
      <c r="D1132" s="5" t="str">
        <f>VLOOKUP(C1132, 'DICIONÁRIO CNAES'!$A:$B, 2, FALSE)</f>
        <v>Coquerias</v>
      </c>
      <c r="E1132" s="4">
        <v>334.32733050000002</v>
      </c>
      <c r="F1132" s="4">
        <v>367760.06355000002</v>
      </c>
    </row>
    <row r="1133" spans="1:6" x14ac:dyDescent="0.3">
      <c r="A1133" s="3" t="s">
        <v>11</v>
      </c>
      <c r="B1133" s="7" t="str">
        <f>VLOOKUP(VALUE(A1133), 'DICIONÁRIO UF'!$A:$B, 2, FALSE)</f>
        <v>Maranhão</v>
      </c>
      <c r="C1133" s="3">
        <v>19030</v>
      </c>
      <c r="D1133" s="5" t="str">
        <f>VLOOKUP(C1133, 'DICIONÁRIO CNAES'!$A:$B, 2, FALSE)</f>
        <v>Produção de biocombustíveis</v>
      </c>
      <c r="E1133" s="4">
        <v>791.06038147999993</v>
      </c>
      <c r="F1133" s="4">
        <v>870166.419628</v>
      </c>
    </row>
    <row r="1134" spans="1:6" x14ac:dyDescent="0.3">
      <c r="A1134" s="3" t="s">
        <v>11</v>
      </c>
      <c r="B1134" s="7" t="str">
        <f>VLOOKUP(VALUE(A1134), 'DICIONÁRIO UF'!$A:$B, 2, FALSE)</f>
        <v>Maranhão</v>
      </c>
      <c r="C1134" s="3">
        <v>20020</v>
      </c>
      <c r="D1134" s="5" t="str">
        <f>VLOOKUP(C1134, 'DICIONÁRIO CNAES'!$A:$B, 2, FALSE)</f>
        <v>Fabricação de sabões, detergentes, produtos de limpeza, cosméticos, produtos de perfumaria e de higiene pessoal</v>
      </c>
      <c r="E1134" s="4">
        <v>3617.8431427400001</v>
      </c>
      <c r="F1134" s="4">
        <v>5255144.5784612997</v>
      </c>
    </row>
    <row r="1135" spans="1:6" x14ac:dyDescent="0.3">
      <c r="A1135" s="3" t="s">
        <v>11</v>
      </c>
      <c r="B1135" s="7" t="str">
        <f>VLOOKUP(VALUE(A1135), 'DICIONÁRIO UF'!$A:$B, 2, FALSE)</f>
        <v>Maranhão</v>
      </c>
      <c r="C1135" s="3">
        <v>20090</v>
      </c>
      <c r="D1135" s="5" t="str">
        <f>VLOOKUP(C1135, 'DICIONÁRIO CNAES'!$A:$B, 2, FALSE)</f>
        <v>Fabricação de outros produtos químicos não especificados anteriormente</v>
      </c>
      <c r="E1135" s="4">
        <v>812.45152467000003</v>
      </c>
      <c r="F1135" s="4">
        <v>990006.19759000011</v>
      </c>
    </row>
    <row r="1136" spans="1:6" x14ac:dyDescent="0.3">
      <c r="A1136" s="3" t="s">
        <v>11</v>
      </c>
      <c r="B1136" s="7" t="str">
        <f>VLOOKUP(VALUE(A1136), 'DICIONÁRIO UF'!$A:$B, 2, FALSE)</f>
        <v>Maranhão</v>
      </c>
      <c r="C1136" s="3">
        <v>22020</v>
      </c>
      <c r="D1136" s="5" t="str">
        <f>VLOOKUP(C1136, 'DICIONÁRIO CNAES'!$A:$B, 2, FALSE)</f>
        <v>Fabricação de produtos de material plástico</v>
      </c>
      <c r="E1136" s="4">
        <v>1920.4077631</v>
      </c>
      <c r="F1136" s="4">
        <v>1952619.4969540001</v>
      </c>
    </row>
    <row r="1137" spans="1:6" x14ac:dyDescent="0.3">
      <c r="A1137" s="3" t="s">
        <v>11</v>
      </c>
      <c r="B1137" s="7" t="str">
        <f>VLOOKUP(VALUE(A1137), 'DICIONÁRIO UF'!$A:$B, 2, FALSE)</f>
        <v>Maranhão</v>
      </c>
      <c r="C1137" s="3">
        <v>23010</v>
      </c>
      <c r="D1137" s="5" t="str">
        <f>VLOOKUP(C1137, 'DICIONÁRIO CNAES'!$A:$B, 2, FALSE)</f>
        <v>Fabricação de vidro e produtos de vidro</v>
      </c>
      <c r="E1137" s="4">
        <v>1153.12855509</v>
      </c>
      <c r="F1137" s="4">
        <v>1834213.3277199999</v>
      </c>
    </row>
    <row r="1138" spans="1:6" x14ac:dyDescent="0.3">
      <c r="A1138" s="3" t="s">
        <v>11</v>
      </c>
      <c r="B1138" s="7" t="str">
        <f>VLOOKUP(VALUE(A1138), 'DICIONÁRIO UF'!$A:$B, 2, FALSE)</f>
        <v>Maranhão</v>
      </c>
      <c r="C1138" s="3">
        <v>23091</v>
      </c>
      <c r="D1138" s="5" t="str">
        <f>VLOOKUP(C1138, 'DICIONÁRIO CNAES'!$A:$B, 2, FALSE)</f>
        <v>Fabricação de produtos cerâmicos</v>
      </c>
      <c r="E1138" s="4">
        <v>6413.7397611899996</v>
      </c>
      <c r="F1138" s="4">
        <v>6017348.1808510497</v>
      </c>
    </row>
    <row r="1139" spans="1:6" x14ac:dyDescent="0.3">
      <c r="A1139" s="3" t="s">
        <v>11</v>
      </c>
      <c r="B1139" s="7" t="str">
        <f>VLOOKUP(VALUE(A1139), 'DICIONÁRIO UF'!$A:$B, 2, FALSE)</f>
        <v>Maranhão</v>
      </c>
      <c r="C1139" s="3">
        <v>23099</v>
      </c>
      <c r="D1139" s="5" t="str">
        <f>VLOOKUP(C1139, 'DICIONÁRIO CNAES'!$A:$B, 2, FALSE)</f>
        <v>Fabricação de outros produtos de minerais não-metálicos não especificados anteriormente</v>
      </c>
      <c r="E1139" s="4">
        <v>5203.5580528700002</v>
      </c>
      <c r="F1139" s="4">
        <v>7769596.7687958004</v>
      </c>
    </row>
    <row r="1140" spans="1:6" x14ac:dyDescent="0.3">
      <c r="A1140" s="3" t="s">
        <v>11</v>
      </c>
      <c r="B1140" s="7" t="str">
        <f>VLOOKUP(VALUE(A1140), 'DICIONÁRIO UF'!$A:$B, 2, FALSE)</f>
        <v>Maranhão</v>
      </c>
      <c r="C1140" s="3">
        <v>25001</v>
      </c>
      <c r="D1140" s="5" t="str">
        <f>VLOOKUP(C1140, 'DICIONÁRIO CNAES'!$A:$B, 2, FALSE)</f>
        <v>Fabricação de produtos de metal, exceto máquinas e equipamentos</v>
      </c>
      <c r="E1140" s="4">
        <v>12922.64691772</v>
      </c>
      <c r="F1140" s="4">
        <v>15719074.240208499</v>
      </c>
    </row>
    <row r="1141" spans="1:6" x14ac:dyDescent="0.3">
      <c r="A1141" s="3" t="s">
        <v>11</v>
      </c>
      <c r="B1141" s="7" t="str">
        <f>VLOOKUP(VALUE(A1141), 'DICIONÁRIO UF'!$A:$B, 2, FALSE)</f>
        <v>Maranhão</v>
      </c>
      <c r="C1141" s="3">
        <v>25002</v>
      </c>
      <c r="D1141" s="5" t="str">
        <f>VLOOKUP(C1141, 'DICIONÁRIO CNAES'!$A:$B, 2, FALSE)</f>
        <v>Forjaria, estamparia, metalurgia do pó e serviços de tratamento de metais</v>
      </c>
      <c r="E1141" s="4">
        <v>747.67515732000004</v>
      </c>
      <c r="F1141" s="4">
        <v>700356.021007</v>
      </c>
    </row>
    <row r="1142" spans="1:6" x14ac:dyDescent="0.3">
      <c r="A1142" s="3" t="s">
        <v>11</v>
      </c>
      <c r="B1142" s="7" t="str">
        <f>VLOOKUP(VALUE(A1142), 'DICIONÁRIO UF'!$A:$B, 2, FALSE)</f>
        <v>Maranhão</v>
      </c>
      <c r="C1142" s="3">
        <v>28000</v>
      </c>
      <c r="D1142" s="5" t="str">
        <f>VLOOKUP(C1142, 'DICIONÁRIO CNAES'!$A:$B, 2, FALSE)</f>
        <v>Fabricação de máquinas e equipamentos</v>
      </c>
      <c r="E1142" s="4">
        <v>497.24601996000001</v>
      </c>
      <c r="F1142" s="4">
        <v>717024.45042000001</v>
      </c>
    </row>
    <row r="1143" spans="1:6" x14ac:dyDescent="0.3">
      <c r="A1143" s="3" t="s">
        <v>11</v>
      </c>
      <c r="B1143" s="7" t="str">
        <f>VLOOKUP(VALUE(A1143), 'DICIONÁRIO UF'!$A:$B, 2, FALSE)</f>
        <v>Maranhão</v>
      </c>
      <c r="C1143" s="3">
        <v>29001</v>
      </c>
      <c r="D1143" s="5" t="str">
        <f>VLOOKUP(C1143, 'DICIONÁRIO CNAES'!$A:$B, 2, FALSE)</f>
        <v>Fabricação e montagem de veículos automotores</v>
      </c>
      <c r="E1143" s="4">
        <v>1015.46538991</v>
      </c>
      <c r="F1143" s="4">
        <v>1117011.9289009999</v>
      </c>
    </row>
    <row r="1144" spans="1:6" x14ac:dyDescent="0.3">
      <c r="A1144" s="3" t="s">
        <v>11</v>
      </c>
      <c r="B1144" s="7" t="str">
        <f>VLOOKUP(VALUE(A1144), 'DICIONÁRIO UF'!$A:$B, 2, FALSE)</f>
        <v>Maranhão</v>
      </c>
      <c r="C1144" s="3">
        <v>29002</v>
      </c>
      <c r="D1144" s="5" t="str">
        <f>VLOOKUP(C1144, 'DICIONÁRIO CNAES'!$A:$B, 2, FALSE)</f>
        <v>Fabricação de cabines, carrocerias, reboques e peças para veículos automotores</v>
      </c>
      <c r="E1144" s="4">
        <v>338.14800484</v>
      </c>
      <c r="F1144" s="4">
        <v>1352592.01936</v>
      </c>
    </row>
    <row r="1145" spans="1:6" x14ac:dyDescent="0.3">
      <c r="A1145" s="3" t="s">
        <v>11</v>
      </c>
      <c r="B1145" s="7" t="str">
        <f>VLOOKUP(VALUE(A1145), 'DICIONÁRIO UF'!$A:$B, 2, FALSE)</f>
        <v>Maranhão</v>
      </c>
      <c r="C1145" s="3">
        <v>31000</v>
      </c>
      <c r="D1145" s="5" t="str">
        <f>VLOOKUP(C1145, 'DICIONÁRIO CNAES'!$A:$B, 2, FALSE)</f>
        <v>Fabricação de móveis</v>
      </c>
      <c r="E1145" s="4">
        <v>13177.17250053</v>
      </c>
      <c r="F1145" s="4">
        <v>19170408.5906417</v>
      </c>
    </row>
    <row r="1146" spans="1:6" x14ac:dyDescent="0.3">
      <c r="A1146" s="3" t="s">
        <v>11</v>
      </c>
      <c r="B1146" s="7" t="str">
        <f>VLOOKUP(VALUE(A1146), 'DICIONÁRIO UF'!$A:$B, 2, FALSE)</f>
        <v>Maranhão</v>
      </c>
      <c r="C1146" s="3">
        <v>32003</v>
      </c>
      <c r="D1146" s="5" t="str">
        <f>VLOOKUP(C1146, 'DICIONÁRIO CNAES'!$A:$B, 2, FALSE)</f>
        <v>Fabricação de artefatos para pesca e esporte e de brinquedos e jogos recreativos</v>
      </c>
      <c r="E1146" s="4">
        <v>83.465767659999997</v>
      </c>
      <c r="F1146" s="4">
        <v>91812.344425999996</v>
      </c>
    </row>
    <row r="1147" spans="1:6" x14ac:dyDescent="0.3">
      <c r="A1147" s="3" t="s">
        <v>11</v>
      </c>
      <c r="B1147" s="7" t="str">
        <f>VLOOKUP(VALUE(A1147), 'DICIONÁRIO UF'!$A:$B, 2, FALSE)</f>
        <v>Maranhão</v>
      </c>
      <c r="C1147" s="3">
        <v>32009</v>
      </c>
      <c r="D1147" s="5" t="str">
        <f>VLOOKUP(C1147, 'DICIONÁRIO CNAES'!$A:$B, 2, FALSE)</f>
        <v>Fabricação de produtos diversos</v>
      </c>
      <c r="E1147" s="4">
        <v>723.545389</v>
      </c>
      <c r="F1147" s="4">
        <v>815721.52792987996</v>
      </c>
    </row>
    <row r="1148" spans="1:6" x14ac:dyDescent="0.3">
      <c r="A1148" s="3" t="s">
        <v>11</v>
      </c>
      <c r="B1148" s="7" t="str">
        <f>VLOOKUP(VALUE(A1148), 'DICIONÁRIO UF'!$A:$B, 2, FALSE)</f>
        <v>Maranhão</v>
      </c>
      <c r="C1148" s="3">
        <v>33001</v>
      </c>
      <c r="D1148" s="5" t="str">
        <f>VLOOKUP(C1148, 'DICIONÁRIO CNAES'!$A:$B, 2, FALSE)</f>
        <v>Manutenção e reparação de máquinas e equipamentos</v>
      </c>
      <c r="E1148" s="4">
        <v>1353.4969788799999</v>
      </c>
      <c r="F1148" s="4">
        <v>3537150.6117620501</v>
      </c>
    </row>
    <row r="1149" spans="1:6" x14ac:dyDescent="0.3">
      <c r="A1149" s="3" t="s">
        <v>11</v>
      </c>
      <c r="B1149" s="7" t="str">
        <f>VLOOKUP(VALUE(A1149), 'DICIONÁRIO UF'!$A:$B, 2, FALSE)</f>
        <v>Maranhão</v>
      </c>
      <c r="C1149" s="3">
        <v>33002</v>
      </c>
      <c r="D1149" s="5" t="str">
        <f>VLOOKUP(C1149, 'DICIONÁRIO CNAES'!$A:$B, 2, FALSE)</f>
        <v>Instalação de máquinas e equipamentos</v>
      </c>
      <c r="E1149" s="4">
        <v>1268.4638867599999</v>
      </c>
      <c r="F1149" s="4">
        <v>1889006.0309860001</v>
      </c>
    </row>
    <row r="1150" spans="1:6" x14ac:dyDescent="0.3">
      <c r="A1150" s="3" t="s">
        <v>11</v>
      </c>
      <c r="B1150" s="7" t="str">
        <f>VLOOKUP(VALUE(A1150), 'DICIONÁRIO UF'!$A:$B, 2, FALSE)</f>
        <v>Maranhão</v>
      </c>
      <c r="C1150" s="3">
        <v>35010</v>
      </c>
      <c r="D1150" s="5" t="str">
        <f>VLOOKUP(C1150, 'DICIONÁRIO CNAES'!$A:$B, 2, FALSE)</f>
        <v>Geração, transmissão e distribuição de energia elétrica</v>
      </c>
      <c r="E1150" s="4">
        <v>1756.7043167100001</v>
      </c>
      <c r="F1150" s="4">
        <v>3031016.5048591499</v>
      </c>
    </row>
    <row r="1151" spans="1:6" x14ac:dyDescent="0.3">
      <c r="A1151" s="3" t="s">
        <v>11</v>
      </c>
      <c r="B1151" s="7" t="str">
        <f>VLOOKUP(VALUE(A1151), 'DICIONÁRIO UF'!$A:$B, 2, FALSE)</f>
        <v>Maranhão</v>
      </c>
      <c r="C1151" s="3">
        <v>36000</v>
      </c>
      <c r="D1151" s="5" t="str">
        <f>VLOOKUP(C1151, 'DICIONÁRIO CNAES'!$A:$B, 2, FALSE)</f>
        <v>Captação, tratamento e distribuição de água</v>
      </c>
      <c r="E1151" s="4">
        <v>5708.5384033199998</v>
      </c>
      <c r="F1151" s="4">
        <v>21772894.434516001</v>
      </c>
    </row>
    <row r="1152" spans="1:6" x14ac:dyDescent="0.3">
      <c r="A1152" s="3" t="s">
        <v>11</v>
      </c>
      <c r="B1152" s="7" t="str">
        <f>VLOOKUP(VALUE(A1152), 'DICIONÁRIO UF'!$A:$B, 2, FALSE)</f>
        <v>Maranhão</v>
      </c>
      <c r="C1152" s="3">
        <v>38000</v>
      </c>
      <c r="D1152" s="5" t="str">
        <f>VLOOKUP(C1152, 'DICIONÁRIO CNAES'!$A:$B, 2, FALSE)</f>
        <v>Coleta, tratamento e disposição de resíduos; recuperação de materiais</v>
      </c>
      <c r="E1152" s="4">
        <v>3883.23562713</v>
      </c>
      <c r="F1152" s="4">
        <v>4137329.825433</v>
      </c>
    </row>
    <row r="1153" spans="1:6" x14ac:dyDescent="0.3">
      <c r="A1153" s="3" t="s">
        <v>11</v>
      </c>
      <c r="B1153" s="7" t="str">
        <f>VLOOKUP(VALUE(A1153), 'DICIONÁRIO UF'!$A:$B, 2, FALSE)</f>
        <v>Maranhão</v>
      </c>
      <c r="C1153" s="3">
        <v>41000</v>
      </c>
      <c r="D1153" s="5" t="str">
        <f>VLOOKUP(C1153, 'DICIONÁRIO CNAES'!$A:$B, 2, FALSE)</f>
        <v>Construção de edifícios</v>
      </c>
      <c r="E1153" s="4">
        <v>167975.17007207</v>
      </c>
      <c r="F1153" s="4">
        <v>195754097.82355621</v>
      </c>
    </row>
    <row r="1154" spans="1:6" x14ac:dyDescent="0.3">
      <c r="A1154" s="3" t="s">
        <v>11</v>
      </c>
      <c r="B1154" s="7" t="str">
        <f>VLOOKUP(VALUE(A1154), 'DICIONÁRIO UF'!$A:$B, 2, FALSE)</f>
        <v>Maranhão</v>
      </c>
      <c r="C1154" s="3">
        <v>42000</v>
      </c>
      <c r="D1154" s="5" t="str">
        <f>VLOOKUP(C1154, 'DICIONÁRIO CNAES'!$A:$B, 2, FALSE)</f>
        <v>Construção de obras de infra-estrutura</v>
      </c>
      <c r="E1154" s="4">
        <v>15792.155590410001</v>
      </c>
      <c r="F1154" s="4">
        <v>28993566.462812599</v>
      </c>
    </row>
    <row r="1155" spans="1:6" x14ac:dyDescent="0.3">
      <c r="A1155" s="3" t="s">
        <v>11</v>
      </c>
      <c r="B1155" s="7" t="str">
        <f>VLOOKUP(VALUE(A1155), 'DICIONÁRIO UF'!$A:$B, 2, FALSE)</f>
        <v>Maranhão</v>
      </c>
      <c r="C1155" s="3">
        <v>43000</v>
      </c>
      <c r="D1155" s="5" t="str">
        <f>VLOOKUP(C1155, 'DICIONÁRIO CNAES'!$A:$B, 2, FALSE)</f>
        <v>Serviços especializados para construção</v>
      </c>
      <c r="E1155" s="4">
        <v>40960.208906280001</v>
      </c>
      <c r="F1155" s="4">
        <v>59039743.048146427</v>
      </c>
    </row>
    <row r="1156" spans="1:6" x14ac:dyDescent="0.3">
      <c r="A1156" s="3" t="s">
        <v>11</v>
      </c>
      <c r="B1156" s="7" t="str">
        <f>VLOOKUP(VALUE(A1156), 'DICIONÁRIO UF'!$A:$B, 2, FALSE)</f>
        <v>Maranhão</v>
      </c>
      <c r="C1156" s="3">
        <v>45010</v>
      </c>
      <c r="D1156" s="5" t="str">
        <f>VLOOKUP(C1156, 'DICIONÁRIO CNAES'!$A:$B, 2, FALSE)</f>
        <v>Comércio de veículos automotores</v>
      </c>
      <c r="E1156" s="4">
        <v>6227.91484253</v>
      </c>
      <c r="F1156" s="4">
        <v>12776439.220581001</v>
      </c>
    </row>
    <row r="1157" spans="1:6" x14ac:dyDescent="0.3">
      <c r="A1157" s="3" t="s">
        <v>11</v>
      </c>
      <c r="B1157" s="7" t="str">
        <f>VLOOKUP(VALUE(A1157), 'DICIONÁRIO UF'!$A:$B, 2, FALSE)</f>
        <v>Maranhão</v>
      </c>
      <c r="C1157" s="3">
        <v>45020</v>
      </c>
      <c r="D1157" s="5" t="str">
        <f>VLOOKUP(C1157, 'DICIONÁRIO CNAES'!$A:$B, 2, FALSE)</f>
        <v>Manutenção e reparação de veículos automotores</v>
      </c>
      <c r="E1157" s="4">
        <v>40243.112430200003</v>
      </c>
      <c r="F1157" s="4">
        <v>51234512.97350435</v>
      </c>
    </row>
    <row r="1158" spans="1:6" x14ac:dyDescent="0.3">
      <c r="A1158" s="3" t="s">
        <v>11</v>
      </c>
      <c r="B1158" s="7" t="str">
        <f>VLOOKUP(VALUE(A1158), 'DICIONÁRIO UF'!$A:$B, 2, FALSE)</f>
        <v>Maranhão</v>
      </c>
      <c r="C1158" s="3">
        <v>45030</v>
      </c>
      <c r="D1158" s="5" t="str">
        <f>VLOOKUP(C1158, 'DICIONÁRIO CNAES'!$A:$B, 2, FALSE)</f>
        <v>Comércio de peças e acessórios para veículos automotores</v>
      </c>
      <c r="E1158" s="4">
        <v>6848.08934116</v>
      </c>
      <c r="F1158" s="4">
        <v>11773650.313041549</v>
      </c>
    </row>
    <row r="1159" spans="1:6" x14ac:dyDescent="0.3">
      <c r="A1159" s="3" t="s">
        <v>11</v>
      </c>
      <c r="B1159" s="7" t="str">
        <f>VLOOKUP(VALUE(A1159), 'DICIONÁRIO UF'!$A:$B, 2, FALSE)</f>
        <v>Maranhão</v>
      </c>
      <c r="C1159" s="3">
        <v>45040</v>
      </c>
      <c r="D1159" s="5" t="str">
        <f>VLOOKUP(C1159, 'DICIONÁRIO CNAES'!$A:$B, 2, FALSE)</f>
        <v>Comércio, manutenção e reparação de motocicletas, peças e acessórios</v>
      </c>
      <c r="E1159" s="4">
        <v>22972.292543809999</v>
      </c>
      <c r="F1159" s="4">
        <v>22882299.2851808</v>
      </c>
    </row>
    <row r="1160" spans="1:6" x14ac:dyDescent="0.3">
      <c r="A1160" s="3" t="s">
        <v>11</v>
      </c>
      <c r="B1160" s="7" t="str">
        <f>VLOOKUP(VALUE(A1160), 'DICIONÁRIO UF'!$A:$B, 2, FALSE)</f>
        <v>Maranhão</v>
      </c>
      <c r="C1160" s="3">
        <v>48010</v>
      </c>
      <c r="D1160" s="5" t="str">
        <f>VLOOKUP(C1160, 'DICIONÁRIO CNAES'!$A:$B, 2, FALSE)</f>
        <v>Representantes comerciais e agentes do comércio, exceto de veículos automotores e motocicletas</v>
      </c>
      <c r="E1160" s="4">
        <v>2916.2687442599999</v>
      </c>
      <c r="F1160" s="4">
        <v>8196508.2772901999</v>
      </c>
    </row>
    <row r="1161" spans="1:6" x14ac:dyDescent="0.3">
      <c r="A1161" s="3" t="s">
        <v>11</v>
      </c>
      <c r="B1161" s="7" t="str">
        <f>VLOOKUP(VALUE(A1161), 'DICIONÁRIO UF'!$A:$B, 2, FALSE)</f>
        <v>Maranhão</v>
      </c>
      <c r="C1161" s="3">
        <v>48020</v>
      </c>
      <c r="D1161" s="5" t="str">
        <f>VLOOKUP(C1161, 'DICIONÁRIO CNAES'!$A:$B, 2, FALSE)</f>
        <v>Comércio de matérias-primas agrícolas e animais vivos</v>
      </c>
      <c r="E1161" s="4">
        <v>2745.9642826200002</v>
      </c>
      <c r="F1161" s="4">
        <v>2031480.8923210001</v>
      </c>
    </row>
    <row r="1162" spans="1:6" x14ac:dyDescent="0.3">
      <c r="A1162" s="3" t="s">
        <v>11</v>
      </c>
      <c r="B1162" s="7" t="str">
        <f>VLOOKUP(VALUE(A1162), 'DICIONÁRIO UF'!$A:$B, 2, FALSE)</f>
        <v>Maranhão</v>
      </c>
      <c r="C1162" s="3">
        <v>48030</v>
      </c>
      <c r="D1162" s="5" t="str">
        <f>VLOOKUP(C1162, 'DICIONÁRIO CNAES'!$A:$B, 2, FALSE)</f>
        <v>Comércio de produtos alimentícios, bebidas e fumo</v>
      </c>
      <c r="E1162" s="4">
        <v>153940.88923853001</v>
      </c>
      <c r="F1162" s="4">
        <v>192991837.29511759</v>
      </c>
    </row>
    <row r="1163" spans="1:6" x14ac:dyDescent="0.3">
      <c r="A1163" s="3" t="s">
        <v>11</v>
      </c>
      <c r="B1163" s="7" t="str">
        <f>VLOOKUP(VALUE(A1163), 'DICIONÁRIO UF'!$A:$B, 2, FALSE)</f>
        <v>Maranhão</v>
      </c>
      <c r="C1163" s="3">
        <v>48041</v>
      </c>
      <c r="D1163" s="5" t="str">
        <f>VLOOKUP(C1163, 'DICIONÁRIO CNAES'!$A:$B, 2, FALSE)</f>
        <v>Comércio de tecidos, artefatos de tecidos e armarinho</v>
      </c>
      <c r="E1163" s="4">
        <v>3665.86030678</v>
      </c>
      <c r="F1163" s="4">
        <v>9164106.1179359984</v>
      </c>
    </row>
    <row r="1164" spans="1:6" x14ac:dyDescent="0.3">
      <c r="A1164" s="3" t="s">
        <v>11</v>
      </c>
      <c r="B1164" s="7" t="str">
        <f>VLOOKUP(VALUE(A1164), 'DICIONÁRIO UF'!$A:$B, 2, FALSE)</f>
        <v>Maranhão</v>
      </c>
      <c r="C1164" s="3">
        <v>48042</v>
      </c>
      <c r="D1164" s="5" t="str">
        <f>VLOOKUP(C1164, 'DICIONÁRIO CNAES'!$A:$B, 2, FALSE)</f>
        <v>Comércio de artigos do vestuário, complementos, calçados e artigos de viagem</v>
      </c>
      <c r="E1164" s="4">
        <v>66879.338467619993</v>
      </c>
      <c r="F1164" s="4">
        <v>79312955.936657861</v>
      </c>
    </row>
    <row r="1165" spans="1:6" x14ac:dyDescent="0.3">
      <c r="A1165" s="3" t="s">
        <v>11</v>
      </c>
      <c r="B1165" s="7" t="str">
        <f>VLOOKUP(VALUE(A1165), 'DICIONÁRIO UF'!$A:$B, 2, FALSE)</f>
        <v>Maranhão</v>
      </c>
      <c r="C1165" s="3">
        <v>48050</v>
      </c>
      <c r="D1165" s="5" t="str">
        <f>VLOOKUP(C1165, 'DICIONÁRIO CNAES'!$A:$B, 2, FALSE)</f>
        <v>Comércio de madeira, material de construção, ferragens e ferramentas</v>
      </c>
      <c r="E1165" s="4">
        <v>27412.097535559999</v>
      </c>
      <c r="F1165" s="4">
        <v>38451095.53659334</v>
      </c>
    </row>
    <row r="1166" spans="1:6" x14ac:dyDescent="0.3">
      <c r="A1166" s="3" t="s">
        <v>11</v>
      </c>
      <c r="B1166" s="7" t="str">
        <f>VLOOKUP(VALUE(A1166), 'DICIONÁRIO UF'!$A:$B, 2, FALSE)</f>
        <v>Maranhão</v>
      </c>
      <c r="C1166" s="3">
        <v>48060</v>
      </c>
      <c r="D1166" s="5" t="str">
        <f>VLOOKUP(C1166, 'DICIONÁRIO CNAES'!$A:$B, 2, FALSE)</f>
        <v>Comércio de combustíveis para veículos automotores</v>
      </c>
      <c r="E1166" s="4">
        <v>7584.8302539300003</v>
      </c>
      <c r="F1166" s="4">
        <v>9303063.0095896106</v>
      </c>
    </row>
    <row r="1167" spans="1:6" x14ac:dyDescent="0.3">
      <c r="A1167" s="3" t="s">
        <v>11</v>
      </c>
      <c r="B1167" s="7" t="str">
        <f>VLOOKUP(VALUE(A1167), 'DICIONÁRIO UF'!$A:$B, 2, FALSE)</f>
        <v>Maranhão</v>
      </c>
      <c r="C1167" s="3">
        <v>48071</v>
      </c>
      <c r="D1167" s="5" t="str">
        <f>VLOOKUP(C1167, 'DICIONÁRIO CNAES'!$A:$B, 2, FALSE)</f>
        <v>Comércio de produtos farmaceuticos, médicos, ortopédicos, odontológicos e de cosméticos e perfumaria</v>
      </c>
      <c r="E1167" s="4">
        <v>49972.37963055</v>
      </c>
      <c r="F1167" s="4">
        <v>61055436.173023902</v>
      </c>
    </row>
    <row r="1168" spans="1:6" x14ac:dyDescent="0.3">
      <c r="A1168" s="3" t="s">
        <v>11</v>
      </c>
      <c r="B1168" s="7" t="str">
        <f>VLOOKUP(VALUE(A1168), 'DICIONÁRIO UF'!$A:$B, 2, FALSE)</f>
        <v>Maranhão</v>
      </c>
      <c r="C1168" s="3">
        <v>48072</v>
      </c>
      <c r="D1168" s="5" t="str">
        <f>VLOOKUP(C1168, 'DICIONÁRIO CNAES'!$A:$B, 2, FALSE)</f>
        <v>Comércio de artigos de escritório e de papelaria; livros, jornais e outras publicações</v>
      </c>
      <c r="E1168" s="4">
        <v>4294.9542796899996</v>
      </c>
      <c r="F1168" s="4">
        <v>6514309.9838164998</v>
      </c>
    </row>
    <row r="1169" spans="1:6" x14ac:dyDescent="0.3">
      <c r="A1169" s="3" t="s">
        <v>11</v>
      </c>
      <c r="B1169" s="7" t="str">
        <f>VLOOKUP(VALUE(A1169), 'DICIONÁRIO UF'!$A:$B, 2, FALSE)</f>
        <v>Maranhão</v>
      </c>
      <c r="C1169" s="3">
        <v>48073</v>
      </c>
      <c r="D1169" s="5" t="str">
        <f>VLOOKUP(C1169, 'DICIONÁRIO CNAES'!$A:$B, 2, FALSE)</f>
        <v>Comércio de eletrodomésticos, móveis e outros artigos de residência</v>
      </c>
      <c r="E1169" s="4">
        <v>28277.129242380001</v>
      </c>
      <c r="F1169" s="4">
        <v>40693377.571029298</v>
      </c>
    </row>
    <row r="1170" spans="1:6" x14ac:dyDescent="0.3">
      <c r="A1170" s="3" t="s">
        <v>11</v>
      </c>
      <c r="B1170" s="7" t="str">
        <f>VLOOKUP(VALUE(A1170), 'DICIONÁRIO UF'!$A:$B, 2, FALSE)</f>
        <v>Maranhão</v>
      </c>
      <c r="C1170" s="3">
        <v>48074</v>
      </c>
      <c r="D1170" s="5" t="str">
        <f>VLOOKUP(C1170, 'DICIONÁRIO CNAES'!$A:$B, 2, FALSE)</f>
        <v>Comércio de equipamentos e produtos de tecnologias de informação e comunicação</v>
      </c>
      <c r="E1170" s="4">
        <v>3456.3399263699998</v>
      </c>
      <c r="F1170" s="4">
        <v>4385393.8699806901</v>
      </c>
    </row>
    <row r="1171" spans="1:6" x14ac:dyDescent="0.3">
      <c r="A1171" s="3" t="s">
        <v>11</v>
      </c>
      <c r="B1171" s="7" t="str">
        <f>VLOOKUP(VALUE(A1171), 'DICIONÁRIO UF'!$A:$B, 2, FALSE)</f>
        <v>Maranhão</v>
      </c>
      <c r="C1171" s="3">
        <v>48075</v>
      </c>
      <c r="D1171" s="5" t="str">
        <f>VLOOKUP(C1171, 'DICIONÁRIO CNAES'!$A:$B, 2, FALSE)</f>
        <v xml:space="preserve">Comércio de máquinas, aparelhos e equipamentos, exceto eletrodomésticos </v>
      </c>
      <c r="E1171" s="4">
        <v>2631.5823119900001</v>
      </c>
      <c r="F1171" s="4">
        <v>5271495.2999155</v>
      </c>
    </row>
    <row r="1172" spans="1:6" x14ac:dyDescent="0.3">
      <c r="A1172" s="3" t="s">
        <v>11</v>
      </c>
      <c r="B1172" s="7" t="str">
        <f>VLOOKUP(VALUE(A1172), 'DICIONÁRIO UF'!$A:$B, 2, FALSE)</f>
        <v>Maranhão</v>
      </c>
      <c r="C1172" s="3">
        <v>48076</v>
      </c>
      <c r="D1172" s="5" t="str">
        <f>VLOOKUP(C1172, 'DICIONÁRIO CNAES'!$A:$B, 2, FALSE)</f>
        <v>Comércio de combustíveis sólidos, líquidos e gasosos, exceto para veículos automotores</v>
      </c>
      <c r="E1172" s="4">
        <v>6064.8430109700003</v>
      </c>
      <c r="F1172" s="4">
        <v>7368383.1483677998</v>
      </c>
    </row>
    <row r="1173" spans="1:6" x14ac:dyDescent="0.3">
      <c r="A1173" s="3" t="s">
        <v>11</v>
      </c>
      <c r="B1173" s="7" t="str">
        <f>VLOOKUP(VALUE(A1173), 'DICIONÁRIO UF'!$A:$B, 2, FALSE)</f>
        <v>Maranhão</v>
      </c>
      <c r="C1173" s="3">
        <v>48077</v>
      </c>
      <c r="D1173" s="5" t="str">
        <f>VLOOKUP(C1173, 'DICIONÁRIO CNAES'!$A:$B, 2, FALSE)</f>
        <v>Comércio de produtos usados</v>
      </c>
      <c r="E1173" s="4">
        <v>1286.17463959</v>
      </c>
      <c r="F1173" s="4">
        <v>717508.825847</v>
      </c>
    </row>
    <row r="1174" spans="1:6" x14ac:dyDescent="0.3">
      <c r="A1174" s="3" t="s">
        <v>11</v>
      </c>
      <c r="B1174" s="7" t="str">
        <f>VLOOKUP(VALUE(A1174), 'DICIONÁRIO UF'!$A:$B, 2, FALSE)</f>
        <v>Maranhão</v>
      </c>
      <c r="C1174" s="3">
        <v>48078</v>
      </c>
      <c r="D1174" s="5" t="str">
        <f>VLOOKUP(C1174, 'DICIONÁRIO CNAES'!$A:$B, 2, FALSE)</f>
        <v>Comercio de residuos e sucatas</v>
      </c>
      <c r="E1174" s="4">
        <v>5074.4350884300002</v>
      </c>
      <c r="F1174" s="4">
        <v>2546462.1576255001</v>
      </c>
    </row>
    <row r="1175" spans="1:6" x14ac:dyDescent="0.3">
      <c r="A1175" s="3" t="s">
        <v>11</v>
      </c>
      <c r="B1175" s="7" t="str">
        <f>VLOOKUP(VALUE(A1175), 'DICIONÁRIO UF'!$A:$B, 2, FALSE)</f>
        <v>Maranhão</v>
      </c>
      <c r="C1175" s="3">
        <v>48079</v>
      </c>
      <c r="D1175" s="5" t="str">
        <f>VLOOKUP(C1175, 'DICIONÁRIO CNAES'!$A:$B, 2, FALSE)</f>
        <v>Comércio de produtos novos não especificados anteriormente</v>
      </c>
      <c r="E1175" s="4">
        <v>20362.61735266</v>
      </c>
      <c r="F1175" s="4">
        <v>35551863.98489815</v>
      </c>
    </row>
    <row r="1176" spans="1:6" x14ac:dyDescent="0.3">
      <c r="A1176" s="3" t="s">
        <v>11</v>
      </c>
      <c r="B1176" s="7" t="str">
        <f>VLOOKUP(VALUE(A1176), 'DICIONÁRIO UF'!$A:$B, 2, FALSE)</f>
        <v>Maranhão</v>
      </c>
      <c r="C1176" s="3">
        <v>48080</v>
      </c>
      <c r="D1176" s="5" t="str">
        <f>VLOOKUP(C1176, 'DICIONÁRIO CNAES'!$A:$B, 2, FALSE)</f>
        <v>Supermercado e hipermercado</v>
      </c>
      <c r="E1176" s="4">
        <v>44646.089</v>
      </c>
      <c r="F1176" s="4">
        <v>58703786.416866682</v>
      </c>
    </row>
    <row r="1177" spans="1:6" x14ac:dyDescent="0.3">
      <c r="A1177" s="3" t="s">
        <v>11</v>
      </c>
      <c r="B1177" s="7" t="str">
        <f>VLOOKUP(VALUE(A1177), 'DICIONÁRIO UF'!$A:$B, 2, FALSE)</f>
        <v>Maranhão</v>
      </c>
      <c r="C1177" s="3">
        <v>48090</v>
      </c>
      <c r="D1177" s="5" t="str">
        <f>VLOOKUP(C1177, 'DICIONÁRIO CNAES'!$A:$B, 2, FALSE)</f>
        <v>Lojas de departamento e outros comércios não especializados, sem predominância de produtos alimentícios</v>
      </c>
      <c r="E1177" s="4">
        <v>1588.7406758</v>
      </c>
      <c r="F1177" s="4">
        <v>1996034.7069709999</v>
      </c>
    </row>
    <row r="1178" spans="1:6" x14ac:dyDescent="0.3">
      <c r="A1178" s="3" t="s">
        <v>11</v>
      </c>
      <c r="B1178" s="7" t="str">
        <f>VLOOKUP(VALUE(A1178), 'DICIONÁRIO UF'!$A:$B, 2, FALSE)</f>
        <v>Maranhão</v>
      </c>
      <c r="C1178" s="3">
        <v>48100</v>
      </c>
      <c r="D1178" s="5" t="str">
        <f>VLOOKUP(C1178, 'DICIONÁRIO CNAES'!$A:$B, 2, FALSE)</f>
        <v>Comércio ambulante e feiras</v>
      </c>
      <c r="E1178" s="4">
        <v>20952.41773487</v>
      </c>
      <c r="F1178" s="4">
        <v>18877685.249339499</v>
      </c>
    </row>
    <row r="1179" spans="1:6" x14ac:dyDescent="0.3">
      <c r="A1179" s="3" t="s">
        <v>11</v>
      </c>
      <c r="B1179" s="7" t="str">
        <f>VLOOKUP(VALUE(A1179), 'DICIONÁRIO UF'!$A:$B, 2, FALSE)</f>
        <v>Maranhão</v>
      </c>
      <c r="C1179" s="3">
        <v>49010</v>
      </c>
      <c r="D1179" s="5" t="str">
        <f>VLOOKUP(C1179, 'DICIONÁRIO CNAES'!$A:$B, 2, FALSE)</f>
        <v>Transporte ferroviário e metroferroviário</v>
      </c>
      <c r="E1179" s="4">
        <v>394.89211669999997</v>
      </c>
      <c r="F1179" s="4">
        <v>1207056.0900256</v>
      </c>
    </row>
    <row r="1180" spans="1:6" x14ac:dyDescent="0.3">
      <c r="A1180" s="3" t="s">
        <v>11</v>
      </c>
      <c r="B1180" s="7" t="str">
        <f>VLOOKUP(VALUE(A1180), 'DICIONÁRIO UF'!$A:$B, 2, FALSE)</f>
        <v>Maranhão</v>
      </c>
      <c r="C1180" s="3">
        <v>49030</v>
      </c>
      <c r="D1180" s="5" t="str">
        <f>VLOOKUP(C1180, 'DICIONÁRIO CNAES'!$A:$B, 2, FALSE)</f>
        <v>Transporte rodoviário de passageiros</v>
      </c>
      <c r="E1180" s="4">
        <v>54500.391806539999</v>
      </c>
      <c r="F1180" s="4">
        <v>74526744.528739452</v>
      </c>
    </row>
    <row r="1181" spans="1:6" x14ac:dyDescent="0.3">
      <c r="A1181" s="3" t="s">
        <v>11</v>
      </c>
      <c r="B1181" s="7" t="str">
        <f>VLOOKUP(VALUE(A1181), 'DICIONÁRIO UF'!$A:$B, 2, FALSE)</f>
        <v>Maranhão</v>
      </c>
      <c r="C1181" s="3">
        <v>49040</v>
      </c>
      <c r="D1181" s="5" t="str">
        <f>VLOOKUP(C1181, 'DICIONÁRIO CNAES'!$A:$B, 2, FALSE)</f>
        <v>Transporte rodoviário de carga</v>
      </c>
      <c r="E1181" s="4">
        <v>33093.115120479997</v>
      </c>
      <c r="F1181" s="4">
        <v>54070815.560906611</v>
      </c>
    </row>
    <row r="1182" spans="1:6" x14ac:dyDescent="0.3">
      <c r="A1182" s="3" t="s">
        <v>11</v>
      </c>
      <c r="B1182" s="7" t="str">
        <f>VLOOKUP(VALUE(A1182), 'DICIONÁRIO UF'!$A:$B, 2, FALSE)</f>
        <v>Maranhão</v>
      </c>
      <c r="C1182" s="3">
        <v>50000</v>
      </c>
      <c r="D1182" s="5" t="str">
        <f>VLOOKUP(C1182, 'DICIONÁRIO CNAES'!$A:$B, 2, FALSE)</f>
        <v>Transporte Aquaviário</v>
      </c>
      <c r="E1182" s="4">
        <v>772.70463489999997</v>
      </c>
      <c r="F1182" s="4">
        <v>3732305.6086030002</v>
      </c>
    </row>
    <row r="1183" spans="1:6" x14ac:dyDescent="0.3">
      <c r="A1183" s="3" t="s">
        <v>11</v>
      </c>
      <c r="B1183" s="7" t="str">
        <f>VLOOKUP(VALUE(A1183), 'DICIONÁRIO UF'!$A:$B, 2, FALSE)</f>
        <v>Maranhão</v>
      </c>
      <c r="C1183" s="3">
        <v>51000</v>
      </c>
      <c r="D1183" s="5" t="str">
        <f>VLOOKUP(C1183, 'DICIONÁRIO CNAES'!$A:$B, 2, FALSE)</f>
        <v>Transporte Aéreo</v>
      </c>
      <c r="E1183" s="4">
        <v>768.68277579000005</v>
      </c>
      <c r="F1183" s="4">
        <v>2907974.2593120001</v>
      </c>
    </row>
    <row r="1184" spans="1:6" x14ac:dyDescent="0.3">
      <c r="A1184" s="3" t="s">
        <v>11</v>
      </c>
      <c r="B1184" s="7" t="str">
        <f>VLOOKUP(VALUE(A1184), 'DICIONÁRIO UF'!$A:$B, 2, FALSE)</f>
        <v>Maranhão</v>
      </c>
      <c r="C1184" s="3">
        <v>52010</v>
      </c>
      <c r="D1184" s="5" t="str">
        <f>VLOOKUP(C1184, 'DICIONÁRIO CNAES'!$A:$B, 2, FALSE)</f>
        <v>Armazenamento, carga e descarga</v>
      </c>
      <c r="E1184" s="4">
        <v>1486.96125553</v>
      </c>
      <c r="F1184" s="4">
        <v>1141713.478504</v>
      </c>
    </row>
    <row r="1185" spans="1:6" x14ac:dyDescent="0.3">
      <c r="A1185" s="3" t="s">
        <v>11</v>
      </c>
      <c r="B1185" s="7" t="str">
        <f>VLOOKUP(VALUE(A1185), 'DICIONÁRIO UF'!$A:$B, 2, FALSE)</f>
        <v>Maranhão</v>
      </c>
      <c r="C1185" s="3">
        <v>52020</v>
      </c>
      <c r="D1185" s="5" t="str">
        <f>VLOOKUP(C1185, 'DICIONÁRIO CNAES'!$A:$B, 2, FALSE)</f>
        <v xml:space="preserve">Atividades auxiliares dos transportes e atividades relacionadas à organização do transporte de carga </v>
      </c>
      <c r="E1185" s="4">
        <v>2625.8610765899998</v>
      </c>
      <c r="F1185" s="4">
        <v>11801843.122408999</v>
      </c>
    </row>
    <row r="1186" spans="1:6" x14ac:dyDescent="0.3">
      <c r="A1186" s="3" t="s">
        <v>11</v>
      </c>
      <c r="B1186" s="7" t="str">
        <f>VLOOKUP(VALUE(A1186), 'DICIONÁRIO UF'!$A:$B, 2, FALSE)</f>
        <v>Maranhão</v>
      </c>
      <c r="C1186" s="3">
        <v>53001</v>
      </c>
      <c r="D1186" s="5" t="str">
        <f>VLOOKUP(C1186, 'DICIONÁRIO CNAES'!$A:$B, 2, FALSE)</f>
        <v>Atividades de Correio</v>
      </c>
      <c r="E1186" s="4">
        <v>732.61643602999993</v>
      </c>
      <c r="F1186" s="4">
        <v>1700090.7272101999</v>
      </c>
    </row>
    <row r="1187" spans="1:6" x14ac:dyDescent="0.3">
      <c r="A1187" s="3" t="s">
        <v>11</v>
      </c>
      <c r="B1187" s="7" t="str">
        <f>VLOOKUP(VALUE(A1187), 'DICIONÁRIO UF'!$A:$B, 2, FALSE)</f>
        <v>Maranhão</v>
      </c>
      <c r="C1187" s="3">
        <v>53002</v>
      </c>
      <c r="D1187" s="5" t="str">
        <f>VLOOKUP(C1187, 'DICIONÁRIO CNAES'!$A:$B, 2, FALSE)</f>
        <v>Atividades de malote e de entrega</v>
      </c>
      <c r="E1187" s="4">
        <v>3518.8852406699998</v>
      </c>
      <c r="F1187" s="4">
        <v>3394448.1661224999</v>
      </c>
    </row>
    <row r="1188" spans="1:6" x14ac:dyDescent="0.3">
      <c r="A1188" s="3" t="s">
        <v>11</v>
      </c>
      <c r="B1188" s="7" t="str">
        <f>VLOOKUP(VALUE(A1188), 'DICIONÁRIO UF'!$A:$B, 2, FALSE)</f>
        <v>Maranhão</v>
      </c>
      <c r="C1188" s="3">
        <v>55000</v>
      </c>
      <c r="D1188" s="5" t="str">
        <f>VLOOKUP(C1188, 'DICIONÁRIO CNAES'!$A:$B, 2, FALSE)</f>
        <v>Alojamento</v>
      </c>
      <c r="E1188" s="4">
        <v>8147.0672561900001</v>
      </c>
      <c r="F1188" s="4">
        <v>8996580.4913702495</v>
      </c>
    </row>
    <row r="1189" spans="1:6" x14ac:dyDescent="0.3">
      <c r="A1189" s="3" t="s">
        <v>11</v>
      </c>
      <c r="B1189" s="7" t="str">
        <f>VLOOKUP(VALUE(A1189), 'DICIONÁRIO UF'!$A:$B, 2, FALSE)</f>
        <v>Maranhão</v>
      </c>
      <c r="C1189" s="3">
        <v>56011</v>
      </c>
      <c r="D1189" s="5" t="str">
        <f>VLOOKUP(C1189, 'DICIONÁRIO CNAES'!$A:$B, 2, FALSE)</f>
        <v>Restaurantes e outros estabelecimentos de serviços de alimentação e bebidas</v>
      </c>
      <c r="E1189" s="4">
        <v>90747.984352140003</v>
      </c>
      <c r="F1189" s="4">
        <v>109234339.77819709</v>
      </c>
    </row>
    <row r="1190" spans="1:6" x14ac:dyDescent="0.3">
      <c r="A1190" s="3" t="s">
        <v>11</v>
      </c>
      <c r="B1190" s="7" t="str">
        <f>VLOOKUP(VALUE(A1190), 'DICIONÁRIO UF'!$A:$B, 2, FALSE)</f>
        <v>Maranhão</v>
      </c>
      <c r="C1190" s="3">
        <v>56012</v>
      </c>
      <c r="D1190" s="5" t="str">
        <f>VLOOKUP(C1190, 'DICIONÁRIO CNAES'!$A:$B, 2, FALSE)</f>
        <v>Serviços de catering, bufê e outros serviços de comida preparada</v>
      </c>
      <c r="E1190" s="4">
        <v>19330.71222895</v>
      </c>
      <c r="F1190" s="4">
        <v>15200338.587184301</v>
      </c>
    </row>
    <row r="1191" spans="1:6" x14ac:dyDescent="0.3">
      <c r="A1191" s="3" t="s">
        <v>11</v>
      </c>
      <c r="B1191" s="7" t="str">
        <f>VLOOKUP(VALUE(A1191), 'DICIONÁRIO UF'!$A:$B, 2, FALSE)</f>
        <v>Maranhão</v>
      </c>
      <c r="C1191" s="3">
        <v>56020</v>
      </c>
      <c r="D1191" s="5" t="str">
        <f>VLOOKUP(C1191, 'DICIONÁRIO CNAES'!$A:$B, 2, FALSE)</f>
        <v>Serviços ambulantes de alimentação</v>
      </c>
      <c r="E1191" s="4">
        <v>10966.058714749999</v>
      </c>
      <c r="F1191" s="4">
        <v>7162506.0021096999</v>
      </c>
    </row>
    <row r="1192" spans="1:6" x14ac:dyDescent="0.3">
      <c r="A1192" s="3" t="s">
        <v>11</v>
      </c>
      <c r="B1192" s="7" t="str">
        <f>VLOOKUP(VALUE(A1192), 'DICIONÁRIO UF'!$A:$B, 2, FALSE)</f>
        <v>Maranhão</v>
      </c>
      <c r="C1192" s="3">
        <v>58000</v>
      </c>
      <c r="D1192" s="5" t="str">
        <f>VLOOKUP(C1192, 'DICIONÁRIO CNAES'!$A:$B, 2, FALSE)</f>
        <v xml:space="preserve">Edição e Edição integrada à impressão </v>
      </c>
      <c r="E1192" s="4">
        <v>497.01788234999998</v>
      </c>
      <c r="F1192" s="4">
        <v>1232019.0289070001</v>
      </c>
    </row>
    <row r="1193" spans="1:6" x14ac:dyDescent="0.3">
      <c r="A1193" s="3" t="s">
        <v>11</v>
      </c>
      <c r="B1193" s="7" t="str">
        <f>VLOOKUP(VALUE(A1193), 'DICIONÁRIO UF'!$A:$B, 2, FALSE)</f>
        <v>Maranhão</v>
      </c>
      <c r="C1193" s="3">
        <v>59000</v>
      </c>
      <c r="D1193" s="5" t="str">
        <f>VLOOKUP(C1193, 'DICIONÁRIO CNAES'!$A:$B, 2, FALSE)</f>
        <v>Atividades cinematográficas, produção de vídeos e de programas de televisão, gravação de som e de música</v>
      </c>
      <c r="E1193" s="4">
        <v>353.28389785000002</v>
      </c>
      <c r="F1193" s="4">
        <v>423940.67742000002</v>
      </c>
    </row>
    <row r="1194" spans="1:6" x14ac:dyDescent="0.3">
      <c r="A1194" s="3" t="s">
        <v>11</v>
      </c>
      <c r="B1194" s="7" t="str">
        <f>VLOOKUP(VALUE(A1194), 'DICIONÁRIO UF'!$A:$B, 2, FALSE)</f>
        <v>Maranhão</v>
      </c>
      <c r="C1194" s="3">
        <v>60001</v>
      </c>
      <c r="D1194" s="5" t="str">
        <f>VLOOKUP(C1194, 'DICIONÁRIO CNAES'!$A:$B, 2, FALSE)</f>
        <v>Atividades de rádio</v>
      </c>
      <c r="E1194" s="4">
        <v>906.12989512000001</v>
      </c>
      <c r="F1194" s="4">
        <v>1145273.6354425</v>
      </c>
    </row>
    <row r="1195" spans="1:6" x14ac:dyDescent="0.3">
      <c r="A1195" s="3" t="s">
        <v>11</v>
      </c>
      <c r="B1195" s="7" t="str">
        <f>VLOOKUP(VALUE(A1195), 'DICIONÁRIO UF'!$A:$B, 2, FALSE)</f>
        <v>Maranhão</v>
      </c>
      <c r="C1195" s="3">
        <v>60002</v>
      </c>
      <c r="D1195" s="5" t="str">
        <f>VLOOKUP(C1195, 'DICIONÁRIO CNAES'!$A:$B, 2, FALSE)</f>
        <v>Atividades de televisão</v>
      </c>
      <c r="E1195" s="4">
        <v>466.55148200999997</v>
      </c>
      <c r="F1195" s="4">
        <v>886447.81581899989</v>
      </c>
    </row>
    <row r="1196" spans="1:6" x14ac:dyDescent="0.3">
      <c r="A1196" s="3" t="s">
        <v>11</v>
      </c>
      <c r="B1196" s="7" t="str">
        <f>VLOOKUP(VALUE(A1196), 'DICIONÁRIO UF'!$A:$B, 2, FALSE)</f>
        <v>Maranhão</v>
      </c>
      <c r="C1196" s="3">
        <v>61000</v>
      </c>
      <c r="D1196" s="5" t="str">
        <f>VLOOKUP(C1196, 'DICIONÁRIO CNAES'!$A:$B, 2, FALSE)</f>
        <v>Telecomunicações</v>
      </c>
      <c r="E1196" s="4">
        <v>9847.6083408800005</v>
      </c>
      <c r="F1196" s="4">
        <v>13860936.324936001</v>
      </c>
    </row>
    <row r="1197" spans="1:6" x14ac:dyDescent="0.3">
      <c r="A1197" s="3" t="s">
        <v>11</v>
      </c>
      <c r="B1197" s="7" t="str">
        <f>VLOOKUP(VALUE(A1197), 'DICIONÁRIO UF'!$A:$B, 2, FALSE)</f>
        <v>Maranhão</v>
      </c>
      <c r="C1197" s="3">
        <v>62000</v>
      </c>
      <c r="D1197" s="5" t="str">
        <f>VLOOKUP(C1197, 'DICIONÁRIO CNAES'!$A:$B, 2, FALSE)</f>
        <v>Atividades dos serviços de tecnologia da informação</v>
      </c>
      <c r="E1197" s="4">
        <v>4418.0936912299994</v>
      </c>
      <c r="F1197" s="4">
        <v>16975114.377818</v>
      </c>
    </row>
    <row r="1198" spans="1:6" x14ac:dyDescent="0.3">
      <c r="A1198" s="3" t="s">
        <v>11</v>
      </c>
      <c r="B1198" s="7" t="str">
        <f>VLOOKUP(VALUE(A1198), 'DICIONÁRIO UF'!$A:$B, 2, FALSE)</f>
        <v>Maranhão</v>
      </c>
      <c r="C1198" s="3">
        <v>63000</v>
      </c>
      <c r="D1198" s="5" t="str">
        <f>VLOOKUP(C1198, 'DICIONÁRIO CNAES'!$A:$B, 2, FALSE)</f>
        <v>Atividades de prestação de serviços de informação</v>
      </c>
      <c r="E1198" s="4">
        <v>318.78660474999998</v>
      </c>
      <c r="F1198" s="4">
        <v>382543.92570000002</v>
      </c>
    </row>
    <row r="1199" spans="1:6" x14ac:dyDescent="0.3">
      <c r="A1199" s="3" t="s">
        <v>11</v>
      </c>
      <c r="B1199" s="7" t="str">
        <f>VLOOKUP(VALUE(A1199), 'DICIONÁRIO UF'!$A:$B, 2, FALSE)</f>
        <v>Maranhão</v>
      </c>
      <c r="C1199" s="3">
        <v>64000</v>
      </c>
      <c r="D1199" s="5" t="str">
        <f>VLOOKUP(C1199, 'DICIONÁRIO CNAES'!$A:$B, 2, FALSE)</f>
        <v>Serviços financeiros</v>
      </c>
      <c r="E1199" s="4">
        <v>10679.81887067</v>
      </c>
      <c r="F1199" s="4">
        <v>28100232.498221502</v>
      </c>
    </row>
    <row r="1200" spans="1:6" x14ac:dyDescent="0.3">
      <c r="A1200" s="3" t="s">
        <v>11</v>
      </c>
      <c r="B1200" s="7" t="str">
        <f>VLOOKUP(VALUE(A1200), 'DICIONÁRIO UF'!$A:$B, 2, FALSE)</f>
        <v>Maranhão</v>
      </c>
      <c r="C1200" s="3">
        <v>65000</v>
      </c>
      <c r="D1200" s="5" t="str">
        <f>VLOOKUP(C1200, 'DICIONÁRIO CNAES'!$A:$B, 2, FALSE)</f>
        <v>Seguros e previdência privada</v>
      </c>
      <c r="E1200" s="4">
        <v>1472.7437978600001</v>
      </c>
      <c r="F1200" s="4">
        <v>1805365.697096</v>
      </c>
    </row>
    <row r="1201" spans="1:6" x14ac:dyDescent="0.3">
      <c r="A1201" s="3" t="s">
        <v>11</v>
      </c>
      <c r="B1201" s="7" t="str">
        <f>VLOOKUP(VALUE(A1201), 'DICIONÁRIO UF'!$A:$B, 2, FALSE)</f>
        <v>Maranhão</v>
      </c>
      <c r="C1201" s="3">
        <v>66001</v>
      </c>
      <c r="D1201" s="5" t="str">
        <f>VLOOKUP(C1201, 'DICIONÁRIO CNAES'!$A:$B, 2, FALSE)</f>
        <v>Atividades auxiliares dos serviços financeiros</v>
      </c>
      <c r="E1201" s="4">
        <v>377.03518530999997</v>
      </c>
      <c r="F1201" s="4">
        <v>443851.21687000012</v>
      </c>
    </row>
    <row r="1202" spans="1:6" x14ac:dyDescent="0.3">
      <c r="A1202" s="3" t="s">
        <v>11</v>
      </c>
      <c r="B1202" s="7" t="str">
        <f>VLOOKUP(VALUE(A1202), 'DICIONÁRIO UF'!$A:$B, 2, FALSE)</f>
        <v>Maranhão</v>
      </c>
      <c r="C1202" s="3">
        <v>66002</v>
      </c>
      <c r="D1202" s="5" t="str">
        <f>VLOOKUP(C1202, 'DICIONÁRIO CNAES'!$A:$B, 2, FALSE)</f>
        <v>Atividades auxiliares dos seguros, da previdência complementar e dos planos de saúde</v>
      </c>
      <c r="E1202" s="4">
        <v>1724.5524158799999</v>
      </c>
      <c r="F1202" s="4">
        <v>1422755.7431010001</v>
      </c>
    </row>
    <row r="1203" spans="1:6" x14ac:dyDescent="0.3">
      <c r="A1203" s="3" t="s">
        <v>11</v>
      </c>
      <c r="B1203" s="7" t="str">
        <f>VLOOKUP(VALUE(A1203), 'DICIONÁRIO UF'!$A:$B, 2, FALSE)</f>
        <v>Maranhão</v>
      </c>
      <c r="C1203" s="3">
        <v>68000</v>
      </c>
      <c r="D1203" s="5" t="str">
        <f>VLOOKUP(C1203, 'DICIONÁRIO CNAES'!$A:$B, 2, FALSE)</f>
        <v>Atividades imobiliárias</v>
      </c>
      <c r="E1203" s="4">
        <v>7943.5893337300004</v>
      </c>
      <c r="F1203" s="4">
        <v>21139532.209782001</v>
      </c>
    </row>
    <row r="1204" spans="1:6" x14ac:dyDescent="0.3">
      <c r="A1204" s="3" t="s">
        <v>11</v>
      </c>
      <c r="B1204" s="7" t="str">
        <f>VLOOKUP(VALUE(A1204), 'DICIONÁRIO UF'!$A:$B, 2, FALSE)</f>
        <v>Maranhão</v>
      </c>
      <c r="C1204" s="3">
        <v>69000</v>
      </c>
      <c r="D1204" s="5" t="str">
        <f>VLOOKUP(C1204, 'DICIONÁRIO CNAES'!$A:$B, 2, FALSE)</f>
        <v xml:space="preserve">Atividades jurídicas, de contabilidade e de auditoria </v>
      </c>
      <c r="E1204" s="4">
        <v>20238.844670390001</v>
      </c>
      <c r="F1204" s="4">
        <v>50434289.371253997</v>
      </c>
    </row>
    <row r="1205" spans="1:6" x14ac:dyDescent="0.3">
      <c r="A1205" s="3" t="s">
        <v>11</v>
      </c>
      <c r="B1205" s="7" t="str">
        <f>VLOOKUP(VALUE(A1205), 'DICIONÁRIO UF'!$A:$B, 2, FALSE)</f>
        <v>Maranhão</v>
      </c>
      <c r="C1205" s="3">
        <v>70000</v>
      </c>
      <c r="D1205" s="5" t="str">
        <f>VLOOKUP(C1205, 'DICIONÁRIO CNAES'!$A:$B, 2, FALSE)</f>
        <v>Atividades de consultoria em gestão empresarial</v>
      </c>
      <c r="E1205" s="4">
        <v>1395.0813728099999</v>
      </c>
      <c r="F1205" s="4">
        <v>2984165.867325</v>
      </c>
    </row>
    <row r="1206" spans="1:6" x14ac:dyDescent="0.3">
      <c r="A1206" s="3" t="s">
        <v>11</v>
      </c>
      <c r="B1206" s="7" t="str">
        <f>VLOOKUP(VALUE(A1206), 'DICIONÁRIO UF'!$A:$B, 2, FALSE)</f>
        <v>Maranhão</v>
      </c>
      <c r="C1206" s="3">
        <v>71000</v>
      </c>
      <c r="D1206" s="5" t="str">
        <f>VLOOKUP(C1206, 'DICIONÁRIO CNAES'!$A:$B, 2, FALSE)</f>
        <v>Serviços de arquitetura e engenharia e atividades técnicas relacionadas; Testes e análises técnicas</v>
      </c>
      <c r="E1206" s="4">
        <v>9243.2028520500007</v>
      </c>
      <c r="F1206" s="4">
        <v>21742484.991126999</v>
      </c>
    </row>
    <row r="1207" spans="1:6" x14ac:dyDescent="0.3">
      <c r="A1207" s="3" t="s">
        <v>11</v>
      </c>
      <c r="B1207" s="7" t="str">
        <f>VLOOKUP(VALUE(A1207), 'DICIONÁRIO UF'!$A:$B, 2, FALSE)</f>
        <v>Maranhão</v>
      </c>
      <c r="C1207" s="3">
        <v>72000</v>
      </c>
      <c r="D1207" s="5" t="str">
        <f>VLOOKUP(C1207, 'DICIONÁRIO CNAES'!$A:$B, 2, FALSE)</f>
        <v>Pesquisa e desenvolvimento científico</v>
      </c>
      <c r="E1207" s="4">
        <v>258.28820887000001</v>
      </c>
      <c r="F1207" s="4">
        <v>645720.52217500005</v>
      </c>
    </row>
    <row r="1208" spans="1:6" x14ac:dyDescent="0.3">
      <c r="A1208" s="3" t="s">
        <v>11</v>
      </c>
      <c r="B1208" s="7" t="str">
        <f>VLOOKUP(VALUE(A1208), 'DICIONÁRIO UF'!$A:$B, 2, FALSE)</f>
        <v>Maranhão</v>
      </c>
      <c r="C1208" s="3">
        <v>73010</v>
      </c>
      <c r="D1208" s="5" t="str">
        <f>VLOOKUP(C1208, 'DICIONÁRIO CNAES'!$A:$B, 2, FALSE)</f>
        <v>Publicidade</v>
      </c>
      <c r="E1208" s="4">
        <v>3602.2774146900001</v>
      </c>
      <c r="F1208" s="4">
        <v>3843531.7162350002</v>
      </c>
    </row>
    <row r="1209" spans="1:6" x14ac:dyDescent="0.3">
      <c r="A1209" s="3" t="s">
        <v>11</v>
      </c>
      <c r="B1209" s="7" t="str">
        <f>VLOOKUP(VALUE(A1209), 'DICIONÁRIO UF'!$A:$B, 2, FALSE)</f>
        <v>Maranhão</v>
      </c>
      <c r="C1209" s="3">
        <v>74000</v>
      </c>
      <c r="D1209" s="5" t="str">
        <f>VLOOKUP(C1209, 'DICIONÁRIO CNAES'!$A:$B, 2, FALSE)</f>
        <v>Outras atividades profissionais, científicas e técnicas não especificadas anteriormente</v>
      </c>
      <c r="E1209" s="4">
        <v>3862.5931869400001</v>
      </c>
      <c r="F1209" s="4">
        <v>13601185.706401</v>
      </c>
    </row>
    <row r="1210" spans="1:6" x14ac:dyDescent="0.3">
      <c r="A1210" s="3" t="s">
        <v>11</v>
      </c>
      <c r="B1210" s="7" t="str">
        <f>VLOOKUP(VALUE(A1210), 'DICIONÁRIO UF'!$A:$B, 2, FALSE)</f>
        <v>Maranhão</v>
      </c>
      <c r="C1210" s="3">
        <v>75000</v>
      </c>
      <c r="D1210" s="5" t="str">
        <f>VLOOKUP(C1210, 'DICIONÁRIO CNAES'!$A:$B, 2, FALSE)</f>
        <v>Atividades veterinárias</v>
      </c>
      <c r="E1210" s="4">
        <v>1001.77490072</v>
      </c>
      <c r="F1210" s="4">
        <v>2827816.3754949998</v>
      </c>
    </row>
    <row r="1211" spans="1:6" x14ac:dyDescent="0.3">
      <c r="A1211" s="3" t="s">
        <v>11</v>
      </c>
      <c r="B1211" s="7" t="str">
        <f>VLOOKUP(VALUE(A1211), 'DICIONÁRIO UF'!$A:$B, 2, FALSE)</f>
        <v>Maranhão</v>
      </c>
      <c r="C1211" s="3">
        <v>77010</v>
      </c>
      <c r="D1211" s="5" t="str">
        <f>VLOOKUP(C1211, 'DICIONÁRIO CNAES'!$A:$B, 2, FALSE)</f>
        <v>Aluguel de objetos pessoais e domésticos</v>
      </c>
      <c r="E1211" s="4">
        <v>1231.0618574800001</v>
      </c>
      <c r="F1211" s="4">
        <v>716626.91758399992</v>
      </c>
    </row>
    <row r="1212" spans="1:6" x14ac:dyDescent="0.3">
      <c r="A1212" s="3" t="s">
        <v>11</v>
      </c>
      <c r="B1212" s="7" t="str">
        <f>VLOOKUP(VALUE(A1212), 'DICIONÁRIO UF'!$A:$B, 2, FALSE)</f>
        <v>Maranhão</v>
      </c>
      <c r="C1212" s="3">
        <v>77020</v>
      </c>
      <c r="D1212" s="5" t="str">
        <f>VLOOKUP(C1212, 'DICIONÁRIO CNAES'!$A:$B, 2, FALSE)</f>
        <v>Aluguel de meios de transportes, maquinas e equipamentos sem operador e gestão de ativos intangíveis não financeiros</v>
      </c>
      <c r="E1212" s="4">
        <v>912.34460138999998</v>
      </c>
      <c r="F1212" s="4">
        <v>1084190.1325435</v>
      </c>
    </row>
    <row r="1213" spans="1:6" x14ac:dyDescent="0.3">
      <c r="A1213" s="3" t="s">
        <v>11</v>
      </c>
      <c r="B1213" s="7" t="str">
        <f>VLOOKUP(VALUE(A1213), 'DICIONÁRIO UF'!$A:$B, 2, FALSE)</f>
        <v>Maranhão</v>
      </c>
      <c r="C1213" s="3">
        <v>78000</v>
      </c>
      <c r="D1213" s="5" t="str">
        <f>VLOOKUP(C1213, 'DICIONÁRIO CNAES'!$A:$B, 2, FALSE)</f>
        <v>Seleção, agenciamento e locação de mão-de-obra</v>
      </c>
      <c r="E1213" s="4">
        <v>9817.867674340001</v>
      </c>
      <c r="F1213" s="4">
        <v>14689061.906375051</v>
      </c>
    </row>
    <row r="1214" spans="1:6" x14ac:dyDescent="0.3">
      <c r="A1214" s="3" t="s">
        <v>11</v>
      </c>
      <c r="B1214" s="7" t="str">
        <f>VLOOKUP(VALUE(A1214), 'DICIONÁRIO UF'!$A:$B, 2, FALSE)</f>
        <v>Maranhão</v>
      </c>
      <c r="C1214" s="3">
        <v>79000</v>
      </c>
      <c r="D1214" s="5" t="str">
        <f>VLOOKUP(C1214, 'DICIONÁRIO CNAES'!$A:$B, 2, FALSE)</f>
        <v>Agências de viagens, operadores turísticos e serviços de reservas</v>
      </c>
      <c r="E1214" s="4">
        <v>1427.74386473</v>
      </c>
      <c r="F1214" s="4">
        <v>2927609.8664890002</v>
      </c>
    </row>
    <row r="1215" spans="1:6" x14ac:dyDescent="0.3">
      <c r="A1215" s="3" t="s">
        <v>11</v>
      </c>
      <c r="B1215" s="7" t="str">
        <f>VLOOKUP(VALUE(A1215), 'DICIONÁRIO UF'!$A:$B, 2, FALSE)</f>
        <v>Maranhão</v>
      </c>
      <c r="C1215" s="3">
        <v>80000</v>
      </c>
      <c r="D1215" s="5" t="str">
        <f>VLOOKUP(C1215, 'DICIONÁRIO CNAES'!$A:$B, 2, FALSE)</f>
        <v>Atividades de vigilância, segurança, transporte de valores e investigação</v>
      </c>
      <c r="E1215" s="4">
        <v>19813.488819810002</v>
      </c>
      <c r="F1215" s="4">
        <v>27892782.950156581</v>
      </c>
    </row>
    <row r="1216" spans="1:6" x14ac:dyDescent="0.3">
      <c r="A1216" s="3" t="s">
        <v>11</v>
      </c>
      <c r="B1216" s="7" t="str">
        <f>VLOOKUP(VALUE(A1216), 'DICIONÁRIO UF'!$A:$B, 2, FALSE)</f>
        <v>Maranhão</v>
      </c>
      <c r="C1216" s="3">
        <v>81011</v>
      </c>
      <c r="D1216" s="5" t="str">
        <f>VLOOKUP(C1216, 'DICIONÁRIO CNAES'!$A:$B, 2, FALSE)</f>
        <v>Serviços de limpeza e de apoio a edifícios, exceto condomínios prediais</v>
      </c>
      <c r="E1216" s="4">
        <v>17835.247692280002</v>
      </c>
      <c r="F1216" s="4">
        <v>15328261.317486299</v>
      </c>
    </row>
    <row r="1217" spans="1:6" x14ac:dyDescent="0.3">
      <c r="A1217" s="3" t="s">
        <v>11</v>
      </c>
      <c r="B1217" s="7" t="str">
        <f>VLOOKUP(VALUE(A1217), 'DICIONÁRIO UF'!$A:$B, 2, FALSE)</f>
        <v>Maranhão</v>
      </c>
      <c r="C1217" s="3">
        <v>81012</v>
      </c>
      <c r="D1217" s="5" t="str">
        <f>VLOOKUP(C1217, 'DICIONÁRIO CNAES'!$A:$B, 2, FALSE)</f>
        <v>Condomínios prediais</v>
      </c>
      <c r="E1217" s="4">
        <v>1946.56383005</v>
      </c>
      <c r="F1217" s="4">
        <v>2689721.6179149998</v>
      </c>
    </row>
    <row r="1218" spans="1:6" x14ac:dyDescent="0.3">
      <c r="A1218" s="3" t="s">
        <v>11</v>
      </c>
      <c r="B1218" s="7" t="str">
        <f>VLOOKUP(VALUE(A1218), 'DICIONÁRIO UF'!$A:$B, 2, FALSE)</f>
        <v>Maranhão</v>
      </c>
      <c r="C1218" s="3">
        <v>81020</v>
      </c>
      <c r="D1218" s="5" t="str">
        <f>VLOOKUP(C1218, 'DICIONÁRIO CNAES'!$A:$B, 2, FALSE)</f>
        <v>Atividades paisagísticas</v>
      </c>
      <c r="E1218" s="4">
        <v>609.75897961999999</v>
      </c>
      <c r="F1218" s="4">
        <v>506664.18057700002</v>
      </c>
    </row>
    <row r="1219" spans="1:6" x14ac:dyDescent="0.3">
      <c r="A1219" s="3" t="s">
        <v>11</v>
      </c>
      <c r="B1219" s="7" t="str">
        <f>VLOOKUP(VALUE(A1219), 'DICIONÁRIO UF'!$A:$B, 2, FALSE)</f>
        <v>Maranhão</v>
      </c>
      <c r="C1219" s="3">
        <v>82001</v>
      </c>
      <c r="D1219" s="5" t="str">
        <f>VLOOKUP(C1219, 'DICIONÁRIO CNAES'!$A:$B, 2, FALSE)</f>
        <v>Serviços de escritório e apoio administrativo</v>
      </c>
      <c r="E1219" s="4">
        <v>719.07901000000004</v>
      </c>
      <c r="F1219" s="4">
        <v>1097687.2480776601</v>
      </c>
    </row>
    <row r="1220" spans="1:6" x14ac:dyDescent="0.3">
      <c r="A1220" s="3" t="s">
        <v>11</v>
      </c>
      <c r="B1220" s="7" t="str">
        <f>VLOOKUP(VALUE(A1220), 'DICIONÁRIO UF'!$A:$B, 2, FALSE)</f>
        <v>Maranhão</v>
      </c>
      <c r="C1220" s="3">
        <v>82002</v>
      </c>
      <c r="D1220" s="5" t="str">
        <f>VLOOKUP(C1220, 'DICIONÁRIO CNAES'!$A:$B, 2, FALSE)</f>
        <v>Atividades de teleatendimento</v>
      </c>
      <c r="E1220" s="4">
        <v>3197.0542658200002</v>
      </c>
      <c r="F1220" s="4">
        <v>5238371.4318995001</v>
      </c>
    </row>
    <row r="1221" spans="1:6" x14ac:dyDescent="0.3">
      <c r="A1221" s="3" t="s">
        <v>11</v>
      </c>
      <c r="B1221" s="7" t="str">
        <f>VLOOKUP(VALUE(A1221), 'DICIONÁRIO UF'!$A:$B, 2, FALSE)</f>
        <v>Maranhão</v>
      </c>
      <c r="C1221" s="3">
        <v>82003</v>
      </c>
      <c r="D1221" s="5" t="str">
        <f>VLOOKUP(C1221, 'DICIONÁRIO CNAES'!$A:$B, 2, FALSE)</f>
        <v>Atividades de organização de eventos, exceto culturais e esportivos</v>
      </c>
      <c r="E1221" s="4">
        <v>755.64601343000004</v>
      </c>
      <c r="F1221" s="4">
        <v>764708.33223850001</v>
      </c>
    </row>
    <row r="1222" spans="1:6" x14ac:dyDescent="0.3">
      <c r="A1222" s="3" t="s">
        <v>11</v>
      </c>
      <c r="B1222" s="7" t="str">
        <f>VLOOKUP(VALUE(A1222), 'DICIONÁRIO UF'!$A:$B, 2, FALSE)</f>
        <v>Maranhão</v>
      </c>
      <c r="C1222" s="3">
        <v>82009</v>
      </c>
      <c r="D1222" s="5" t="str">
        <f>VLOOKUP(C1222, 'DICIONÁRIO CNAES'!$A:$B, 2, FALSE)</f>
        <v>Outras atividades de serviços prestados principalmente às empresas</v>
      </c>
      <c r="E1222" s="4">
        <v>5548.2337957099999</v>
      </c>
      <c r="F1222" s="4">
        <v>5122148.3086520014</v>
      </c>
    </row>
    <row r="1223" spans="1:6" x14ac:dyDescent="0.3">
      <c r="A1223" s="3" t="s">
        <v>11</v>
      </c>
      <c r="B1223" s="7" t="str">
        <f>VLOOKUP(VALUE(A1223), 'DICIONÁRIO UF'!$A:$B, 2, FALSE)</f>
        <v>Maranhão</v>
      </c>
      <c r="C1223" s="3">
        <v>84011</v>
      </c>
      <c r="D1223" s="5" t="str">
        <f>VLOOKUP(C1223, 'DICIONÁRIO CNAES'!$A:$B, 2, FALSE)</f>
        <v>Administração publica e regulação da política econômica e social - Federal</v>
      </c>
      <c r="E1223" s="4">
        <v>5422.2020446699999</v>
      </c>
      <c r="F1223" s="4">
        <v>39766570.919703178</v>
      </c>
    </row>
    <row r="1224" spans="1:6" x14ac:dyDescent="0.3">
      <c r="A1224" s="3" t="s">
        <v>11</v>
      </c>
      <c r="B1224" s="7" t="str">
        <f>VLOOKUP(VALUE(A1224), 'DICIONÁRIO UF'!$A:$B, 2, FALSE)</f>
        <v>Maranhão</v>
      </c>
      <c r="C1224" s="3">
        <v>84012</v>
      </c>
      <c r="D1224" s="5" t="str">
        <f>VLOOKUP(C1224, 'DICIONÁRIO CNAES'!$A:$B, 2, FALSE)</f>
        <v>Administração publica e regulação da política econômica e social - Estadual</v>
      </c>
      <c r="E1224" s="4">
        <v>16133.35323936</v>
      </c>
      <c r="F1224" s="4">
        <v>46204994.142061301</v>
      </c>
    </row>
    <row r="1225" spans="1:6" x14ac:dyDescent="0.3">
      <c r="A1225" s="3" t="s">
        <v>11</v>
      </c>
      <c r="B1225" s="7" t="str">
        <f>VLOOKUP(VALUE(A1225), 'DICIONÁRIO UF'!$A:$B, 2, FALSE)</f>
        <v>Maranhão</v>
      </c>
      <c r="C1225" s="3">
        <v>84013</v>
      </c>
      <c r="D1225" s="5" t="str">
        <f>VLOOKUP(C1225, 'DICIONÁRIO CNAES'!$A:$B, 2, FALSE)</f>
        <v>Administração publica e regulação da política econômica e social - Municipal</v>
      </c>
      <c r="E1225" s="4">
        <v>85244.207385810005</v>
      </c>
      <c r="F1225" s="4">
        <v>150888001.91749319</v>
      </c>
    </row>
    <row r="1226" spans="1:6" x14ac:dyDescent="0.3">
      <c r="A1226" s="3" t="s">
        <v>11</v>
      </c>
      <c r="B1226" s="7" t="str">
        <f>VLOOKUP(VALUE(A1226), 'DICIONÁRIO UF'!$A:$B, 2, FALSE)</f>
        <v>Maranhão</v>
      </c>
      <c r="C1226" s="3">
        <v>84014</v>
      </c>
      <c r="D1226" s="5" t="str">
        <f>VLOOKUP(C1226, 'DICIONÁRIO CNAES'!$A:$B, 2, FALSE)</f>
        <v>Defesa</v>
      </c>
      <c r="E1226" s="4">
        <v>2239.12214098</v>
      </c>
      <c r="F1226" s="4">
        <v>5027724.1827079998</v>
      </c>
    </row>
    <row r="1227" spans="1:6" x14ac:dyDescent="0.3">
      <c r="A1227" s="3" t="s">
        <v>11</v>
      </c>
      <c r="B1227" s="7" t="str">
        <f>VLOOKUP(VALUE(A1227), 'DICIONÁRIO UF'!$A:$B, 2, FALSE)</f>
        <v>Maranhão</v>
      </c>
      <c r="C1227" s="3">
        <v>84015</v>
      </c>
      <c r="D1227" s="5" t="str">
        <f>VLOOKUP(C1227, 'DICIONÁRIO CNAES'!$A:$B, 2, FALSE)</f>
        <v>Outros serviços coletivos prestados pela administração pública - Federal</v>
      </c>
      <c r="E1227" s="4">
        <v>325.33380462000002</v>
      </c>
      <c r="F1227" s="4">
        <v>4880007.0693000006</v>
      </c>
    </row>
    <row r="1228" spans="1:6" x14ac:dyDescent="0.3">
      <c r="A1228" s="3" t="s">
        <v>11</v>
      </c>
      <c r="B1228" s="7" t="str">
        <f>VLOOKUP(VALUE(A1228), 'DICIONÁRIO UF'!$A:$B, 2, FALSE)</f>
        <v>Maranhão</v>
      </c>
      <c r="C1228" s="3">
        <v>84016</v>
      </c>
      <c r="D1228" s="5" t="str">
        <f>VLOOKUP(C1228, 'DICIONÁRIO CNAES'!$A:$B, 2, FALSE)</f>
        <v>Outros serviços coletivos prestados pela administração pública - Estadual</v>
      </c>
      <c r="E1228" s="4">
        <v>30712.000210720002</v>
      </c>
      <c r="F1228" s="4">
        <v>169729542.28288001</v>
      </c>
    </row>
    <row r="1229" spans="1:6" x14ac:dyDescent="0.3">
      <c r="A1229" s="3" t="s">
        <v>11</v>
      </c>
      <c r="B1229" s="7" t="str">
        <f>VLOOKUP(VALUE(A1229), 'DICIONÁRIO UF'!$A:$B, 2, FALSE)</f>
        <v>Maranhão</v>
      </c>
      <c r="C1229" s="3">
        <v>84017</v>
      </c>
      <c r="D1229" s="5" t="str">
        <f>VLOOKUP(C1229, 'DICIONÁRIO CNAES'!$A:$B, 2, FALSE)</f>
        <v>Outros serviços coletivos prestados pela administração pública - Municipal</v>
      </c>
      <c r="E1229" s="4">
        <v>1924.9232809800001</v>
      </c>
      <c r="F1229" s="4">
        <v>3671086.5854908</v>
      </c>
    </row>
    <row r="1230" spans="1:6" x14ac:dyDescent="0.3">
      <c r="A1230" s="3" t="s">
        <v>11</v>
      </c>
      <c r="B1230" s="7" t="str">
        <f>VLOOKUP(VALUE(A1230), 'DICIONÁRIO UF'!$A:$B, 2, FALSE)</f>
        <v>Maranhão</v>
      </c>
      <c r="C1230" s="3">
        <v>84020</v>
      </c>
      <c r="D1230" s="5" t="str">
        <f>VLOOKUP(C1230, 'DICIONÁRIO CNAES'!$A:$B, 2, FALSE)</f>
        <v>Seguridade social obrigatória</v>
      </c>
      <c r="E1230" s="4">
        <v>474.28535454000001</v>
      </c>
      <c r="F1230" s="4">
        <v>865188.08280119998</v>
      </c>
    </row>
    <row r="1231" spans="1:6" x14ac:dyDescent="0.3">
      <c r="A1231" s="3" t="s">
        <v>11</v>
      </c>
      <c r="B1231" s="7" t="str">
        <f>VLOOKUP(VALUE(A1231), 'DICIONÁRIO UF'!$A:$B, 2, FALSE)</f>
        <v>Maranhão</v>
      </c>
      <c r="C1231" s="3">
        <v>85011</v>
      </c>
      <c r="D1231" s="5" t="str">
        <f>VLOOKUP(C1231, 'DICIONÁRIO CNAES'!$A:$B, 2, FALSE)</f>
        <v>Creche</v>
      </c>
      <c r="E1231" s="4">
        <v>10296.63657085</v>
      </c>
      <c r="F1231" s="4">
        <v>12228554.195270739</v>
      </c>
    </row>
    <row r="1232" spans="1:6" x14ac:dyDescent="0.3">
      <c r="A1232" s="3" t="s">
        <v>11</v>
      </c>
      <c r="B1232" s="7" t="str">
        <f>VLOOKUP(VALUE(A1232), 'DICIONÁRIO UF'!$A:$B, 2, FALSE)</f>
        <v>Maranhão</v>
      </c>
      <c r="C1232" s="3">
        <v>85012</v>
      </c>
      <c r="D1232" s="5" t="str">
        <f>VLOOKUP(C1232, 'DICIONÁRIO CNAES'!$A:$B, 2, FALSE)</f>
        <v>Pré-escola e ensino fundamental</v>
      </c>
      <c r="E1232" s="4">
        <v>145310.43212926999</v>
      </c>
      <c r="F1232" s="4">
        <v>300646702.4446581</v>
      </c>
    </row>
    <row r="1233" spans="1:6" x14ac:dyDescent="0.3">
      <c r="A1233" s="3" t="s">
        <v>11</v>
      </c>
      <c r="B1233" s="7" t="str">
        <f>VLOOKUP(VALUE(A1233), 'DICIONÁRIO UF'!$A:$B, 2, FALSE)</f>
        <v>Maranhão</v>
      </c>
      <c r="C1233" s="3">
        <v>85013</v>
      </c>
      <c r="D1233" s="5" t="str">
        <f>VLOOKUP(C1233, 'DICIONÁRIO CNAES'!$A:$B, 2, FALSE)</f>
        <v>Ensino médio</v>
      </c>
      <c r="E1233" s="4">
        <v>21286.954103619999</v>
      </c>
      <c r="F1233" s="4">
        <v>89157659.763556272</v>
      </c>
    </row>
    <row r="1234" spans="1:6" x14ac:dyDescent="0.3">
      <c r="A1234" s="3" t="s">
        <v>11</v>
      </c>
      <c r="B1234" s="7" t="str">
        <f>VLOOKUP(VALUE(A1234), 'DICIONÁRIO UF'!$A:$B, 2, FALSE)</f>
        <v>Maranhão</v>
      </c>
      <c r="C1234" s="3">
        <v>85014</v>
      </c>
      <c r="D1234" s="5" t="str">
        <f>VLOOKUP(C1234, 'DICIONÁRIO CNAES'!$A:$B, 2, FALSE)</f>
        <v>Educação superior</v>
      </c>
      <c r="E1234" s="4">
        <v>9813.8561526199992</v>
      </c>
      <c r="F1234" s="4">
        <v>30099903.408719499</v>
      </c>
    </row>
    <row r="1235" spans="1:6" x14ac:dyDescent="0.3">
      <c r="A1235" s="3" t="s">
        <v>11</v>
      </c>
      <c r="B1235" s="7" t="str">
        <f>VLOOKUP(VALUE(A1235), 'DICIONÁRIO UF'!$A:$B, 2, FALSE)</f>
        <v>Maranhão</v>
      </c>
      <c r="C1235" s="3">
        <v>85029</v>
      </c>
      <c r="D1235" s="5" t="str">
        <f>VLOOKUP(C1235, 'DICIONÁRIO CNAES'!$A:$B, 2, FALSE)</f>
        <v>Outras atividades de ensino</v>
      </c>
      <c r="E1235" s="4">
        <v>14536.14867009</v>
      </c>
      <c r="F1235" s="4">
        <v>14778473.0670029</v>
      </c>
    </row>
    <row r="1236" spans="1:6" x14ac:dyDescent="0.3">
      <c r="A1236" s="3" t="s">
        <v>11</v>
      </c>
      <c r="B1236" s="7" t="str">
        <f>VLOOKUP(VALUE(A1236), 'DICIONÁRIO UF'!$A:$B, 2, FALSE)</f>
        <v>Maranhão</v>
      </c>
      <c r="C1236" s="3">
        <v>86001</v>
      </c>
      <c r="D1236" s="5" t="str">
        <f>VLOOKUP(C1236, 'DICIONÁRIO CNAES'!$A:$B, 2, FALSE)</f>
        <v>Atividades de atendimento hospitalar</v>
      </c>
      <c r="E1236" s="4">
        <v>56019.296994539996</v>
      </c>
      <c r="F1236" s="4">
        <v>133106027.6808164</v>
      </c>
    </row>
    <row r="1237" spans="1:6" x14ac:dyDescent="0.3">
      <c r="A1237" s="3" t="s">
        <v>11</v>
      </c>
      <c r="B1237" s="7" t="str">
        <f>VLOOKUP(VALUE(A1237), 'DICIONÁRIO UF'!$A:$B, 2, FALSE)</f>
        <v>Maranhão</v>
      </c>
      <c r="C1237" s="3">
        <v>86002</v>
      </c>
      <c r="D1237" s="5" t="str">
        <f>VLOOKUP(C1237, 'DICIONÁRIO CNAES'!$A:$B, 2, FALSE)</f>
        <v>Atividades de atenção ambulatorial executadas por médicos e odontólogos</v>
      </c>
      <c r="E1237" s="4">
        <v>44713.415779429997</v>
      </c>
      <c r="F1237" s="4">
        <v>63402605.565323897</v>
      </c>
    </row>
    <row r="1238" spans="1:6" x14ac:dyDescent="0.3">
      <c r="A1238" s="3" t="s">
        <v>11</v>
      </c>
      <c r="B1238" s="7" t="str">
        <f>VLOOKUP(VALUE(A1238), 'DICIONÁRIO UF'!$A:$B, 2, FALSE)</f>
        <v>Maranhão</v>
      </c>
      <c r="C1238" s="3">
        <v>86003</v>
      </c>
      <c r="D1238" s="5" t="str">
        <f>VLOOKUP(C1238, 'DICIONÁRIO CNAES'!$A:$B, 2, FALSE)</f>
        <v>Atividades de serviços de complementação diagnóstica e terapêutica</v>
      </c>
      <c r="E1238" s="4">
        <v>3888.9073029000001</v>
      </c>
      <c r="F1238" s="4">
        <v>6799158.2693499997</v>
      </c>
    </row>
    <row r="1239" spans="1:6" x14ac:dyDescent="0.3">
      <c r="A1239" s="3" t="s">
        <v>11</v>
      </c>
      <c r="B1239" s="7" t="str">
        <f>VLOOKUP(VALUE(A1239), 'DICIONÁRIO UF'!$A:$B, 2, FALSE)</f>
        <v>Maranhão</v>
      </c>
      <c r="C1239" s="3">
        <v>86004</v>
      </c>
      <c r="D1239" s="5" t="str">
        <f>VLOOKUP(C1239, 'DICIONÁRIO CNAES'!$A:$B, 2, FALSE)</f>
        <v>Atividades de profissionais da área de saúde, exceto médicos e odontólogos</v>
      </c>
      <c r="E1239" s="4">
        <v>5859.2853896799998</v>
      </c>
      <c r="F1239" s="4">
        <v>11412683.765592</v>
      </c>
    </row>
    <row r="1240" spans="1:6" x14ac:dyDescent="0.3">
      <c r="A1240" s="3" t="s">
        <v>11</v>
      </c>
      <c r="B1240" s="7" t="str">
        <f>VLOOKUP(VALUE(A1240), 'DICIONÁRIO UF'!$A:$B, 2, FALSE)</f>
        <v>Maranhão</v>
      </c>
      <c r="C1240" s="3">
        <v>86009</v>
      </c>
      <c r="D1240" s="5" t="str">
        <f>VLOOKUP(C1240, 'DICIONÁRIO CNAES'!$A:$B, 2, FALSE)</f>
        <v>Atividades de atenção à saúde humana não especificadas anteriormente</v>
      </c>
      <c r="E1240" s="4">
        <v>1417.0251905</v>
      </c>
      <c r="F1240" s="4">
        <v>2257191.0102980998</v>
      </c>
    </row>
    <row r="1241" spans="1:6" x14ac:dyDescent="0.3">
      <c r="A1241" s="3" t="s">
        <v>11</v>
      </c>
      <c r="B1241" s="7" t="str">
        <f>VLOOKUP(VALUE(A1241), 'DICIONÁRIO UF'!$A:$B, 2, FALSE)</f>
        <v>Maranhão</v>
      </c>
      <c r="C1241" s="3">
        <v>87000</v>
      </c>
      <c r="D1241" s="5" t="str">
        <f>VLOOKUP(C1241, 'DICIONÁRIO CNAES'!$A:$B, 2, FALSE)</f>
        <v>Atividades de assistência à saude humana integradas com assistencia social, inclusive prestadas em residencias</v>
      </c>
      <c r="E1241" s="4">
        <v>1483.1053583800001</v>
      </c>
      <c r="F1241" s="4">
        <v>2496480.4129895</v>
      </c>
    </row>
    <row r="1242" spans="1:6" x14ac:dyDescent="0.3">
      <c r="A1242" s="3" t="s">
        <v>11</v>
      </c>
      <c r="B1242" s="7" t="str">
        <f>VLOOKUP(VALUE(A1242), 'DICIONÁRIO UF'!$A:$B, 2, FALSE)</f>
        <v>Maranhão</v>
      </c>
      <c r="C1242" s="3">
        <v>88000</v>
      </c>
      <c r="D1242" s="5" t="str">
        <f>VLOOKUP(C1242, 'DICIONÁRIO CNAES'!$A:$B, 2, FALSE)</f>
        <v>Serviços de assistência social sem alojamento</v>
      </c>
      <c r="E1242" s="4">
        <v>644.31852395999999</v>
      </c>
      <c r="F1242" s="4">
        <v>708750.37635599996</v>
      </c>
    </row>
    <row r="1243" spans="1:6" x14ac:dyDescent="0.3">
      <c r="A1243" s="3" t="s">
        <v>11</v>
      </c>
      <c r="B1243" s="7" t="str">
        <f>VLOOKUP(VALUE(A1243), 'DICIONÁRIO UF'!$A:$B, 2, FALSE)</f>
        <v>Maranhão</v>
      </c>
      <c r="C1243" s="3">
        <v>90000</v>
      </c>
      <c r="D1243" s="5" t="str">
        <f>VLOOKUP(C1243, 'DICIONÁRIO CNAES'!$A:$B, 2, FALSE)</f>
        <v>Atividades artísticas, criativas e de espetáculos</v>
      </c>
      <c r="E1243" s="4">
        <v>2456.5902071400001</v>
      </c>
      <c r="F1243" s="4">
        <v>3998514.1155705</v>
      </c>
    </row>
    <row r="1244" spans="1:6" x14ac:dyDescent="0.3">
      <c r="A1244" s="3" t="s">
        <v>11</v>
      </c>
      <c r="B1244" s="7" t="str">
        <f>VLOOKUP(VALUE(A1244), 'DICIONÁRIO UF'!$A:$B, 2, FALSE)</f>
        <v>Maranhão</v>
      </c>
      <c r="C1244" s="3">
        <v>91000</v>
      </c>
      <c r="D1244" s="5" t="str">
        <f>VLOOKUP(C1244, 'DICIONÁRIO CNAES'!$A:$B, 2, FALSE)</f>
        <v>Atividades ligadas ao patrimônio cultural e ambiental</v>
      </c>
      <c r="E1244" s="4">
        <v>918.75363295</v>
      </c>
      <c r="F1244" s="4">
        <v>1293630.239453</v>
      </c>
    </row>
    <row r="1245" spans="1:6" x14ac:dyDescent="0.3">
      <c r="A1245" s="3" t="s">
        <v>11</v>
      </c>
      <c r="B1245" s="7" t="str">
        <f>VLOOKUP(VALUE(A1245), 'DICIONÁRIO UF'!$A:$B, 2, FALSE)</f>
        <v>Maranhão</v>
      </c>
      <c r="C1245" s="3">
        <v>92000</v>
      </c>
      <c r="D1245" s="5" t="str">
        <f>VLOOKUP(C1245, 'DICIONÁRIO CNAES'!$A:$B, 2, FALSE)</f>
        <v>Atividades de exploração de jogos de azar e apostas</v>
      </c>
      <c r="E1245" s="4">
        <v>885.99984760999996</v>
      </c>
      <c r="F1245" s="4">
        <v>325993.672112</v>
      </c>
    </row>
    <row r="1246" spans="1:6" x14ac:dyDescent="0.3">
      <c r="A1246" s="3" t="s">
        <v>11</v>
      </c>
      <c r="B1246" s="7" t="str">
        <f>VLOOKUP(VALUE(A1246), 'DICIONÁRIO UF'!$A:$B, 2, FALSE)</f>
        <v>Maranhão</v>
      </c>
      <c r="C1246" s="3">
        <v>93011</v>
      </c>
      <c r="D1246" s="5" t="str">
        <f>VLOOKUP(C1246, 'DICIONÁRIO CNAES'!$A:$B, 2, FALSE)</f>
        <v>Atividades esportivas</v>
      </c>
      <c r="E1246" s="4">
        <v>2086.0312635700002</v>
      </c>
      <c r="F1246" s="4">
        <v>2230666.967654</v>
      </c>
    </row>
    <row r="1247" spans="1:6" x14ac:dyDescent="0.3">
      <c r="A1247" s="3" t="s">
        <v>11</v>
      </c>
      <c r="B1247" s="7" t="str">
        <f>VLOOKUP(VALUE(A1247), 'DICIONÁRIO UF'!$A:$B, 2, FALSE)</f>
        <v>Maranhão</v>
      </c>
      <c r="C1247" s="3">
        <v>93012</v>
      </c>
      <c r="D1247" s="5" t="str">
        <f>VLOOKUP(C1247, 'DICIONÁRIO CNAES'!$A:$B, 2, FALSE)</f>
        <v>Atividades de condicionamento físico</v>
      </c>
      <c r="E1247" s="4">
        <v>11385.901103759999</v>
      </c>
      <c r="F1247" s="4">
        <v>25639767.4426465</v>
      </c>
    </row>
    <row r="1248" spans="1:6" x14ac:dyDescent="0.3">
      <c r="A1248" s="3" t="s">
        <v>11</v>
      </c>
      <c r="B1248" s="7" t="str">
        <f>VLOOKUP(VALUE(A1248), 'DICIONÁRIO UF'!$A:$B, 2, FALSE)</f>
        <v>Maranhão</v>
      </c>
      <c r="C1248" s="3">
        <v>93020</v>
      </c>
      <c r="D1248" s="5" t="str">
        <f>VLOOKUP(C1248, 'DICIONÁRIO CNAES'!$A:$B, 2, FALSE)</f>
        <v>Atividades de recreação e lazer</v>
      </c>
      <c r="E1248" s="4">
        <v>1311.3200331</v>
      </c>
      <c r="F1248" s="4">
        <v>1175238.0768057001</v>
      </c>
    </row>
    <row r="1249" spans="1:6" x14ac:dyDescent="0.3">
      <c r="A1249" s="3" t="s">
        <v>11</v>
      </c>
      <c r="B1249" s="7" t="str">
        <f>VLOOKUP(VALUE(A1249), 'DICIONÁRIO UF'!$A:$B, 2, FALSE)</f>
        <v>Maranhão</v>
      </c>
      <c r="C1249" s="3">
        <v>94010</v>
      </c>
      <c r="D1249" s="5" t="str">
        <f>VLOOKUP(C1249, 'DICIONÁRIO CNAES'!$A:$B, 2, FALSE)</f>
        <v>Atividades de organizações associativas patronais, empresariais e profissionais</v>
      </c>
      <c r="E1249" s="4">
        <v>700.81743475999997</v>
      </c>
      <c r="F1249" s="4">
        <v>2610505.7535390002</v>
      </c>
    </row>
    <row r="1250" spans="1:6" x14ac:dyDescent="0.3">
      <c r="A1250" s="3" t="s">
        <v>11</v>
      </c>
      <c r="B1250" s="7" t="str">
        <f>VLOOKUP(VALUE(A1250), 'DICIONÁRIO UF'!$A:$B, 2, FALSE)</f>
        <v>Maranhão</v>
      </c>
      <c r="C1250" s="3">
        <v>94020</v>
      </c>
      <c r="D1250" s="5" t="str">
        <f>VLOOKUP(C1250, 'DICIONÁRIO CNAES'!$A:$B, 2, FALSE)</f>
        <v>Atividades de organizações sindicais</v>
      </c>
      <c r="E1250" s="4">
        <v>3304.3000901999999</v>
      </c>
      <c r="F1250" s="4">
        <v>3282243.568459</v>
      </c>
    </row>
    <row r="1251" spans="1:6" x14ac:dyDescent="0.3">
      <c r="A1251" s="3" t="s">
        <v>11</v>
      </c>
      <c r="B1251" s="7" t="str">
        <f>VLOOKUP(VALUE(A1251), 'DICIONÁRIO UF'!$A:$B, 2, FALSE)</f>
        <v>Maranhão</v>
      </c>
      <c r="C1251" s="3">
        <v>94091</v>
      </c>
      <c r="D1251" s="5" t="str">
        <f>VLOOKUP(C1251, 'DICIONÁRIO CNAES'!$A:$B, 2, FALSE)</f>
        <v>Atividades de organizações religiosas e filosóficas</v>
      </c>
      <c r="E1251" s="4">
        <v>5873.0116568200001</v>
      </c>
      <c r="F1251" s="4">
        <v>7502177.3571926001</v>
      </c>
    </row>
    <row r="1252" spans="1:6" x14ac:dyDescent="0.3">
      <c r="A1252" s="3" t="s">
        <v>11</v>
      </c>
      <c r="B1252" s="7" t="str">
        <f>VLOOKUP(VALUE(A1252), 'DICIONÁRIO UF'!$A:$B, 2, FALSE)</f>
        <v>Maranhão</v>
      </c>
      <c r="C1252" s="3">
        <v>94099</v>
      </c>
      <c r="D1252" s="5" t="str">
        <f>VLOOKUP(C1252, 'DICIONÁRIO CNAES'!$A:$B, 2, FALSE)</f>
        <v xml:space="preserve">Outras atividades associativas não especificadas anteriormente </v>
      </c>
      <c r="E1252" s="4">
        <v>746.10444243999996</v>
      </c>
      <c r="F1252" s="4">
        <v>543419.87786799995</v>
      </c>
    </row>
    <row r="1253" spans="1:6" x14ac:dyDescent="0.3">
      <c r="A1253" s="3" t="s">
        <v>11</v>
      </c>
      <c r="B1253" s="7" t="str">
        <f>VLOOKUP(VALUE(A1253), 'DICIONÁRIO UF'!$A:$B, 2, FALSE)</f>
        <v>Maranhão</v>
      </c>
      <c r="C1253" s="3">
        <v>95010</v>
      </c>
      <c r="D1253" s="5" t="str">
        <f>VLOOKUP(C1253, 'DICIONÁRIO CNAES'!$A:$B, 2, FALSE)</f>
        <v>Reparação e manutenção de equipamentos de informática e comunicação</v>
      </c>
      <c r="E1253" s="4">
        <v>4784.6640930499998</v>
      </c>
      <c r="F1253" s="4">
        <v>6248460.2700469997</v>
      </c>
    </row>
    <row r="1254" spans="1:6" x14ac:dyDescent="0.3">
      <c r="A1254" s="3" t="s">
        <v>11</v>
      </c>
      <c r="B1254" s="7" t="str">
        <f>VLOOKUP(VALUE(A1254), 'DICIONÁRIO UF'!$A:$B, 2, FALSE)</f>
        <v>Maranhão</v>
      </c>
      <c r="C1254" s="3">
        <v>95030</v>
      </c>
      <c r="D1254" s="5" t="str">
        <f>VLOOKUP(C1254, 'DICIONÁRIO CNAES'!$A:$B, 2, FALSE)</f>
        <v>Reparação e manutenção de objetos e equipamentos pessoais e domésticos</v>
      </c>
      <c r="E1254" s="4">
        <v>13193.420421299999</v>
      </c>
      <c r="F1254" s="4">
        <v>12076798.202929899</v>
      </c>
    </row>
    <row r="1255" spans="1:6" x14ac:dyDescent="0.3">
      <c r="A1255" s="3" t="s">
        <v>11</v>
      </c>
      <c r="B1255" s="7" t="str">
        <f>VLOOKUP(VALUE(A1255), 'DICIONÁRIO UF'!$A:$B, 2, FALSE)</f>
        <v>Maranhão</v>
      </c>
      <c r="C1255" s="3">
        <v>96010</v>
      </c>
      <c r="D1255" s="5" t="str">
        <f>VLOOKUP(C1255, 'DICIONÁRIO CNAES'!$A:$B, 2, FALSE)</f>
        <v>Lavanderias, tinturarias e toalheiros</v>
      </c>
      <c r="E1255" s="4">
        <v>2149.47239042</v>
      </c>
      <c r="F1255" s="4">
        <v>3268018.8967539999</v>
      </c>
    </row>
    <row r="1256" spans="1:6" x14ac:dyDescent="0.3">
      <c r="A1256" s="3" t="s">
        <v>11</v>
      </c>
      <c r="B1256" s="7" t="str">
        <f>VLOOKUP(VALUE(A1256), 'DICIONÁRIO UF'!$A:$B, 2, FALSE)</f>
        <v>Maranhão</v>
      </c>
      <c r="C1256" s="3">
        <v>96020</v>
      </c>
      <c r="D1256" s="5" t="str">
        <f>VLOOKUP(C1256, 'DICIONÁRIO CNAES'!$A:$B, 2, FALSE)</f>
        <v>Cabeleireiros e outras atividades de tratamento de beleza</v>
      </c>
      <c r="E1256" s="4">
        <v>51455.110494419998</v>
      </c>
      <c r="F1256" s="4">
        <v>45572953.219374701</v>
      </c>
    </row>
    <row r="1257" spans="1:6" x14ac:dyDescent="0.3">
      <c r="A1257" s="3" t="s">
        <v>11</v>
      </c>
      <c r="B1257" s="7" t="str">
        <f>VLOOKUP(VALUE(A1257), 'DICIONÁRIO UF'!$A:$B, 2, FALSE)</f>
        <v>Maranhão</v>
      </c>
      <c r="C1257" s="3">
        <v>96030</v>
      </c>
      <c r="D1257" s="5" t="str">
        <f>VLOOKUP(C1257, 'DICIONÁRIO CNAES'!$A:$B, 2, FALSE)</f>
        <v xml:space="preserve">Atividades funerárias e serviços relacionados </v>
      </c>
      <c r="E1257" s="4">
        <v>796.17044181999995</v>
      </c>
      <c r="F1257" s="4">
        <v>878579.24512750003</v>
      </c>
    </row>
    <row r="1258" spans="1:6" x14ac:dyDescent="0.3">
      <c r="A1258" s="3" t="s">
        <v>11</v>
      </c>
      <c r="B1258" s="7" t="str">
        <f>VLOOKUP(VALUE(A1258), 'DICIONÁRIO UF'!$A:$B, 2, FALSE)</f>
        <v>Maranhão</v>
      </c>
      <c r="C1258" s="3">
        <v>96090</v>
      </c>
      <c r="D1258" s="5" t="str">
        <f>VLOOKUP(C1258, 'DICIONÁRIO CNAES'!$A:$B, 2, FALSE)</f>
        <v>Outras atividades de serviços pessoais</v>
      </c>
      <c r="E1258" s="4">
        <v>5480.6291182000004</v>
      </c>
      <c r="F1258" s="4">
        <v>9336910.1457150001</v>
      </c>
    </row>
    <row r="1259" spans="1:6" x14ac:dyDescent="0.3">
      <c r="A1259" s="3" t="s">
        <v>11</v>
      </c>
      <c r="B1259" s="7" t="str">
        <f>VLOOKUP(VALUE(A1259), 'DICIONÁRIO UF'!$A:$B, 2, FALSE)</f>
        <v>Maranhão</v>
      </c>
      <c r="C1259" s="3">
        <v>97000</v>
      </c>
      <c r="D1259" s="5" t="str">
        <f>VLOOKUP(C1259, 'DICIONÁRIO CNAES'!$A:$B, 2, FALSE)</f>
        <v>Serviços domésticos</v>
      </c>
      <c r="E1259" s="4">
        <v>143676.54646884999</v>
      </c>
      <c r="F1259" s="4">
        <v>88635198.342592731</v>
      </c>
    </row>
    <row r="1260" spans="1:6" x14ac:dyDescent="0.3">
      <c r="A1260" s="3" t="s">
        <v>12</v>
      </c>
      <c r="B1260" s="7" t="str">
        <f>VLOOKUP(VALUE(A1260), 'DICIONÁRIO UF'!$A:$B, 2, FALSE)</f>
        <v>Piauí</v>
      </c>
      <c r="C1260" s="3">
        <v>1101</v>
      </c>
      <c r="D1260" s="5" t="str">
        <f>VLOOKUP(C1260, 'DICIONÁRIO CNAES'!$A:$B, 2, FALSE)</f>
        <v>Cultivo de arroz</v>
      </c>
      <c r="E1260" s="4">
        <v>9047.133367890001</v>
      </c>
      <c r="F1260" s="4">
        <v>2117923.02381942</v>
      </c>
    </row>
    <row r="1261" spans="1:6" x14ac:dyDescent="0.3">
      <c r="A1261" s="3" t="s">
        <v>12</v>
      </c>
      <c r="B1261" s="7" t="str">
        <f>VLOOKUP(VALUE(A1261), 'DICIONÁRIO UF'!$A:$B, 2, FALSE)</f>
        <v>Piauí</v>
      </c>
      <c r="C1261" s="3">
        <v>1102</v>
      </c>
      <c r="D1261" s="5" t="str">
        <f>VLOOKUP(C1261, 'DICIONÁRIO CNAES'!$A:$B, 2, FALSE)</f>
        <v>Cultivo de milho</v>
      </c>
      <c r="E1261" s="4">
        <v>22793.839084200001</v>
      </c>
      <c r="F1261" s="4">
        <v>9503926.5084596593</v>
      </c>
    </row>
    <row r="1262" spans="1:6" x14ac:dyDescent="0.3">
      <c r="A1262" s="3" t="s">
        <v>12</v>
      </c>
      <c r="B1262" s="7" t="str">
        <f>VLOOKUP(VALUE(A1262), 'DICIONÁRIO UF'!$A:$B, 2, FALSE)</f>
        <v>Piauí</v>
      </c>
      <c r="C1262" s="3">
        <v>1104</v>
      </c>
      <c r="D1262" s="5" t="str">
        <f>VLOOKUP(C1262, 'DICIONÁRIO CNAES'!$A:$B, 2, FALSE)</f>
        <v>Cultivo de algodão</v>
      </c>
      <c r="E1262" s="4">
        <v>243.63317806000001</v>
      </c>
      <c r="F1262" s="4">
        <v>535992.99173200002</v>
      </c>
    </row>
    <row r="1263" spans="1:6" x14ac:dyDescent="0.3">
      <c r="A1263" s="3" t="s">
        <v>12</v>
      </c>
      <c r="B1263" s="7" t="str">
        <f>VLOOKUP(VALUE(A1263), 'DICIONÁRIO UF'!$A:$B, 2, FALSE)</f>
        <v>Piauí</v>
      </c>
      <c r="C1263" s="3">
        <v>1105</v>
      </c>
      <c r="D1263" s="5" t="str">
        <f>VLOOKUP(C1263, 'DICIONÁRIO CNAES'!$A:$B, 2, FALSE)</f>
        <v>Cultivo de cana-de-açúcar</v>
      </c>
      <c r="E1263" s="4">
        <v>2133.4769419300001</v>
      </c>
      <c r="F1263" s="4">
        <v>1830113.14911404</v>
      </c>
    </row>
    <row r="1264" spans="1:6" x14ac:dyDescent="0.3">
      <c r="A1264" s="3" t="s">
        <v>12</v>
      </c>
      <c r="B1264" s="7" t="str">
        <f>VLOOKUP(VALUE(A1264), 'DICIONÁRIO UF'!$A:$B, 2, FALSE)</f>
        <v>Piauí</v>
      </c>
      <c r="C1264" s="3">
        <v>1107</v>
      </c>
      <c r="D1264" s="5" t="str">
        <f>VLOOKUP(C1264, 'DICIONÁRIO CNAES'!$A:$B, 2, FALSE)</f>
        <v>Cultivo de soja</v>
      </c>
      <c r="E1264" s="4">
        <v>2580.5791325599998</v>
      </c>
      <c r="F1264" s="4">
        <v>4093497.709487</v>
      </c>
    </row>
    <row r="1265" spans="1:6" x14ac:dyDescent="0.3">
      <c r="A1265" s="3" t="s">
        <v>12</v>
      </c>
      <c r="B1265" s="7" t="str">
        <f>VLOOKUP(VALUE(A1265), 'DICIONÁRIO UF'!$A:$B, 2, FALSE)</f>
        <v>Piauí</v>
      </c>
      <c r="C1265" s="3">
        <v>1108</v>
      </c>
      <c r="D1265" s="5" t="str">
        <f>VLOOKUP(C1265, 'DICIONÁRIO CNAES'!$A:$B, 2, FALSE)</f>
        <v>Cultivo de mandioca</v>
      </c>
      <c r="E1265" s="4">
        <v>13792.269964720001</v>
      </c>
      <c r="F1265" s="4">
        <v>5099387.3601869699</v>
      </c>
    </row>
    <row r="1266" spans="1:6" x14ac:dyDescent="0.3">
      <c r="A1266" s="3" t="s">
        <v>12</v>
      </c>
      <c r="B1266" s="7" t="str">
        <f>VLOOKUP(VALUE(A1266), 'DICIONÁRIO UF'!$A:$B, 2, FALSE)</f>
        <v>Piauí</v>
      </c>
      <c r="C1266" s="3">
        <v>1109</v>
      </c>
      <c r="D1266" s="5" t="str">
        <f>VLOOKUP(C1266, 'DICIONÁRIO CNAES'!$A:$B, 2, FALSE)</f>
        <v>Cultivo de outras lavouras temporárias não especificadas anteriormente</v>
      </c>
      <c r="E1266" s="4">
        <v>38103.080927670002</v>
      </c>
      <c r="F1266" s="4">
        <v>12564300.595553569</v>
      </c>
    </row>
    <row r="1267" spans="1:6" x14ac:dyDescent="0.3">
      <c r="A1267" s="3" t="s">
        <v>12</v>
      </c>
      <c r="B1267" s="7" t="str">
        <f>VLOOKUP(VALUE(A1267), 'DICIONÁRIO UF'!$A:$B, 2, FALSE)</f>
        <v>Piauí</v>
      </c>
      <c r="C1267" s="3">
        <v>1110</v>
      </c>
      <c r="D1267" s="5" t="str">
        <f>VLOOKUP(C1267, 'DICIONÁRIO CNAES'!$A:$B, 2, FALSE)</f>
        <v>Horticultura</v>
      </c>
      <c r="E1267" s="4">
        <v>6194.4355513800001</v>
      </c>
      <c r="F1267" s="4">
        <v>1964388.5447118001</v>
      </c>
    </row>
    <row r="1268" spans="1:6" x14ac:dyDescent="0.3">
      <c r="A1268" s="3" t="s">
        <v>12</v>
      </c>
      <c r="B1268" s="7" t="str">
        <f>VLOOKUP(VALUE(A1268), 'DICIONÁRIO UF'!$A:$B, 2, FALSE)</f>
        <v>Piauí</v>
      </c>
      <c r="C1268" s="3">
        <v>1111</v>
      </c>
      <c r="D1268" s="5" t="str">
        <f>VLOOKUP(C1268, 'DICIONÁRIO CNAES'!$A:$B, 2, FALSE)</f>
        <v>Cultivo de flores e plantas ornamentais</v>
      </c>
      <c r="E1268" s="4">
        <v>708.18894842999998</v>
      </c>
      <c r="F1268" s="4">
        <v>920062.07347800012</v>
      </c>
    </row>
    <row r="1269" spans="1:6" x14ac:dyDescent="0.3">
      <c r="A1269" s="3" t="s">
        <v>12</v>
      </c>
      <c r="B1269" s="7" t="str">
        <f>VLOOKUP(VALUE(A1269), 'DICIONÁRIO UF'!$A:$B, 2, FALSE)</f>
        <v>Piauí</v>
      </c>
      <c r="C1269" s="3">
        <v>1116</v>
      </c>
      <c r="D1269" s="5" t="str">
        <f>VLOOKUP(C1269, 'DICIONÁRIO CNAES'!$A:$B, 2, FALSE)</f>
        <v>Cultivo de banana</v>
      </c>
      <c r="E1269" s="4">
        <v>2372.9982253399999</v>
      </c>
      <c r="F1269" s="4">
        <v>1412137.1129265199</v>
      </c>
    </row>
    <row r="1270" spans="1:6" x14ac:dyDescent="0.3">
      <c r="A1270" s="3" t="s">
        <v>12</v>
      </c>
      <c r="B1270" s="7" t="str">
        <f>VLOOKUP(VALUE(A1270), 'DICIONÁRIO UF'!$A:$B, 2, FALSE)</f>
        <v>Piauí</v>
      </c>
      <c r="C1270" s="3">
        <v>1117</v>
      </c>
      <c r="D1270" s="5" t="str">
        <f>VLOOKUP(C1270, 'DICIONÁRIO CNAES'!$A:$B, 2, FALSE)</f>
        <v>Cultivo de outras plantas e frutas de lavoura permanente não especificadas anteriormente</v>
      </c>
      <c r="E1270" s="4">
        <v>6358.6948938899995</v>
      </c>
      <c r="F1270" s="4">
        <v>2090638.6989241701</v>
      </c>
    </row>
    <row r="1271" spans="1:6" x14ac:dyDescent="0.3">
      <c r="A1271" s="3" t="s">
        <v>12</v>
      </c>
      <c r="B1271" s="7" t="str">
        <f>VLOOKUP(VALUE(A1271), 'DICIONÁRIO UF'!$A:$B, 2, FALSE)</f>
        <v>Piauí</v>
      </c>
      <c r="C1271" s="3">
        <v>1201</v>
      </c>
      <c r="D1271" s="5" t="str">
        <f>VLOOKUP(C1271, 'DICIONÁRIO CNAES'!$A:$B, 2, FALSE)</f>
        <v>Criação de bovinos</v>
      </c>
      <c r="E1271" s="4">
        <v>23850.28966875</v>
      </c>
      <c r="F1271" s="4">
        <v>13580081.852651469</v>
      </c>
    </row>
    <row r="1272" spans="1:6" x14ac:dyDescent="0.3">
      <c r="A1272" s="3" t="s">
        <v>12</v>
      </c>
      <c r="B1272" s="7" t="str">
        <f>VLOOKUP(VALUE(A1272), 'DICIONÁRIO UF'!$A:$B, 2, FALSE)</f>
        <v>Piauí</v>
      </c>
      <c r="C1272" s="3">
        <v>1202</v>
      </c>
      <c r="D1272" s="5" t="str">
        <f>VLOOKUP(C1272, 'DICIONÁRIO CNAES'!$A:$B, 2, FALSE)</f>
        <v>Criação de outros animais de grande porte não especificados anteriormente</v>
      </c>
      <c r="E1272" s="4">
        <v>525.51544687000001</v>
      </c>
      <c r="F1272" s="4">
        <v>1807412.01838</v>
      </c>
    </row>
    <row r="1273" spans="1:6" x14ac:dyDescent="0.3">
      <c r="A1273" s="3" t="s">
        <v>12</v>
      </c>
      <c r="B1273" s="7" t="str">
        <f>VLOOKUP(VALUE(A1273), 'DICIONÁRIO UF'!$A:$B, 2, FALSE)</f>
        <v>Piauí</v>
      </c>
      <c r="C1273" s="3">
        <v>1203</v>
      </c>
      <c r="D1273" s="5" t="str">
        <f>VLOOKUP(C1273, 'DICIONÁRIO CNAES'!$A:$B, 2, FALSE)</f>
        <v>Criação de caprinos e ovinos</v>
      </c>
      <c r="E1273" s="4">
        <v>32888.529728640002</v>
      </c>
      <c r="F1273" s="4">
        <v>5202055.2962569902</v>
      </c>
    </row>
    <row r="1274" spans="1:6" x14ac:dyDescent="0.3">
      <c r="A1274" s="3" t="s">
        <v>12</v>
      </c>
      <c r="B1274" s="7" t="str">
        <f>VLOOKUP(VALUE(A1274), 'DICIONÁRIO UF'!$A:$B, 2, FALSE)</f>
        <v>Piauí</v>
      </c>
      <c r="C1274" s="3">
        <v>1204</v>
      </c>
      <c r="D1274" s="5" t="str">
        <f>VLOOKUP(C1274, 'DICIONÁRIO CNAES'!$A:$B, 2, FALSE)</f>
        <v>Criação de suínos</v>
      </c>
      <c r="E1274" s="4">
        <v>5866.0581850999997</v>
      </c>
      <c r="F1274" s="4">
        <v>1208047.4578170001</v>
      </c>
    </row>
    <row r="1275" spans="1:6" x14ac:dyDescent="0.3">
      <c r="A1275" s="3" t="s">
        <v>12</v>
      </c>
      <c r="B1275" s="7" t="str">
        <f>VLOOKUP(VALUE(A1275), 'DICIONÁRIO UF'!$A:$B, 2, FALSE)</f>
        <v>Piauí</v>
      </c>
      <c r="C1275" s="3">
        <v>1205</v>
      </c>
      <c r="D1275" s="5" t="str">
        <f>VLOOKUP(C1275, 'DICIONÁRIO CNAES'!$A:$B, 2, FALSE)</f>
        <v>Criação de aves</v>
      </c>
      <c r="E1275" s="4">
        <v>6722.1238571200001</v>
      </c>
      <c r="F1275" s="4">
        <v>5169167.3903277097</v>
      </c>
    </row>
    <row r="1276" spans="1:6" x14ac:dyDescent="0.3">
      <c r="A1276" s="3" t="s">
        <v>12</v>
      </c>
      <c r="B1276" s="7" t="str">
        <f>VLOOKUP(VALUE(A1276), 'DICIONÁRIO UF'!$A:$B, 2, FALSE)</f>
        <v>Piauí</v>
      </c>
      <c r="C1276" s="3">
        <v>1206</v>
      </c>
      <c r="D1276" s="5" t="str">
        <f>VLOOKUP(C1276, 'DICIONÁRIO CNAES'!$A:$B, 2, FALSE)</f>
        <v>Apicultura</v>
      </c>
      <c r="E1276" s="4">
        <v>904.73606073999997</v>
      </c>
      <c r="F1276" s="4">
        <v>610312.46204132005</v>
      </c>
    </row>
    <row r="1277" spans="1:6" x14ac:dyDescent="0.3">
      <c r="A1277" s="3" t="s">
        <v>12</v>
      </c>
      <c r="B1277" s="7" t="str">
        <f>VLOOKUP(VALUE(A1277), 'DICIONÁRIO UF'!$A:$B, 2, FALSE)</f>
        <v>Piauí</v>
      </c>
      <c r="C1277" s="3">
        <v>1209</v>
      </c>
      <c r="D1277" s="5" t="str">
        <f>VLOOKUP(C1277, 'DICIONÁRIO CNAES'!$A:$B, 2, FALSE)</f>
        <v>Pecuária não especificada</v>
      </c>
      <c r="E1277" s="4">
        <v>783.23626820000004</v>
      </c>
      <c r="F1277" s="4">
        <v>316918.182226</v>
      </c>
    </row>
    <row r="1278" spans="1:6" x14ac:dyDescent="0.3">
      <c r="A1278" s="3" t="s">
        <v>12</v>
      </c>
      <c r="B1278" s="7" t="str">
        <f>VLOOKUP(VALUE(A1278), 'DICIONÁRIO UF'!$A:$B, 2, FALSE)</f>
        <v>Piauí</v>
      </c>
      <c r="C1278" s="3">
        <v>1401</v>
      </c>
      <c r="D1278" s="5" t="str">
        <f>VLOOKUP(C1278, 'DICIONÁRIO CNAES'!$A:$B, 2, FALSE)</f>
        <v>Atividades de apoio à agricultura e pós-colheita</v>
      </c>
      <c r="E1278" s="4">
        <v>365.73180920999999</v>
      </c>
      <c r="F1278" s="4">
        <v>476188.07094200002</v>
      </c>
    </row>
    <row r="1279" spans="1:6" x14ac:dyDescent="0.3">
      <c r="A1279" s="3" t="s">
        <v>12</v>
      </c>
      <c r="B1279" s="7" t="str">
        <f>VLOOKUP(VALUE(A1279), 'DICIONÁRIO UF'!$A:$B, 2, FALSE)</f>
        <v>Piauí</v>
      </c>
      <c r="C1279" s="3">
        <v>1402</v>
      </c>
      <c r="D1279" s="5" t="str">
        <f>VLOOKUP(C1279, 'DICIONÁRIO CNAES'!$A:$B, 2, FALSE)</f>
        <v xml:space="preserve">Atividades de apoio à pecuária </v>
      </c>
      <c r="E1279" s="4">
        <v>1380.31047126</v>
      </c>
      <c r="F1279" s="4">
        <v>552586.13625099999</v>
      </c>
    </row>
    <row r="1280" spans="1:6" x14ac:dyDescent="0.3">
      <c r="A1280" s="3" t="s">
        <v>12</v>
      </c>
      <c r="B1280" s="7" t="str">
        <f>VLOOKUP(VALUE(A1280), 'DICIONÁRIO UF'!$A:$B, 2, FALSE)</f>
        <v>Piauí</v>
      </c>
      <c r="C1280" s="3">
        <v>1999</v>
      </c>
      <c r="D1280" s="5" t="str">
        <f>VLOOKUP(C1280, 'DICIONÁRIO CNAES'!$A:$B, 2, FALSE)</f>
        <v>Agropecuária</v>
      </c>
      <c r="E1280" s="4">
        <v>406.55622908999999</v>
      </c>
      <c r="F1280" s="4">
        <v>24393.3737454</v>
      </c>
    </row>
    <row r="1281" spans="1:6" x14ac:dyDescent="0.3">
      <c r="A1281" s="3" t="s">
        <v>12</v>
      </c>
      <c r="B1281" s="7" t="str">
        <f>VLOOKUP(VALUE(A1281), 'DICIONÁRIO UF'!$A:$B, 2, FALSE)</f>
        <v>Piauí</v>
      </c>
      <c r="C1281" s="3">
        <v>2000</v>
      </c>
      <c r="D1281" s="5" t="str">
        <f>VLOOKUP(C1281, 'DICIONÁRIO CNAES'!$A:$B, 2, FALSE)</f>
        <v xml:space="preserve">Produção florestal </v>
      </c>
      <c r="E1281" s="4">
        <v>15952.451629810001</v>
      </c>
      <c r="F1281" s="4">
        <v>6343933.6233027698</v>
      </c>
    </row>
    <row r="1282" spans="1:6" x14ac:dyDescent="0.3">
      <c r="A1282" s="3" t="s">
        <v>12</v>
      </c>
      <c r="B1282" s="7" t="str">
        <f>VLOOKUP(VALUE(A1282), 'DICIONÁRIO UF'!$A:$B, 2, FALSE)</f>
        <v>Piauí</v>
      </c>
      <c r="C1282" s="3">
        <v>3001</v>
      </c>
      <c r="D1282" s="5" t="str">
        <f>VLOOKUP(C1282, 'DICIONÁRIO CNAES'!$A:$B, 2, FALSE)</f>
        <v>Pesca</v>
      </c>
      <c r="E1282" s="4">
        <v>8632.8671064200007</v>
      </c>
      <c r="F1282" s="4">
        <v>2843903.6023293999</v>
      </c>
    </row>
    <row r="1283" spans="1:6" x14ac:dyDescent="0.3">
      <c r="A1283" s="3" t="s">
        <v>12</v>
      </c>
      <c r="B1283" s="7" t="str">
        <f>VLOOKUP(VALUE(A1283), 'DICIONÁRIO UF'!$A:$B, 2, FALSE)</f>
        <v>Piauí</v>
      </c>
      <c r="C1283" s="3">
        <v>3002</v>
      </c>
      <c r="D1283" s="5" t="str">
        <f>VLOOKUP(C1283, 'DICIONÁRIO CNAES'!$A:$B, 2, FALSE)</f>
        <v>Aqüicultura</v>
      </c>
      <c r="E1283" s="4">
        <v>5771.2947292199997</v>
      </c>
      <c r="F1283" s="4">
        <v>7701880.7010510014</v>
      </c>
    </row>
    <row r="1284" spans="1:6" x14ac:dyDescent="0.3">
      <c r="A1284" s="3" t="s">
        <v>12</v>
      </c>
      <c r="B1284" s="7" t="str">
        <f>VLOOKUP(VALUE(A1284), 'DICIONÁRIO UF'!$A:$B, 2, FALSE)</f>
        <v>Piauí</v>
      </c>
      <c r="C1284" s="3">
        <v>7002</v>
      </c>
      <c r="D1284" s="5" t="str">
        <f>VLOOKUP(C1284, 'DICIONÁRIO CNAES'!$A:$B, 2, FALSE)</f>
        <v xml:space="preserve">Extração de minerais metálicos não especificados anteriormente </v>
      </c>
      <c r="E1284" s="4">
        <v>426.28782626999998</v>
      </c>
      <c r="F1284" s="4">
        <v>588277.20025260001</v>
      </c>
    </row>
    <row r="1285" spans="1:6" x14ac:dyDescent="0.3">
      <c r="A1285" s="3" t="s">
        <v>12</v>
      </c>
      <c r="B1285" s="7" t="str">
        <f>VLOOKUP(VALUE(A1285), 'DICIONÁRIO UF'!$A:$B, 2, FALSE)</f>
        <v>Piauí</v>
      </c>
      <c r="C1285" s="3">
        <v>8001</v>
      </c>
      <c r="D1285" s="5" t="str">
        <f>VLOOKUP(C1285, 'DICIONÁRIO CNAES'!$A:$B, 2, FALSE)</f>
        <v>Extração de pedras, areia e argila</v>
      </c>
      <c r="E1285" s="4">
        <v>1957.49041298</v>
      </c>
      <c r="F1285" s="4">
        <v>1713305.261555</v>
      </c>
    </row>
    <row r="1286" spans="1:6" x14ac:dyDescent="0.3">
      <c r="A1286" s="3" t="s">
        <v>12</v>
      </c>
      <c r="B1286" s="7" t="str">
        <f>VLOOKUP(VALUE(A1286), 'DICIONÁRIO UF'!$A:$B, 2, FALSE)</f>
        <v>Piauí</v>
      </c>
      <c r="C1286" s="3">
        <v>8002</v>
      </c>
      <c r="D1286" s="5" t="str">
        <f>VLOOKUP(C1286, 'DICIONÁRIO CNAES'!$A:$B, 2, FALSE)</f>
        <v>Extração de gemas (pedras preciosas e semi-preciosas)</v>
      </c>
      <c r="E1286" s="4">
        <v>220.81404594</v>
      </c>
      <c r="F1286" s="4">
        <v>44162.809187999999</v>
      </c>
    </row>
    <row r="1287" spans="1:6" x14ac:dyDescent="0.3">
      <c r="A1287" s="3" t="s">
        <v>12</v>
      </c>
      <c r="B1287" s="7" t="str">
        <f>VLOOKUP(VALUE(A1287), 'DICIONÁRIO UF'!$A:$B, 2, FALSE)</f>
        <v>Piauí</v>
      </c>
      <c r="C1287" s="3">
        <v>8009</v>
      </c>
      <c r="D1287" s="5" t="str">
        <f>VLOOKUP(C1287, 'DICIONÁRIO CNAES'!$A:$B, 2, FALSE)</f>
        <v xml:space="preserve">Extração de minerais não metálicos não especificados anteriormente </v>
      </c>
      <c r="E1287" s="4">
        <v>779.18557822000002</v>
      </c>
      <c r="F1287" s="4">
        <v>346316.723436</v>
      </c>
    </row>
    <row r="1288" spans="1:6" x14ac:dyDescent="0.3">
      <c r="A1288" s="3" t="s">
        <v>12</v>
      </c>
      <c r="B1288" s="7" t="str">
        <f>VLOOKUP(VALUE(A1288), 'DICIONÁRIO UF'!$A:$B, 2, FALSE)</f>
        <v>Piauí</v>
      </c>
      <c r="C1288" s="3">
        <v>10010</v>
      </c>
      <c r="D1288" s="5" t="str">
        <f>VLOOKUP(C1288, 'DICIONÁRIO CNAES'!$A:$B, 2, FALSE)</f>
        <v xml:space="preserve">Abate e fabricação de produtos de carne e pescado </v>
      </c>
      <c r="E1288" s="4">
        <v>1003.7124936500001</v>
      </c>
      <c r="F1288" s="4">
        <v>1230369.3592749999</v>
      </c>
    </row>
    <row r="1289" spans="1:6" x14ac:dyDescent="0.3">
      <c r="A1289" s="3" t="s">
        <v>12</v>
      </c>
      <c r="B1289" s="7" t="str">
        <f>VLOOKUP(VALUE(A1289), 'DICIONÁRIO UF'!$A:$B, 2, FALSE)</f>
        <v>Piauí</v>
      </c>
      <c r="C1289" s="3">
        <v>10021</v>
      </c>
      <c r="D1289" s="5" t="str">
        <f>VLOOKUP(C1289, 'DICIONÁRIO CNAES'!$A:$B, 2, FALSE)</f>
        <v>Fabricação de conservas de frutas, legumes e outros vegetais</v>
      </c>
      <c r="E1289" s="4">
        <v>1696.88332786</v>
      </c>
      <c r="F1289" s="4">
        <v>884262.34033599996</v>
      </c>
    </row>
    <row r="1290" spans="1:6" x14ac:dyDescent="0.3">
      <c r="A1290" s="3" t="s">
        <v>12</v>
      </c>
      <c r="B1290" s="7" t="str">
        <f>VLOOKUP(VALUE(A1290), 'DICIONÁRIO UF'!$A:$B, 2, FALSE)</f>
        <v>Piauí</v>
      </c>
      <c r="C1290" s="3">
        <v>10022</v>
      </c>
      <c r="D1290" s="5" t="str">
        <f>VLOOKUP(C1290, 'DICIONÁRIO CNAES'!$A:$B, 2, FALSE)</f>
        <v>Fabricação de óleos vegetais e gorduras vegetais e animais</v>
      </c>
      <c r="E1290" s="4">
        <v>928.96865950999995</v>
      </c>
      <c r="F1290" s="4">
        <v>85840.351186899992</v>
      </c>
    </row>
    <row r="1291" spans="1:6" x14ac:dyDescent="0.3">
      <c r="A1291" s="3" t="s">
        <v>12</v>
      </c>
      <c r="B1291" s="7" t="str">
        <f>VLOOKUP(VALUE(A1291), 'DICIONÁRIO UF'!$A:$B, 2, FALSE)</f>
        <v>Piauí</v>
      </c>
      <c r="C1291" s="3">
        <v>10030</v>
      </c>
      <c r="D1291" s="5" t="str">
        <f>VLOOKUP(C1291, 'DICIONÁRIO CNAES'!$A:$B, 2, FALSE)</f>
        <v>Laticínios</v>
      </c>
      <c r="E1291" s="4">
        <v>1804.7504383400001</v>
      </c>
      <c r="F1291" s="4">
        <v>1456878.03990535</v>
      </c>
    </row>
    <row r="1292" spans="1:6" x14ac:dyDescent="0.3">
      <c r="A1292" s="3" t="s">
        <v>12</v>
      </c>
      <c r="B1292" s="7" t="str">
        <f>VLOOKUP(VALUE(A1292), 'DICIONÁRIO UF'!$A:$B, 2, FALSE)</f>
        <v>Piauí</v>
      </c>
      <c r="C1292" s="3">
        <v>10091</v>
      </c>
      <c r="D1292" s="5" t="str">
        <f>VLOOKUP(C1292, 'DICIONÁRIO CNAES'!$A:$B, 2, FALSE)</f>
        <v>Moagem, fabricação de produtos amiláceos e de alimentos para animais</v>
      </c>
      <c r="E1292" s="4">
        <v>1931.3150499999999</v>
      </c>
      <c r="F1292" s="4">
        <v>1741870.4433952</v>
      </c>
    </row>
    <row r="1293" spans="1:6" x14ac:dyDescent="0.3">
      <c r="A1293" s="3" t="s">
        <v>12</v>
      </c>
      <c r="B1293" s="7" t="str">
        <f>VLOOKUP(VALUE(A1293), 'DICIONÁRIO UF'!$A:$B, 2, FALSE)</f>
        <v>Piauí</v>
      </c>
      <c r="C1293" s="3">
        <v>10092</v>
      </c>
      <c r="D1293" s="5" t="str">
        <f>VLOOKUP(C1293, 'DICIONÁRIO CNAES'!$A:$B, 2, FALSE)</f>
        <v>Fabricação e refino do açúcar</v>
      </c>
      <c r="E1293" s="4">
        <v>750.91262807999999</v>
      </c>
      <c r="F1293" s="4">
        <v>1351642.7305439999</v>
      </c>
    </row>
    <row r="1294" spans="1:6" x14ac:dyDescent="0.3">
      <c r="A1294" s="3" t="s">
        <v>12</v>
      </c>
      <c r="B1294" s="7" t="str">
        <f>VLOOKUP(VALUE(A1294), 'DICIONÁRIO UF'!$A:$B, 2, FALSE)</f>
        <v>Piauí</v>
      </c>
      <c r="C1294" s="3">
        <v>10099</v>
      </c>
      <c r="D1294" s="5" t="str">
        <f>VLOOKUP(C1294, 'DICIONÁRIO CNAES'!$A:$B, 2, FALSE)</f>
        <v>Fabricação de outros produtos alimentícios</v>
      </c>
      <c r="E1294" s="4">
        <v>325.17209973000001</v>
      </c>
      <c r="F1294" s="4">
        <v>146327.44487850001</v>
      </c>
    </row>
    <row r="1295" spans="1:6" x14ac:dyDescent="0.3">
      <c r="A1295" s="3" t="s">
        <v>12</v>
      </c>
      <c r="B1295" s="7" t="str">
        <f>VLOOKUP(VALUE(A1295), 'DICIONÁRIO UF'!$A:$B, 2, FALSE)</f>
        <v>Piauí</v>
      </c>
      <c r="C1295" s="3">
        <v>11000</v>
      </c>
      <c r="D1295" s="5" t="str">
        <f>VLOOKUP(C1295, 'DICIONÁRIO CNAES'!$A:$B, 2, FALSE)</f>
        <v>Fabricação de bebidas</v>
      </c>
      <c r="E1295" s="4">
        <v>738.45596926999997</v>
      </c>
      <c r="F1295" s="4">
        <v>1629950.6071850001</v>
      </c>
    </row>
    <row r="1296" spans="1:6" x14ac:dyDescent="0.3">
      <c r="A1296" s="3" t="s">
        <v>12</v>
      </c>
      <c r="B1296" s="7" t="str">
        <f>VLOOKUP(VALUE(A1296), 'DICIONÁRIO UF'!$A:$B, 2, FALSE)</f>
        <v>Piauí</v>
      </c>
      <c r="C1296" s="3">
        <v>13002</v>
      </c>
      <c r="D1296" s="5" t="str">
        <f>VLOOKUP(C1296, 'DICIONÁRIO CNAES'!$A:$B, 2, FALSE)</f>
        <v>Fabricação de artefatos têxteis, exceto vestuário</v>
      </c>
      <c r="E1296" s="4">
        <v>5442.7287991399999</v>
      </c>
      <c r="F1296" s="4">
        <v>2083999.8117275999</v>
      </c>
    </row>
    <row r="1297" spans="1:6" x14ac:dyDescent="0.3">
      <c r="A1297" s="3" t="s">
        <v>12</v>
      </c>
      <c r="B1297" s="7" t="str">
        <f>VLOOKUP(VALUE(A1297), 'DICIONÁRIO UF'!$A:$B, 2, FALSE)</f>
        <v>Piauí</v>
      </c>
      <c r="C1297" s="3">
        <v>14001</v>
      </c>
      <c r="D1297" s="5" t="str">
        <f>VLOOKUP(C1297, 'DICIONÁRIO CNAES'!$A:$B, 2, FALSE)</f>
        <v>Confecção de artigos do vestuário e acessórios, exceto sob medida</v>
      </c>
      <c r="E1297" s="4">
        <v>7443.0675649300001</v>
      </c>
      <c r="F1297" s="4">
        <v>7226568.2647705004</v>
      </c>
    </row>
    <row r="1298" spans="1:6" x14ac:dyDescent="0.3">
      <c r="A1298" s="3" t="s">
        <v>12</v>
      </c>
      <c r="B1298" s="7" t="str">
        <f>VLOOKUP(VALUE(A1298), 'DICIONÁRIO UF'!$A:$B, 2, FALSE)</f>
        <v>Piauí</v>
      </c>
      <c r="C1298" s="3">
        <v>14002</v>
      </c>
      <c r="D1298" s="5" t="str">
        <f>VLOOKUP(C1298, 'DICIONÁRIO CNAES'!$A:$B, 2, FALSE)</f>
        <v>Confecção, sob medida, de artigos do vestuário</v>
      </c>
      <c r="E1298" s="4">
        <v>9571.6463505899992</v>
      </c>
      <c r="F1298" s="4">
        <v>5532130.2445085002</v>
      </c>
    </row>
    <row r="1299" spans="1:6" x14ac:dyDescent="0.3">
      <c r="A1299" s="3" t="s">
        <v>12</v>
      </c>
      <c r="B1299" s="7" t="str">
        <f>VLOOKUP(VALUE(A1299), 'DICIONÁRIO UF'!$A:$B, 2, FALSE)</f>
        <v>Piauí</v>
      </c>
      <c r="C1299" s="3">
        <v>15012</v>
      </c>
      <c r="D1299" s="5" t="str">
        <f>VLOOKUP(C1299, 'DICIONÁRIO CNAES'!$A:$B, 2, FALSE)</f>
        <v>Fabricação de artigos de viagem e de artefatos diversos de couro</v>
      </c>
      <c r="E1299" s="4">
        <v>833.02725714000007</v>
      </c>
      <c r="F1299" s="4">
        <v>978813.53701999993</v>
      </c>
    </row>
    <row r="1300" spans="1:6" x14ac:dyDescent="0.3">
      <c r="A1300" s="3" t="s">
        <v>12</v>
      </c>
      <c r="B1300" s="7" t="str">
        <f>VLOOKUP(VALUE(A1300), 'DICIONÁRIO UF'!$A:$B, 2, FALSE)</f>
        <v>Piauí</v>
      </c>
      <c r="C1300" s="3">
        <v>16002</v>
      </c>
      <c r="D1300" s="5" t="str">
        <f>VLOOKUP(C1300, 'DICIONÁRIO CNAES'!$A:$B, 2, FALSE)</f>
        <v>Fabricação de produtos de madeira, cortiça e material trançado, exceto móveis</v>
      </c>
      <c r="E1300" s="4">
        <v>871.27734756999996</v>
      </c>
      <c r="F1300" s="4">
        <v>908214.88271699997</v>
      </c>
    </row>
    <row r="1301" spans="1:6" x14ac:dyDescent="0.3">
      <c r="A1301" s="3" t="s">
        <v>12</v>
      </c>
      <c r="B1301" s="7" t="str">
        <f>VLOOKUP(VALUE(A1301), 'DICIONÁRIO UF'!$A:$B, 2, FALSE)</f>
        <v>Piauí</v>
      </c>
      <c r="C1301" s="3">
        <v>18000</v>
      </c>
      <c r="D1301" s="5" t="str">
        <f>VLOOKUP(C1301, 'DICIONÁRIO CNAES'!$A:$B, 2, FALSE)</f>
        <v>Impressão e reprodução de gravações</v>
      </c>
      <c r="E1301" s="4">
        <v>3250.2991658699998</v>
      </c>
      <c r="F1301" s="4">
        <v>13548630.018815501</v>
      </c>
    </row>
    <row r="1302" spans="1:6" x14ac:dyDescent="0.3">
      <c r="A1302" s="3" t="s">
        <v>12</v>
      </c>
      <c r="B1302" s="7" t="str">
        <f>VLOOKUP(VALUE(A1302), 'DICIONÁRIO UF'!$A:$B, 2, FALSE)</f>
        <v>Piauí</v>
      </c>
      <c r="C1302" s="3">
        <v>19030</v>
      </c>
      <c r="D1302" s="5" t="str">
        <f>VLOOKUP(C1302, 'DICIONÁRIO CNAES'!$A:$B, 2, FALSE)</f>
        <v>Produção de biocombustíveis</v>
      </c>
      <c r="E1302" s="4">
        <v>725.83238227000004</v>
      </c>
      <c r="F1302" s="4">
        <v>2395246.8614909998</v>
      </c>
    </row>
    <row r="1303" spans="1:6" x14ac:dyDescent="0.3">
      <c r="A1303" s="3" t="s">
        <v>12</v>
      </c>
      <c r="B1303" s="7" t="str">
        <f>VLOOKUP(VALUE(A1303), 'DICIONÁRIO UF'!$A:$B, 2, FALSE)</f>
        <v>Piauí</v>
      </c>
      <c r="C1303" s="3">
        <v>20020</v>
      </c>
      <c r="D1303" s="5" t="str">
        <f>VLOOKUP(C1303, 'DICIONÁRIO CNAES'!$A:$B, 2, FALSE)</f>
        <v>Fabricação de sabões, detergentes, produtos de limpeza, cosméticos, produtos de perfumaria e de higiene pessoal</v>
      </c>
      <c r="E1303" s="4">
        <v>277.55770074999998</v>
      </c>
      <c r="F1303" s="4">
        <v>305313.47082500003</v>
      </c>
    </row>
    <row r="1304" spans="1:6" x14ac:dyDescent="0.3">
      <c r="A1304" s="3" t="s">
        <v>12</v>
      </c>
      <c r="B1304" s="7" t="str">
        <f>VLOOKUP(VALUE(A1304), 'DICIONÁRIO UF'!$A:$B, 2, FALSE)</f>
        <v>Piauí</v>
      </c>
      <c r="C1304" s="3">
        <v>20090</v>
      </c>
      <c r="D1304" s="5" t="str">
        <f>VLOOKUP(C1304, 'DICIONÁRIO CNAES'!$A:$B, 2, FALSE)</f>
        <v>Fabricação de outros produtos químicos não especificados anteriormente</v>
      </c>
      <c r="E1304" s="4">
        <v>176.99897143999999</v>
      </c>
      <c r="F1304" s="4">
        <v>176998.97143999999</v>
      </c>
    </row>
    <row r="1305" spans="1:6" x14ac:dyDescent="0.3">
      <c r="A1305" s="3" t="s">
        <v>12</v>
      </c>
      <c r="B1305" s="7" t="str">
        <f>VLOOKUP(VALUE(A1305), 'DICIONÁRIO UF'!$A:$B, 2, FALSE)</f>
        <v>Piauí</v>
      </c>
      <c r="C1305" s="3">
        <v>21000</v>
      </c>
      <c r="D1305" s="5" t="str">
        <f>VLOOKUP(C1305, 'DICIONÁRIO CNAES'!$A:$B, 2, FALSE)</f>
        <v>Fabricação de produtos farmoquimicos e farmacêuticos</v>
      </c>
      <c r="E1305" s="4">
        <v>435.28789017000003</v>
      </c>
      <c r="F1305" s="4">
        <v>3482303.1213600002</v>
      </c>
    </row>
    <row r="1306" spans="1:6" x14ac:dyDescent="0.3">
      <c r="A1306" s="3" t="s">
        <v>12</v>
      </c>
      <c r="B1306" s="7" t="str">
        <f>VLOOKUP(VALUE(A1306), 'DICIONÁRIO UF'!$A:$B, 2, FALSE)</f>
        <v>Piauí</v>
      </c>
      <c r="C1306" s="3">
        <v>22010</v>
      </c>
      <c r="D1306" s="5" t="str">
        <f>VLOOKUP(C1306, 'DICIONÁRIO CNAES'!$A:$B, 2, FALSE)</f>
        <v>Fabricação de produtos de borracha</v>
      </c>
      <c r="E1306" s="4">
        <v>516.30671211000003</v>
      </c>
      <c r="F1306" s="4">
        <v>1807073.492385</v>
      </c>
    </row>
    <row r="1307" spans="1:6" x14ac:dyDescent="0.3">
      <c r="A1307" s="3" t="s">
        <v>12</v>
      </c>
      <c r="B1307" s="7" t="str">
        <f>VLOOKUP(VALUE(A1307), 'DICIONÁRIO UF'!$A:$B, 2, FALSE)</f>
        <v>Piauí</v>
      </c>
      <c r="C1307" s="3">
        <v>22020</v>
      </c>
      <c r="D1307" s="5" t="str">
        <f>VLOOKUP(C1307, 'DICIONÁRIO CNAES'!$A:$B, 2, FALSE)</f>
        <v>Fabricação de produtos de material plástico</v>
      </c>
      <c r="E1307" s="4">
        <v>1383.76279942</v>
      </c>
      <c r="F1307" s="4">
        <v>280903.84828226001</v>
      </c>
    </row>
    <row r="1308" spans="1:6" x14ac:dyDescent="0.3">
      <c r="A1308" s="3" t="s">
        <v>12</v>
      </c>
      <c r="B1308" s="7" t="str">
        <f>VLOOKUP(VALUE(A1308), 'DICIONÁRIO UF'!$A:$B, 2, FALSE)</f>
        <v>Piauí</v>
      </c>
      <c r="C1308" s="3">
        <v>23091</v>
      </c>
      <c r="D1308" s="5" t="str">
        <f>VLOOKUP(C1308, 'DICIONÁRIO CNAES'!$A:$B, 2, FALSE)</f>
        <v>Fabricação de produtos cerâmicos</v>
      </c>
      <c r="E1308" s="4">
        <v>3411.6843870100001</v>
      </c>
      <c r="F1308" s="4">
        <v>3296581.6791625</v>
      </c>
    </row>
    <row r="1309" spans="1:6" x14ac:dyDescent="0.3">
      <c r="A1309" s="3" t="s">
        <v>12</v>
      </c>
      <c r="B1309" s="7" t="str">
        <f>VLOOKUP(VALUE(A1309), 'DICIONÁRIO UF'!$A:$B, 2, FALSE)</f>
        <v>Piauí</v>
      </c>
      <c r="C1309" s="3">
        <v>23099</v>
      </c>
      <c r="D1309" s="5" t="str">
        <f>VLOOKUP(C1309, 'DICIONÁRIO CNAES'!$A:$B, 2, FALSE)</f>
        <v>Fabricação de outros produtos de minerais não-metálicos não especificados anteriormente</v>
      </c>
      <c r="E1309" s="4">
        <v>2647.0664988100002</v>
      </c>
      <c r="F1309" s="4">
        <v>3101916.7001724001</v>
      </c>
    </row>
    <row r="1310" spans="1:6" x14ac:dyDescent="0.3">
      <c r="A1310" s="3" t="s">
        <v>12</v>
      </c>
      <c r="B1310" s="7" t="str">
        <f>VLOOKUP(VALUE(A1310), 'DICIONÁRIO UF'!$A:$B, 2, FALSE)</f>
        <v>Piauí</v>
      </c>
      <c r="C1310" s="3">
        <v>25001</v>
      </c>
      <c r="D1310" s="5" t="str">
        <f>VLOOKUP(C1310, 'DICIONÁRIO CNAES'!$A:$B, 2, FALSE)</f>
        <v>Fabricação de produtos de metal, exceto máquinas e equipamentos</v>
      </c>
      <c r="E1310" s="4">
        <v>8283.4701613100005</v>
      </c>
      <c r="F1310" s="4">
        <v>10829500.6701787</v>
      </c>
    </row>
    <row r="1311" spans="1:6" x14ac:dyDescent="0.3">
      <c r="A1311" s="3" t="s">
        <v>12</v>
      </c>
      <c r="B1311" s="7" t="str">
        <f>VLOOKUP(VALUE(A1311), 'DICIONÁRIO UF'!$A:$B, 2, FALSE)</f>
        <v>Piauí</v>
      </c>
      <c r="C1311" s="3">
        <v>25002</v>
      </c>
      <c r="D1311" s="5" t="str">
        <f>VLOOKUP(C1311, 'DICIONÁRIO CNAES'!$A:$B, 2, FALSE)</f>
        <v>Forjaria, estamparia, metalurgia do pó e serviços de tratamento de metais</v>
      </c>
      <c r="E1311" s="4">
        <v>900.03838933999998</v>
      </c>
      <c r="F1311" s="4">
        <v>641518.42261500005</v>
      </c>
    </row>
    <row r="1312" spans="1:6" x14ac:dyDescent="0.3">
      <c r="A1312" s="3" t="s">
        <v>12</v>
      </c>
      <c r="B1312" s="7" t="str">
        <f>VLOOKUP(VALUE(A1312), 'DICIONÁRIO UF'!$A:$B, 2, FALSE)</f>
        <v>Piauí</v>
      </c>
      <c r="C1312" s="3">
        <v>26041</v>
      </c>
      <c r="D1312" s="5" t="str">
        <f>VLOOKUP(C1312, 'DICIONÁRIO CNAES'!$A:$B, 2, FALSE)</f>
        <v>Fabricação de aparelhos e instrumentos de medida, teste e controle; cronômetros e relógios e de aparelhos eletromédicos e eletroterapêuticos</v>
      </c>
      <c r="E1312" s="4">
        <v>314.32892516999999</v>
      </c>
      <c r="F1312" s="4">
        <v>345761.81768699997</v>
      </c>
    </row>
    <row r="1313" spans="1:6" x14ac:dyDescent="0.3">
      <c r="A1313" s="3" t="s">
        <v>12</v>
      </c>
      <c r="B1313" s="7" t="str">
        <f>VLOOKUP(VALUE(A1313), 'DICIONÁRIO UF'!$A:$B, 2, FALSE)</f>
        <v>Piauí</v>
      </c>
      <c r="C1313" s="3">
        <v>27090</v>
      </c>
      <c r="D1313" s="5" t="str">
        <f>VLOOKUP(C1313, 'DICIONÁRIO CNAES'!$A:$B, 2, FALSE)</f>
        <v>Fabricação de máquinas, aparelhos e materiais elétricos diversos, exceto eletrodomesticos</v>
      </c>
      <c r="E1313" s="4">
        <v>204.03828095</v>
      </c>
      <c r="F1313" s="4">
        <v>224442.10904499999</v>
      </c>
    </row>
    <row r="1314" spans="1:6" x14ac:dyDescent="0.3">
      <c r="A1314" s="3" t="s">
        <v>12</v>
      </c>
      <c r="B1314" s="7" t="str">
        <f>VLOOKUP(VALUE(A1314), 'DICIONÁRIO UF'!$A:$B, 2, FALSE)</f>
        <v>Piauí</v>
      </c>
      <c r="C1314" s="3">
        <v>29002</v>
      </c>
      <c r="D1314" s="5" t="str">
        <f>VLOOKUP(C1314, 'DICIONÁRIO CNAES'!$A:$B, 2, FALSE)</f>
        <v>Fabricação de cabines, carrocerias, reboques e peças para veículos automotores</v>
      </c>
      <c r="E1314" s="4">
        <v>505.23386175000002</v>
      </c>
      <c r="F1314" s="4">
        <v>909420.95114999998</v>
      </c>
    </row>
    <row r="1315" spans="1:6" x14ac:dyDescent="0.3">
      <c r="A1315" s="3" t="s">
        <v>12</v>
      </c>
      <c r="B1315" s="7" t="str">
        <f>VLOOKUP(VALUE(A1315), 'DICIONÁRIO UF'!$A:$B, 2, FALSE)</f>
        <v>Piauí</v>
      </c>
      <c r="C1315" s="3">
        <v>30090</v>
      </c>
      <c r="D1315" s="5" t="str">
        <f>VLOOKUP(C1315, 'DICIONÁRIO CNAES'!$A:$B, 2, FALSE)</f>
        <v>Fabricação de outros equipamentos de transporte não especificados anteriormente</v>
      </c>
      <c r="E1315" s="4">
        <v>214.15202253000001</v>
      </c>
      <c r="F1315" s="4">
        <v>235567.22478300001</v>
      </c>
    </row>
    <row r="1316" spans="1:6" x14ac:dyDescent="0.3">
      <c r="A1316" s="3" t="s">
        <v>12</v>
      </c>
      <c r="B1316" s="7" t="str">
        <f>VLOOKUP(VALUE(A1316), 'DICIONÁRIO UF'!$A:$B, 2, FALSE)</f>
        <v>Piauí</v>
      </c>
      <c r="C1316" s="3">
        <v>31000</v>
      </c>
      <c r="D1316" s="5" t="str">
        <f>VLOOKUP(C1316, 'DICIONÁRIO CNAES'!$A:$B, 2, FALSE)</f>
        <v>Fabricação de móveis</v>
      </c>
      <c r="E1316" s="4">
        <v>5433.9088470899997</v>
      </c>
      <c r="F1316" s="4">
        <v>11794875.701910401</v>
      </c>
    </row>
    <row r="1317" spans="1:6" x14ac:dyDescent="0.3">
      <c r="A1317" s="3" t="s">
        <v>12</v>
      </c>
      <c r="B1317" s="7" t="str">
        <f>VLOOKUP(VALUE(A1317), 'DICIONÁRIO UF'!$A:$B, 2, FALSE)</f>
        <v>Piauí</v>
      </c>
      <c r="C1317" s="3">
        <v>32009</v>
      </c>
      <c r="D1317" s="5" t="str">
        <f>VLOOKUP(C1317, 'DICIONÁRIO CNAES'!$A:$B, 2, FALSE)</f>
        <v>Fabricação de produtos diversos</v>
      </c>
      <c r="E1317" s="4">
        <v>2108.09552089</v>
      </c>
      <c r="F1317" s="4">
        <v>670921.63275500003</v>
      </c>
    </row>
    <row r="1318" spans="1:6" x14ac:dyDescent="0.3">
      <c r="A1318" s="3" t="s">
        <v>12</v>
      </c>
      <c r="B1318" s="7" t="str">
        <f>VLOOKUP(VALUE(A1318), 'DICIONÁRIO UF'!$A:$B, 2, FALSE)</f>
        <v>Piauí</v>
      </c>
      <c r="C1318" s="3">
        <v>33001</v>
      </c>
      <c r="D1318" s="5" t="str">
        <f>VLOOKUP(C1318, 'DICIONÁRIO CNAES'!$A:$B, 2, FALSE)</f>
        <v>Manutenção e reparação de máquinas e equipamentos</v>
      </c>
      <c r="E1318" s="4">
        <v>1045.82787478</v>
      </c>
      <c r="F1318" s="4">
        <v>1055616.58236324</v>
      </c>
    </row>
    <row r="1319" spans="1:6" x14ac:dyDescent="0.3">
      <c r="A1319" s="3" t="s">
        <v>12</v>
      </c>
      <c r="B1319" s="7" t="str">
        <f>VLOOKUP(VALUE(A1319), 'DICIONÁRIO UF'!$A:$B, 2, FALSE)</f>
        <v>Piauí</v>
      </c>
      <c r="C1319" s="3">
        <v>35010</v>
      </c>
      <c r="D1319" s="5" t="str">
        <f>VLOOKUP(C1319, 'DICIONÁRIO CNAES'!$A:$B, 2, FALSE)</f>
        <v>Geração, transmissão e distribuição de energia elétrica</v>
      </c>
      <c r="E1319" s="4">
        <v>3815.96306129</v>
      </c>
      <c r="F1319" s="4">
        <v>7513875.5871430002</v>
      </c>
    </row>
    <row r="1320" spans="1:6" x14ac:dyDescent="0.3">
      <c r="A1320" s="3" t="s">
        <v>12</v>
      </c>
      <c r="B1320" s="7" t="str">
        <f>VLOOKUP(VALUE(A1320), 'DICIONÁRIO UF'!$A:$B, 2, FALSE)</f>
        <v>Piauí</v>
      </c>
      <c r="C1320" s="3">
        <v>36000</v>
      </c>
      <c r="D1320" s="5" t="str">
        <f>VLOOKUP(C1320, 'DICIONÁRIO CNAES'!$A:$B, 2, FALSE)</f>
        <v>Captação, tratamento e distribuição de água</v>
      </c>
      <c r="E1320" s="4">
        <v>3935.1331719700001</v>
      </c>
      <c r="F1320" s="4">
        <v>17934811.980237</v>
      </c>
    </row>
    <row r="1321" spans="1:6" x14ac:dyDescent="0.3">
      <c r="A1321" s="3" t="s">
        <v>12</v>
      </c>
      <c r="B1321" s="7" t="str">
        <f>VLOOKUP(VALUE(A1321), 'DICIONÁRIO UF'!$A:$B, 2, FALSE)</f>
        <v>Piauí</v>
      </c>
      <c r="C1321" s="3">
        <v>38000</v>
      </c>
      <c r="D1321" s="5" t="str">
        <f>VLOOKUP(C1321, 'DICIONÁRIO CNAES'!$A:$B, 2, FALSE)</f>
        <v>Coleta, tratamento e disposição de resíduos; recuperação de materiais</v>
      </c>
      <c r="E1321" s="4">
        <v>2824.45423428</v>
      </c>
      <c r="F1321" s="4">
        <v>2504003.6615714999</v>
      </c>
    </row>
    <row r="1322" spans="1:6" x14ac:dyDescent="0.3">
      <c r="A1322" s="3" t="s">
        <v>12</v>
      </c>
      <c r="B1322" s="7" t="str">
        <f>VLOOKUP(VALUE(A1322), 'DICIONÁRIO UF'!$A:$B, 2, FALSE)</f>
        <v>Piauí</v>
      </c>
      <c r="C1322" s="3">
        <v>41000</v>
      </c>
      <c r="D1322" s="5" t="str">
        <f>VLOOKUP(C1322, 'DICIONÁRIO CNAES'!$A:$B, 2, FALSE)</f>
        <v>Construção de edifícios</v>
      </c>
      <c r="E1322" s="4">
        <v>82769.436776500006</v>
      </c>
      <c r="F1322" s="4">
        <v>96821046.297589704</v>
      </c>
    </row>
    <row r="1323" spans="1:6" x14ac:dyDescent="0.3">
      <c r="A1323" s="3" t="s">
        <v>12</v>
      </c>
      <c r="B1323" s="7" t="str">
        <f>VLOOKUP(VALUE(A1323), 'DICIONÁRIO UF'!$A:$B, 2, FALSE)</f>
        <v>Piauí</v>
      </c>
      <c r="C1323" s="3">
        <v>42000</v>
      </c>
      <c r="D1323" s="5" t="str">
        <f>VLOOKUP(C1323, 'DICIONÁRIO CNAES'!$A:$B, 2, FALSE)</f>
        <v>Construção de obras de infra-estrutura</v>
      </c>
      <c r="E1323" s="4">
        <v>16786.096174540002</v>
      </c>
      <c r="F1323" s="4">
        <v>25361788.140978329</v>
      </c>
    </row>
    <row r="1324" spans="1:6" x14ac:dyDescent="0.3">
      <c r="A1324" s="3" t="s">
        <v>12</v>
      </c>
      <c r="B1324" s="7" t="str">
        <f>VLOOKUP(VALUE(A1324), 'DICIONÁRIO UF'!$A:$B, 2, FALSE)</f>
        <v>Piauí</v>
      </c>
      <c r="C1324" s="3">
        <v>43000</v>
      </c>
      <c r="D1324" s="5" t="str">
        <f>VLOOKUP(C1324, 'DICIONÁRIO CNAES'!$A:$B, 2, FALSE)</f>
        <v>Serviços especializados para construção</v>
      </c>
      <c r="E1324" s="4">
        <v>14813.80549913</v>
      </c>
      <c r="F1324" s="4">
        <v>16654897.16666491</v>
      </c>
    </row>
    <row r="1325" spans="1:6" x14ac:dyDescent="0.3">
      <c r="A1325" s="3" t="s">
        <v>12</v>
      </c>
      <c r="B1325" s="7" t="str">
        <f>VLOOKUP(VALUE(A1325), 'DICIONÁRIO UF'!$A:$B, 2, FALSE)</f>
        <v>Piauí</v>
      </c>
      <c r="C1325" s="3">
        <v>45010</v>
      </c>
      <c r="D1325" s="5" t="str">
        <f>VLOOKUP(C1325, 'DICIONÁRIO CNAES'!$A:$B, 2, FALSE)</f>
        <v>Comércio de veículos automotores</v>
      </c>
      <c r="E1325" s="4">
        <v>2934.8552725899999</v>
      </c>
      <c r="F1325" s="4">
        <v>6875463.5748521201</v>
      </c>
    </row>
    <row r="1326" spans="1:6" x14ac:dyDescent="0.3">
      <c r="A1326" s="3" t="s">
        <v>12</v>
      </c>
      <c r="B1326" s="7" t="str">
        <f>VLOOKUP(VALUE(A1326), 'DICIONÁRIO UF'!$A:$B, 2, FALSE)</f>
        <v>Piauí</v>
      </c>
      <c r="C1326" s="3">
        <v>45020</v>
      </c>
      <c r="D1326" s="5" t="str">
        <f>VLOOKUP(C1326, 'DICIONÁRIO CNAES'!$A:$B, 2, FALSE)</f>
        <v>Manutenção e reparação de veículos automotores</v>
      </c>
      <c r="E1326" s="4">
        <v>19552.045315849999</v>
      </c>
      <c r="F1326" s="4">
        <v>22801597.370285869</v>
      </c>
    </row>
    <row r="1327" spans="1:6" x14ac:dyDescent="0.3">
      <c r="A1327" s="3" t="s">
        <v>12</v>
      </c>
      <c r="B1327" s="7" t="str">
        <f>VLOOKUP(VALUE(A1327), 'DICIONÁRIO UF'!$A:$B, 2, FALSE)</f>
        <v>Piauí</v>
      </c>
      <c r="C1327" s="3">
        <v>45030</v>
      </c>
      <c r="D1327" s="5" t="str">
        <f>VLOOKUP(C1327, 'DICIONÁRIO CNAES'!$A:$B, 2, FALSE)</f>
        <v>Comércio de peças e acessórios para veículos automotores</v>
      </c>
      <c r="E1327" s="4">
        <v>5433.6538804900001</v>
      </c>
      <c r="F1327" s="4">
        <v>12778311.533108</v>
      </c>
    </row>
    <row r="1328" spans="1:6" x14ac:dyDescent="0.3">
      <c r="A1328" s="3" t="s">
        <v>12</v>
      </c>
      <c r="B1328" s="7" t="str">
        <f>VLOOKUP(VALUE(A1328), 'DICIONÁRIO UF'!$A:$B, 2, FALSE)</f>
        <v>Piauí</v>
      </c>
      <c r="C1328" s="3">
        <v>45040</v>
      </c>
      <c r="D1328" s="5" t="str">
        <f>VLOOKUP(C1328, 'DICIONÁRIO CNAES'!$A:$B, 2, FALSE)</f>
        <v>Comércio, manutenção e reparação de motocicletas, peças e acessórios</v>
      </c>
      <c r="E1328" s="4">
        <v>13757.931468029999</v>
      </c>
      <c r="F1328" s="4">
        <v>13740913.365874</v>
      </c>
    </row>
    <row r="1329" spans="1:6" x14ac:dyDescent="0.3">
      <c r="A1329" s="3" t="s">
        <v>12</v>
      </c>
      <c r="B1329" s="7" t="str">
        <f>VLOOKUP(VALUE(A1329), 'DICIONÁRIO UF'!$A:$B, 2, FALSE)</f>
        <v>Piauí</v>
      </c>
      <c r="C1329" s="3">
        <v>48010</v>
      </c>
      <c r="D1329" s="5" t="str">
        <f>VLOOKUP(C1329, 'DICIONÁRIO CNAES'!$A:$B, 2, FALSE)</f>
        <v>Representantes comerciais e agentes do comércio, exceto de veículos automotores e motocicletas</v>
      </c>
      <c r="E1329" s="4">
        <v>2130.50419814</v>
      </c>
      <c r="F1329" s="4">
        <v>5892368.7264669994</v>
      </c>
    </row>
    <row r="1330" spans="1:6" x14ac:dyDescent="0.3">
      <c r="A1330" s="3" t="s">
        <v>12</v>
      </c>
      <c r="B1330" s="7" t="str">
        <f>VLOOKUP(VALUE(A1330), 'DICIONÁRIO UF'!$A:$B, 2, FALSE)</f>
        <v>Piauí</v>
      </c>
      <c r="C1330" s="3">
        <v>48020</v>
      </c>
      <c r="D1330" s="5" t="str">
        <f>VLOOKUP(C1330, 'DICIONÁRIO CNAES'!$A:$B, 2, FALSE)</f>
        <v>Comércio de matérias-primas agrícolas e animais vivos</v>
      </c>
      <c r="E1330" s="4">
        <v>1195.35363192</v>
      </c>
      <c r="F1330" s="4">
        <v>1561138.1058980001</v>
      </c>
    </row>
    <row r="1331" spans="1:6" x14ac:dyDescent="0.3">
      <c r="A1331" s="3" t="s">
        <v>12</v>
      </c>
      <c r="B1331" s="7" t="str">
        <f>VLOOKUP(VALUE(A1331), 'DICIONÁRIO UF'!$A:$B, 2, FALSE)</f>
        <v>Piauí</v>
      </c>
      <c r="C1331" s="3">
        <v>48030</v>
      </c>
      <c r="D1331" s="5" t="str">
        <f>VLOOKUP(C1331, 'DICIONÁRIO CNAES'!$A:$B, 2, FALSE)</f>
        <v>Comércio de produtos alimentícios, bebidas e fumo</v>
      </c>
      <c r="E1331" s="4">
        <v>68340.68625708</v>
      </c>
      <c r="F1331" s="4">
        <v>90013155.133499295</v>
      </c>
    </row>
    <row r="1332" spans="1:6" x14ac:dyDescent="0.3">
      <c r="A1332" s="3" t="s">
        <v>12</v>
      </c>
      <c r="B1332" s="7" t="str">
        <f>VLOOKUP(VALUE(A1332), 'DICIONÁRIO UF'!$A:$B, 2, FALSE)</f>
        <v>Piauí</v>
      </c>
      <c r="C1332" s="3">
        <v>48041</v>
      </c>
      <c r="D1332" s="5" t="str">
        <f>VLOOKUP(C1332, 'DICIONÁRIO CNAES'!$A:$B, 2, FALSE)</f>
        <v>Comércio de tecidos, artefatos de tecidos e armarinho</v>
      </c>
      <c r="E1332" s="4">
        <v>2590.0803151300001</v>
      </c>
      <c r="F1332" s="4">
        <v>2902845.3384369998</v>
      </c>
    </row>
    <row r="1333" spans="1:6" x14ac:dyDescent="0.3">
      <c r="A1333" s="3" t="s">
        <v>12</v>
      </c>
      <c r="B1333" s="7" t="str">
        <f>VLOOKUP(VALUE(A1333), 'DICIONÁRIO UF'!$A:$B, 2, FALSE)</f>
        <v>Piauí</v>
      </c>
      <c r="C1333" s="3">
        <v>48042</v>
      </c>
      <c r="D1333" s="5" t="str">
        <f>VLOOKUP(C1333, 'DICIONÁRIO CNAES'!$A:$B, 2, FALSE)</f>
        <v>Comércio de artigos do vestuário, complementos, calçados e artigos de viagem</v>
      </c>
      <c r="E1333" s="4">
        <v>43480.046819299998</v>
      </c>
      <c r="F1333" s="4">
        <v>47012076.88995634</v>
      </c>
    </row>
    <row r="1334" spans="1:6" x14ac:dyDescent="0.3">
      <c r="A1334" s="3" t="s">
        <v>12</v>
      </c>
      <c r="B1334" s="7" t="str">
        <f>VLOOKUP(VALUE(A1334), 'DICIONÁRIO UF'!$A:$B, 2, FALSE)</f>
        <v>Piauí</v>
      </c>
      <c r="C1334" s="3">
        <v>48050</v>
      </c>
      <c r="D1334" s="5" t="str">
        <f>VLOOKUP(C1334, 'DICIONÁRIO CNAES'!$A:$B, 2, FALSE)</f>
        <v>Comércio de madeira, material de construção, ferragens e ferramentas</v>
      </c>
      <c r="E1334" s="4">
        <v>14032.01690823</v>
      </c>
      <c r="F1334" s="4">
        <v>18750111.363401301</v>
      </c>
    </row>
    <row r="1335" spans="1:6" x14ac:dyDescent="0.3">
      <c r="A1335" s="3" t="s">
        <v>12</v>
      </c>
      <c r="B1335" s="7" t="str">
        <f>VLOOKUP(VALUE(A1335), 'DICIONÁRIO UF'!$A:$B, 2, FALSE)</f>
        <v>Piauí</v>
      </c>
      <c r="C1335" s="3">
        <v>48060</v>
      </c>
      <c r="D1335" s="5" t="str">
        <f>VLOOKUP(C1335, 'DICIONÁRIO CNAES'!$A:$B, 2, FALSE)</f>
        <v>Comércio de combustíveis para veículos automotores</v>
      </c>
      <c r="E1335" s="4">
        <v>9949.8290080299994</v>
      </c>
      <c r="F1335" s="4">
        <v>13083537.631445</v>
      </c>
    </row>
    <row r="1336" spans="1:6" x14ac:dyDescent="0.3">
      <c r="A1336" s="3" t="s">
        <v>12</v>
      </c>
      <c r="B1336" s="7" t="str">
        <f>VLOOKUP(VALUE(A1336), 'DICIONÁRIO UF'!$A:$B, 2, FALSE)</f>
        <v>Piauí</v>
      </c>
      <c r="C1336" s="3">
        <v>48071</v>
      </c>
      <c r="D1336" s="5" t="str">
        <f>VLOOKUP(C1336, 'DICIONÁRIO CNAES'!$A:$B, 2, FALSE)</f>
        <v>Comércio de produtos farmaceuticos, médicos, ortopédicos, odontológicos e de cosméticos e perfumaria</v>
      </c>
      <c r="E1336" s="4">
        <v>26418.76973349</v>
      </c>
      <c r="F1336" s="4">
        <v>28389092.545965601</v>
      </c>
    </row>
    <row r="1337" spans="1:6" x14ac:dyDescent="0.3">
      <c r="A1337" s="3" t="s">
        <v>12</v>
      </c>
      <c r="B1337" s="7" t="str">
        <f>VLOOKUP(VALUE(A1337), 'DICIONÁRIO UF'!$A:$B, 2, FALSE)</f>
        <v>Piauí</v>
      </c>
      <c r="C1337" s="3">
        <v>48072</v>
      </c>
      <c r="D1337" s="5" t="str">
        <f>VLOOKUP(C1337, 'DICIONÁRIO CNAES'!$A:$B, 2, FALSE)</f>
        <v>Comércio de artigos de escritório e de papelaria; livros, jornais e outras publicações</v>
      </c>
      <c r="E1337" s="4">
        <v>2063.8950880900002</v>
      </c>
      <c r="F1337" s="4">
        <v>4579147.9693050003</v>
      </c>
    </row>
    <row r="1338" spans="1:6" x14ac:dyDescent="0.3">
      <c r="A1338" s="3" t="s">
        <v>12</v>
      </c>
      <c r="B1338" s="7" t="str">
        <f>VLOOKUP(VALUE(A1338), 'DICIONÁRIO UF'!$A:$B, 2, FALSE)</f>
        <v>Piauí</v>
      </c>
      <c r="C1338" s="3">
        <v>48073</v>
      </c>
      <c r="D1338" s="5" t="str">
        <f>VLOOKUP(C1338, 'DICIONÁRIO CNAES'!$A:$B, 2, FALSE)</f>
        <v>Comércio de eletrodomésticos, móveis e outros artigos de residência</v>
      </c>
      <c r="E1338" s="4">
        <v>10372.1000203</v>
      </c>
      <c r="F1338" s="4">
        <v>16981410.151381802</v>
      </c>
    </row>
    <row r="1339" spans="1:6" x14ac:dyDescent="0.3">
      <c r="A1339" s="3" t="s">
        <v>12</v>
      </c>
      <c r="B1339" s="7" t="str">
        <f>VLOOKUP(VALUE(A1339), 'DICIONÁRIO UF'!$A:$B, 2, FALSE)</f>
        <v>Piauí</v>
      </c>
      <c r="C1339" s="3">
        <v>48074</v>
      </c>
      <c r="D1339" s="5" t="str">
        <f>VLOOKUP(C1339, 'DICIONÁRIO CNAES'!$A:$B, 2, FALSE)</f>
        <v>Comércio de equipamentos e produtos de tecnologias de informação e comunicação</v>
      </c>
      <c r="E1339" s="4">
        <v>827.02418464000004</v>
      </c>
      <c r="F1339" s="4">
        <v>467909.64115150011</v>
      </c>
    </row>
    <row r="1340" spans="1:6" x14ac:dyDescent="0.3">
      <c r="A1340" s="3" t="s">
        <v>12</v>
      </c>
      <c r="B1340" s="7" t="str">
        <f>VLOOKUP(VALUE(A1340), 'DICIONÁRIO UF'!$A:$B, 2, FALSE)</f>
        <v>Piauí</v>
      </c>
      <c r="C1340" s="3">
        <v>48075</v>
      </c>
      <c r="D1340" s="5" t="str">
        <f>VLOOKUP(C1340, 'DICIONÁRIO CNAES'!$A:$B, 2, FALSE)</f>
        <v xml:space="preserve">Comércio de máquinas, aparelhos e equipamentos, exceto eletrodomésticos </v>
      </c>
      <c r="E1340" s="4">
        <v>1875.1683897299999</v>
      </c>
      <c r="F1340" s="4">
        <v>3789250.1117349998</v>
      </c>
    </row>
    <row r="1341" spans="1:6" x14ac:dyDescent="0.3">
      <c r="A1341" s="3" t="s">
        <v>12</v>
      </c>
      <c r="B1341" s="7" t="str">
        <f>VLOOKUP(VALUE(A1341), 'DICIONÁRIO UF'!$A:$B, 2, FALSE)</f>
        <v>Piauí</v>
      </c>
      <c r="C1341" s="3">
        <v>48076</v>
      </c>
      <c r="D1341" s="5" t="str">
        <f>VLOOKUP(C1341, 'DICIONÁRIO CNAES'!$A:$B, 2, FALSE)</f>
        <v>Comércio de combustíveis sólidos, líquidos e gasosos, exceto para veículos automotores</v>
      </c>
      <c r="E1341" s="4">
        <v>5527.5601974900001</v>
      </c>
      <c r="F1341" s="4">
        <v>16557686.292672001</v>
      </c>
    </row>
    <row r="1342" spans="1:6" x14ac:dyDescent="0.3">
      <c r="A1342" s="3" t="s">
        <v>12</v>
      </c>
      <c r="B1342" s="7" t="str">
        <f>VLOOKUP(VALUE(A1342), 'DICIONÁRIO UF'!$A:$B, 2, FALSE)</f>
        <v>Piauí</v>
      </c>
      <c r="C1342" s="3">
        <v>48078</v>
      </c>
      <c r="D1342" s="5" t="str">
        <f>VLOOKUP(C1342, 'DICIONÁRIO CNAES'!$A:$B, 2, FALSE)</f>
        <v>Comercio de residuos e sucatas</v>
      </c>
      <c r="E1342" s="4">
        <v>1573.0470470600001</v>
      </c>
      <c r="F1342" s="4">
        <v>1867491.508381</v>
      </c>
    </row>
    <row r="1343" spans="1:6" x14ac:dyDescent="0.3">
      <c r="A1343" s="3" t="s">
        <v>12</v>
      </c>
      <c r="B1343" s="7" t="str">
        <f>VLOOKUP(VALUE(A1343), 'DICIONÁRIO UF'!$A:$B, 2, FALSE)</f>
        <v>Piauí</v>
      </c>
      <c r="C1343" s="3">
        <v>48079</v>
      </c>
      <c r="D1343" s="5" t="str">
        <f>VLOOKUP(C1343, 'DICIONÁRIO CNAES'!$A:$B, 2, FALSE)</f>
        <v>Comércio de produtos novos não especificados anteriormente</v>
      </c>
      <c r="E1343" s="4">
        <v>12619.233661820001</v>
      </c>
      <c r="F1343" s="4">
        <v>21811572.7192288</v>
      </c>
    </row>
    <row r="1344" spans="1:6" x14ac:dyDescent="0.3">
      <c r="A1344" s="3" t="s">
        <v>12</v>
      </c>
      <c r="B1344" s="7" t="str">
        <f>VLOOKUP(VALUE(A1344), 'DICIONÁRIO UF'!$A:$B, 2, FALSE)</f>
        <v>Piauí</v>
      </c>
      <c r="C1344" s="3">
        <v>48080</v>
      </c>
      <c r="D1344" s="5" t="str">
        <f>VLOOKUP(C1344, 'DICIONÁRIO CNAES'!$A:$B, 2, FALSE)</f>
        <v>Supermercado e hipermercado</v>
      </c>
      <c r="E1344" s="4">
        <v>17420.723819760002</v>
      </c>
      <c r="F1344" s="4">
        <v>20773172.52153717</v>
      </c>
    </row>
    <row r="1345" spans="1:6" x14ac:dyDescent="0.3">
      <c r="A1345" s="3" t="s">
        <v>12</v>
      </c>
      <c r="B1345" s="7" t="str">
        <f>VLOOKUP(VALUE(A1345), 'DICIONÁRIO UF'!$A:$B, 2, FALSE)</f>
        <v>Piauí</v>
      </c>
      <c r="C1345" s="3">
        <v>48090</v>
      </c>
      <c r="D1345" s="5" t="str">
        <f>VLOOKUP(C1345, 'DICIONÁRIO CNAES'!$A:$B, 2, FALSE)</f>
        <v>Lojas de departamento e outros comércios não especializados, sem predominância de produtos alimentícios</v>
      </c>
      <c r="E1345" s="4">
        <v>448.21291153999999</v>
      </c>
      <c r="F1345" s="4">
        <v>581614.98477400001</v>
      </c>
    </row>
    <row r="1346" spans="1:6" x14ac:dyDescent="0.3">
      <c r="A1346" s="3" t="s">
        <v>12</v>
      </c>
      <c r="B1346" s="7" t="str">
        <f>VLOOKUP(VALUE(A1346), 'DICIONÁRIO UF'!$A:$B, 2, FALSE)</f>
        <v>Piauí</v>
      </c>
      <c r="C1346" s="3">
        <v>48100</v>
      </c>
      <c r="D1346" s="5" t="str">
        <f>VLOOKUP(C1346, 'DICIONÁRIO CNAES'!$A:$B, 2, FALSE)</f>
        <v>Comércio ambulante e feiras</v>
      </c>
      <c r="E1346" s="4">
        <v>13020.80907764</v>
      </c>
      <c r="F1346" s="4">
        <v>9685175.3909094501</v>
      </c>
    </row>
    <row r="1347" spans="1:6" x14ac:dyDescent="0.3">
      <c r="A1347" s="3" t="s">
        <v>12</v>
      </c>
      <c r="B1347" s="7" t="str">
        <f>VLOOKUP(VALUE(A1347), 'DICIONÁRIO UF'!$A:$B, 2, FALSE)</f>
        <v>Piauí</v>
      </c>
      <c r="C1347" s="3">
        <v>49030</v>
      </c>
      <c r="D1347" s="5" t="str">
        <f>VLOOKUP(C1347, 'DICIONÁRIO CNAES'!$A:$B, 2, FALSE)</f>
        <v>Transporte rodoviário de passageiros</v>
      </c>
      <c r="E1347" s="4">
        <v>19107.649703430001</v>
      </c>
      <c r="F1347" s="4">
        <v>42985133.245358013</v>
      </c>
    </row>
    <row r="1348" spans="1:6" x14ac:dyDescent="0.3">
      <c r="A1348" s="3" t="s">
        <v>12</v>
      </c>
      <c r="B1348" s="7" t="str">
        <f>VLOOKUP(VALUE(A1348), 'DICIONÁRIO UF'!$A:$B, 2, FALSE)</f>
        <v>Piauí</v>
      </c>
      <c r="C1348" s="3">
        <v>49040</v>
      </c>
      <c r="D1348" s="5" t="str">
        <f>VLOOKUP(C1348, 'DICIONÁRIO CNAES'!$A:$B, 2, FALSE)</f>
        <v>Transporte rodoviário de carga</v>
      </c>
      <c r="E1348" s="4">
        <v>8020.4396013699998</v>
      </c>
      <c r="F1348" s="4">
        <v>13310115.6003689</v>
      </c>
    </row>
    <row r="1349" spans="1:6" x14ac:dyDescent="0.3">
      <c r="A1349" s="3" t="s">
        <v>12</v>
      </c>
      <c r="B1349" s="7" t="str">
        <f>VLOOKUP(VALUE(A1349), 'DICIONÁRIO UF'!$A:$B, 2, FALSE)</f>
        <v>Piauí</v>
      </c>
      <c r="C1349" s="3">
        <v>50000</v>
      </c>
      <c r="D1349" s="5" t="str">
        <f>VLOOKUP(C1349, 'DICIONÁRIO CNAES'!$A:$B, 2, FALSE)</f>
        <v>Transporte Aquaviário</v>
      </c>
      <c r="E1349" s="4">
        <v>1494.66769763</v>
      </c>
      <c r="F1349" s="4">
        <v>7473338.4881499996</v>
      </c>
    </row>
    <row r="1350" spans="1:6" x14ac:dyDescent="0.3">
      <c r="A1350" s="3" t="s">
        <v>12</v>
      </c>
      <c r="B1350" s="7" t="str">
        <f>VLOOKUP(VALUE(A1350), 'DICIONÁRIO UF'!$A:$B, 2, FALSE)</f>
        <v>Piauí</v>
      </c>
      <c r="C1350" s="3">
        <v>52010</v>
      </c>
      <c r="D1350" s="5" t="str">
        <f>VLOOKUP(C1350, 'DICIONÁRIO CNAES'!$A:$B, 2, FALSE)</f>
        <v>Armazenamento, carga e descarga</v>
      </c>
      <c r="E1350" s="4">
        <v>1237.7365042599999</v>
      </c>
      <c r="F1350" s="4">
        <v>618868.25212999992</v>
      </c>
    </row>
    <row r="1351" spans="1:6" x14ac:dyDescent="0.3">
      <c r="A1351" s="3" t="s">
        <v>12</v>
      </c>
      <c r="B1351" s="7" t="str">
        <f>VLOOKUP(VALUE(A1351), 'DICIONÁRIO UF'!$A:$B, 2, FALSE)</f>
        <v>Piauí</v>
      </c>
      <c r="C1351" s="3">
        <v>52020</v>
      </c>
      <c r="D1351" s="5" t="str">
        <f>VLOOKUP(C1351, 'DICIONÁRIO CNAES'!$A:$B, 2, FALSE)</f>
        <v xml:space="preserve">Atividades auxiliares dos transportes e atividades relacionadas à organização do transporte de carga </v>
      </c>
      <c r="E1351" s="4">
        <v>1950.1158817999999</v>
      </c>
      <c r="F1351" s="4">
        <v>1442646.918814</v>
      </c>
    </row>
    <row r="1352" spans="1:6" x14ac:dyDescent="0.3">
      <c r="A1352" s="3" t="s">
        <v>12</v>
      </c>
      <c r="B1352" s="7" t="str">
        <f>VLOOKUP(VALUE(A1352), 'DICIONÁRIO UF'!$A:$B, 2, FALSE)</f>
        <v>Piauí</v>
      </c>
      <c r="C1352" s="3">
        <v>53001</v>
      </c>
      <c r="D1352" s="5" t="str">
        <f>VLOOKUP(C1352, 'DICIONÁRIO CNAES'!$A:$B, 2, FALSE)</f>
        <v>Atividades de Correio</v>
      </c>
      <c r="E1352" s="4">
        <v>1985.9749872499999</v>
      </c>
      <c r="F1352" s="4">
        <v>8106984.1925649997</v>
      </c>
    </row>
    <row r="1353" spans="1:6" x14ac:dyDescent="0.3">
      <c r="A1353" s="3" t="s">
        <v>12</v>
      </c>
      <c r="B1353" s="7" t="str">
        <f>VLOOKUP(VALUE(A1353), 'DICIONÁRIO UF'!$A:$B, 2, FALSE)</f>
        <v>Piauí</v>
      </c>
      <c r="C1353" s="3">
        <v>53002</v>
      </c>
      <c r="D1353" s="5" t="str">
        <f>VLOOKUP(C1353, 'DICIONÁRIO CNAES'!$A:$B, 2, FALSE)</f>
        <v>Atividades de malote e de entrega</v>
      </c>
      <c r="E1353" s="4">
        <v>411.39830583999998</v>
      </c>
      <c r="F1353" s="4">
        <v>109269.796147</v>
      </c>
    </row>
    <row r="1354" spans="1:6" x14ac:dyDescent="0.3">
      <c r="A1354" s="3" t="s">
        <v>12</v>
      </c>
      <c r="B1354" s="7" t="str">
        <f>VLOOKUP(VALUE(A1354), 'DICIONÁRIO UF'!$A:$B, 2, FALSE)</f>
        <v>Piauí</v>
      </c>
      <c r="C1354" s="3">
        <v>55000</v>
      </c>
      <c r="D1354" s="5" t="str">
        <f>VLOOKUP(C1354, 'DICIONÁRIO CNAES'!$A:$B, 2, FALSE)</f>
        <v>Alojamento</v>
      </c>
      <c r="E1354" s="4">
        <v>4391.8706975100004</v>
      </c>
      <c r="F1354" s="4">
        <v>4809472.2243520003</v>
      </c>
    </row>
    <row r="1355" spans="1:6" x14ac:dyDescent="0.3">
      <c r="A1355" s="3" t="s">
        <v>12</v>
      </c>
      <c r="B1355" s="7" t="str">
        <f>VLOOKUP(VALUE(A1355), 'DICIONÁRIO UF'!$A:$B, 2, FALSE)</f>
        <v>Piauí</v>
      </c>
      <c r="C1355" s="3">
        <v>56011</v>
      </c>
      <c r="D1355" s="5" t="str">
        <f>VLOOKUP(C1355, 'DICIONÁRIO CNAES'!$A:$B, 2, FALSE)</f>
        <v>Restaurantes e outros estabelecimentos de serviços de alimentação e bebidas</v>
      </c>
      <c r="E1355" s="4">
        <v>61783.10178592</v>
      </c>
      <c r="F1355" s="4">
        <v>61063337.125528254</v>
      </c>
    </row>
    <row r="1356" spans="1:6" x14ac:dyDescent="0.3">
      <c r="A1356" s="3" t="s">
        <v>12</v>
      </c>
      <c r="B1356" s="7" t="str">
        <f>VLOOKUP(VALUE(A1356), 'DICIONÁRIO UF'!$A:$B, 2, FALSE)</f>
        <v>Piauí</v>
      </c>
      <c r="C1356" s="3">
        <v>56012</v>
      </c>
      <c r="D1356" s="5" t="str">
        <f>VLOOKUP(C1356, 'DICIONÁRIO CNAES'!$A:$B, 2, FALSE)</f>
        <v>Serviços de catering, bufê e outros serviços de comida preparada</v>
      </c>
      <c r="E1356" s="4">
        <v>13199.109479160001</v>
      </c>
      <c r="F1356" s="4">
        <v>6718972.4847007003</v>
      </c>
    </row>
    <row r="1357" spans="1:6" x14ac:dyDescent="0.3">
      <c r="A1357" s="3" t="s">
        <v>12</v>
      </c>
      <c r="B1357" s="7" t="str">
        <f>VLOOKUP(VALUE(A1357), 'DICIONÁRIO UF'!$A:$B, 2, FALSE)</f>
        <v>Piauí</v>
      </c>
      <c r="C1357" s="3">
        <v>56020</v>
      </c>
      <c r="D1357" s="5" t="str">
        <f>VLOOKUP(C1357, 'DICIONÁRIO CNAES'!$A:$B, 2, FALSE)</f>
        <v>Serviços ambulantes de alimentação</v>
      </c>
      <c r="E1357" s="4">
        <v>5949.2967732999996</v>
      </c>
      <c r="F1357" s="4">
        <v>6232912.020951</v>
      </c>
    </row>
    <row r="1358" spans="1:6" x14ac:dyDescent="0.3">
      <c r="A1358" s="3" t="s">
        <v>12</v>
      </c>
      <c r="B1358" s="7" t="str">
        <f>VLOOKUP(VALUE(A1358), 'DICIONÁRIO UF'!$A:$B, 2, FALSE)</f>
        <v>Piauí</v>
      </c>
      <c r="C1358" s="3">
        <v>60002</v>
      </c>
      <c r="D1358" s="5" t="str">
        <f>VLOOKUP(C1358, 'DICIONÁRIO CNAES'!$A:$B, 2, FALSE)</f>
        <v>Atividades de televisão</v>
      </c>
      <c r="E1358" s="4">
        <v>1438.49077601</v>
      </c>
      <c r="F1358" s="4">
        <v>1718596.0619222</v>
      </c>
    </row>
    <row r="1359" spans="1:6" x14ac:dyDescent="0.3">
      <c r="A1359" s="3" t="s">
        <v>12</v>
      </c>
      <c r="B1359" s="7" t="str">
        <f>VLOOKUP(VALUE(A1359), 'DICIONÁRIO UF'!$A:$B, 2, FALSE)</f>
        <v>Piauí</v>
      </c>
      <c r="C1359" s="3">
        <v>61000</v>
      </c>
      <c r="D1359" s="5" t="str">
        <f>VLOOKUP(C1359, 'DICIONÁRIO CNAES'!$A:$B, 2, FALSE)</f>
        <v>Telecomunicações</v>
      </c>
      <c r="E1359" s="4">
        <v>4530.37632631</v>
      </c>
      <c r="F1359" s="4">
        <v>6119762.2337055001</v>
      </c>
    </row>
    <row r="1360" spans="1:6" x14ac:dyDescent="0.3">
      <c r="A1360" s="3" t="s">
        <v>12</v>
      </c>
      <c r="B1360" s="7" t="str">
        <f>VLOOKUP(VALUE(A1360), 'DICIONÁRIO UF'!$A:$B, 2, FALSE)</f>
        <v>Piauí</v>
      </c>
      <c r="C1360" s="3">
        <v>62000</v>
      </c>
      <c r="D1360" s="5" t="str">
        <f>VLOOKUP(C1360, 'DICIONÁRIO CNAES'!$A:$B, 2, FALSE)</f>
        <v>Atividades dos serviços de tecnologia da informação</v>
      </c>
      <c r="E1360" s="4">
        <v>3374.5523503200002</v>
      </c>
      <c r="F1360" s="4">
        <v>12766736.686578</v>
      </c>
    </row>
    <row r="1361" spans="1:6" x14ac:dyDescent="0.3">
      <c r="A1361" s="3" t="s">
        <v>12</v>
      </c>
      <c r="B1361" s="7" t="str">
        <f>VLOOKUP(VALUE(A1361), 'DICIONÁRIO UF'!$A:$B, 2, FALSE)</f>
        <v>Piauí</v>
      </c>
      <c r="C1361" s="3">
        <v>63000</v>
      </c>
      <c r="D1361" s="5" t="str">
        <f>VLOOKUP(C1361, 'DICIONÁRIO CNAES'!$A:$B, 2, FALSE)</f>
        <v>Atividades de prestação de serviços de informação</v>
      </c>
      <c r="E1361" s="4">
        <v>196.95598511</v>
      </c>
      <c r="F1361" s="4">
        <v>393911.97022000002</v>
      </c>
    </row>
    <row r="1362" spans="1:6" x14ac:dyDescent="0.3">
      <c r="A1362" s="3" t="s">
        <v>12</v>
      </c>
      <c r="B1362" s="7" t="str">
        <f>VLOOKUP(VALUE(A1362), 'DICIONÁRIO UF'!$A:$B, 2, FALSE)</f>
        <v>Piauí</v>
      </c>
      <c r="C1362" s="3">
        <v>64000</v>
      </c>
      <c r="D1362" s="5" t="str">
        <f>VLOOKUP(C1362, 'DICIONÁRIO CNAES'!$A:$B, 2, FALSE)</f>
        <v>Serviços financeiros</v>
      </c>
      <c r="E1362" s="4">
        <v>5630.86897959</v>
      </c>
      <c r="F1362" s="4">
        <v>31329656.791649401</v>
      </c>
    </row>
    <row r="1363" spans="1:6" x14ac:dyDescent="0.3">
      <c r="A1363" s="3" t="s">
        <v>12</v>
      </c>
      <c r="B1363" s="7" t="str">
        <f>VLOOKUP(VALUE(A1363), 'DICIONÁRIO UF'!$A:$B, 2, FALSE)</f>
        <v>Piauí</v>
      </c>
      <c r="C1363" s="3">
        <v>65000</v>
      </c>
      <c r="D1363" s="5" t="str">
        <f>VLOOKUP(C1363, 'DICIONÁRIO CNAES'!$A:$B, 2, FALSE)</f>
        <v>Seguros e previdência privada</v>
      </c>
      <c r="E1363" s="4">
        <v>193.24108509999999</v>
      </c>
      <c r="F1363" s="4">
        <v>289861.62764999998</v>
      </c>
    </row>
    <row r="1364" spans="1:6" x14ac:dyDescent="0.3">
      <c r="A1364" s="3" t="s">
        <v>12</v>
      </c>
      <c r="B1364" s="7" t="str">
        <f>VLOOKUP(VALUE(A1364), 'DICIONÁRIO UF'!$A:$B, 2, FALSE)</f>
        <v>Piauí</v>
      </c>
      <c r="C1364" s="3">
        <v>68000</v>
      </c>
      <c r="D1364" s="5" t="str">
        <f>VLOOKUP(C1364, 'DICIONÁRIO CNAES'!$A:$B, 2, FALSE)</f>
        <v>Atividades imobiliárias</v>
      </c>
      <c r="E1364" s="4">
        <v>1863.0505387000001</v>
      </c>
      <c r="F1364" s="4">
        <v>2565305.5096384999</v>
      </c>
    </row>
    <row r="1365" spans="1:6" x14ac:dyDescent="0.3">
      <c r="A1365" s="3" t="s">
        <v>12</v>
      </c>
      <c r="B1365" s="7" t="str">
        <f>VLOOKUP(VALUE(A1365), 'DICIONÁRIO UF'!$A:$B, 2, FALSE)</f>
        <v>Piauí</v>
      </c>
      <c r="C1365" s="3">
        <v>69000</v>
      </c>
      <c r="D1365" s="5" t="str">
        <f>VLOOKUP(C1365, 'DICIONÁRIO CNAES'!$A:$B, 2, FALSE)</f>
        <v xml:space="preserve">Atividades jurídicas, de contabilidade e de auditoria </v>
      </c>
      <c r="E1365" s="4">
        <v>18900.70812127</v>
      </c>
      <c r="F1365" s="4">
        <v>59941161.8886953</v>
      </c>
    </row>
    <row r="1366" spans="1:6" x14ac:dyDescent="0.3">
      <c r="A1366" s="3" t="s">
        <v>12</v>
      </c>
      <c r="B1366" s="7" t="str">
        <f>VLOOKUP(VALUE(A1366), 'DICIONÁRIO UF'!$A:$B, 2, FALSE)</f>
        <v>Piauí</v>
      </c>
      <c r="C1366" s="3">
        <v>70000</v>
      </c>
      <c r="D1366" s="5" t="str">
        <f>VLOOKUP(C1366, 'DICIONÁRIO CNAES'!$A:$B, 2, FALSE)</f>
        <v>Atividades de consultoria em gestão empresarial</v>
      </c>
      <c r="E1366" s="4">
        <v>414.82748751000003</v>
      </c>
      <c r="F1366" s="4">
        <v>456310.23626099998</v>
      </c>
    </row>
    <row r="1367" spans="1:6" x14ac:dyDescent="0.3">
      <c r="A1367" s="3" t="s">
        <v>12</v>
      </c>
      <c r="B1367" s="7" t="str">
        <f>VLOOKUP(VALUE(A1367), 'DICIONÁRIO UF'!$A:$B, 2, FALSE)</f>
        <v>Piauí</v>
      </c>
      <c r="C1367" s="3">
        <v>71000</v>
      </c>
      <c r="D1367" s="5" t="str">
        <f>VLOOKUP(C1367, 'DICIONÁRIO CNAES'!$A:$B, 2, FALSE)</f>
        <v>Serviços de arquitetura e engenharia e atividades técnicas relacionadas; Testes e análises técnicas</v>
      </c>
      <c r="E1367" s="4">
        <v>7096.4971716199998</v>
      </c>
      <c r="F1367" s="4">
        <v>18750154.216526002</v>
      </c>
    </row>
    <row r="1368" spans="1:6" x14ac:dyDescent="0.3">
      <c r="A1368" s="3" t="s">
        <v>12</v>
      </c>
      <c r="B1368" s="7" t="str">
        <f>VLOOKUP(VALUE(A1368), 'DICIONÁRIO UF'!$A:$B, 2, FALSE)</f>
        <v>Piauí</v>
      </c>
      <c r="C1368" s="3">
        <v>73010</v>
      </c>
      <c r="D1368" s="5" t="str">
        <f>VLOOKUP(C1368, 'DICIONÁRIO CNAES'!$A:$B, 2, FALSE)</f>
        <v>Publicidade</v>
      </c>
      <c r="E1368" s="4">
        <v>1918.00607451</v>
      </c>
      <c r="F1368" s="4">
        <v>5179111.8737794003</v>
      </c>
    </row>
    <row r="1369" spans="1:6" x14ac:dyDescent="0.3">
      <c r="A1369" s="3" t="s">
        <v>12</v>
      </c>
      <c r="B1369" s="7" t="str">
        <f>VLOOKUP(VALUE(A1369), 'DICIONÁRIO UF'!$A:$B, 2, FALSE)</f>
        <v>Piauí</v>
      </c>
      <c r="C1369" s="3">
        <v>73020</v>
      </c>
      <c r="D1369" s="5" t="str">
        <f>VLOOKUP(C1369, 'DICIONÁRIO CNAES'!$A:$B, 2, FALSE)</f>
        <v>Pesquisas de mercado e opinião pública</v>
      </c>
      <c r="E1369" s="4">
        <v>506.24772381000002</v>
      </c>
      <c r="F1369" s="4">
        <v>50624.772381000002</v>
      </c>
    </row>
    <row r="1370" spans="1:6" x14ac:dyDescent="0.3">
      <c r="A1370" s="3" t="s">
        <v>12</v>
      </c>
      <c r="B1370" s="7" t="str">
        <f>VLOOKUP(VALUE(A1370), 'DICIONÁRIO UF'!$A:$B, 2, FALSE)</f>
        <v>Piauí</v>
      </c>
      <c r="C1370" s="3">
        <v>74000</v>
      </c>
      <c r="D1370" s="5" t="str">
        <f>VLOOKUP(C1370, 'DICIONÁRIO CNAES'!$A:$B, 2, FALSE)</f>
        <v>Outras atividades profissionais, científicas e técnicas não especificadas anteriormente</v>
      </c>
      <c r="E1370" s="4">
        <v>662.74102314000004</v>
      </c>
      <c r="F1370" s="4">
        <v>713246.70568300004</v>
      </c>
    </row>
    <row r="1371" spans="1:6" x14ac:dyDescent="0.3">
      <c r="A1371" s="3" t="s">
        <v>12</v>
      </c>
      <c r="B1371" s="7" t="str">
        <f>VLOOKUP(VALUE(A1371), 'DICIONÁRIO UF'!$A:$B, 2, FALSE)</f>
        <v>Piauí</v>
      </c>
      <c r="C1371" s="3">
        <v>75000</v>
      </c>
      <c r="D1371" s="5" t="str">
        <f>VLOOKUP(C1371, 'DICIONÁRIO CNAES'!$A:$B, 2, FALSE)</f>
        <v>Atividades veterinárias</v>
      </c>
      <c r="E1371" s="4">
        <v>739.55065482000009</v>
      </c>
      <c r="F1371" s="4">
        <v>1532974.554363</v>
      </c>
    </row>
    <row r="1372" spans="1:6" x14ac:dyDescent="0.3">
      <c r="A1372" s="3" t="s">
        <v>12</v>
      </c>
      <c r="B1372" s="7" t="str">
        <f>VLOOKUP(VALUE(A1372), 'DICIONÁRIO UF'!$A:$B, 2, FALSE)</f>
        <v>Piauí</v>
      </c>
      <c r="C1372" s="3">
        <v>77010</v>
      </c>
      <c r="D1372" s="5" t="str">
        <f>VLOOKUP(C1372, 'DICIONÁRIO CNAES'!$A:$B, 2, FALSE)</f>
        <v>Aluguel de objetos pessoais e domésticos</v>
      </c>
      <c r="E1372" s="4">
        <v>539.80327523000005</v>
      </c>
      <c r="F1372" s="4">
        <v>1445612.231287</v>
      </c>
    </row>
    <row r="1373" spans="1:6" x14ac:dyDescent="0.3">
      <c r="A1373" s="3" t="s">
        <v>12</v>
      </c>
      <c r="B1373" s="7" t="str">
        <f>VLOOKUP(VALUE(A1373), 'DICIONÁRIO UF'!$A:$B, 2, FALSE)</f>
        <v>Piauí</v>
      </c>
      <c r="C1373" s="3">
        <v>77020</v>
      </c>
      <c r="D1373" s="5" t="str">
        <f>VLOOKUP(C1373, 'DICIONÁRIO CNAES'!$A:$B, 2, FALSE)</f>
        <v>Aluguel de meios de transportes, maquinas e equipamentos sem operador e gestão de ativos intangíveis não financeiros</v>
      </c>
      <c r="E1373" s="4">
        <v>1296.89006242</v>
      </c>
      <c r="F1373" s="4">
        <v>2975237.0619890001</v>
      </c>
    </row>
    <row r="1374" spans="1:6" x14ac:dyDescent="0.3">
      <c r="A1374" s="3" t="s">
        <v>12</v>
      </c>
      <c r="B1374" s="7" t="str">
        <f>VLOOKUP(VALUE(A1374), 'DICIONÁRIO UF'!$A:$B, 2, FALSE)</f>
        <v>Piauí</v>
      </c>
      <c r="C1374" s="3">
        <v>78000</v>
      </c>
      <c r="D1374" s="5" t="str">
        <f>VLOOKUP(C1374, 'DICIONÁRIO CNAES'!$A:$B, 2, FALSE)</f>
        <v>Seleção, agenciamento e locação de mão-de-obra</v>
      </c>
      <c r="E1374" s="4">
        <v>9078.0272151499994</v>
      </c>
      <c r="F1374" s="4">
        <v>13052406.038139701</v>
      </c>
    </row>
    <row r="1375" spans="1:6" x14ac:dyDescent="0.3">
      <c r="A1375" s="3" t="s">
        <v>12</v>
      </c>
      <c r="B1375" s="7" t="str">
        <f>VLOOKUP(VALUE(A1375), 'DICIONÁRIO UF'!$A:$B, 2, FALSE)</f>
        <v>Piauí</v>
      </c>
      <c r="C1375" s="3">
        <v>79000</v>
      </c>
      <c r="D1375" s="5" t="str">
        <f>VLOOKUP(C1375, 'DICIONÁRIO CNAES'!$A:$B, 2, FALSE)</f>
        <v>Agências de viagens, operadores turísticos e serviços de reservas</v>
      </c>
      <c r="E1375" s="4">
        <v>768.48697313000002</v>
      </c>
      <c r="F1375" s="4">
        <v>845335.67044300004</v>
      </c>
    </row>
    <row r="1376" spans="1:6" x14ac:dyDescent="0.3">
      <c r="A1376" s="3" t="s">
        <v>12</v>
      </c>
      <c r="B1376" s="7" t="str">
        <f>VLOOKUP(VALUE(A1376), 'DICIONÁRIO UF'!$A:$B, 2, FALSE)</f>
        <v>Piauí</v>
      </c>
      <c r="C1376" s="3">
        <v>80000</v>
      </c>
      <c r="D1376" s="5" t="str">
        <f>VLOOKUP(C1376, 'DICIONÁRIO CNAES'!$A:$B, 2, FALSE)</f>
        <v>Atividades de vigilância, segurança, transporte de valores e investigação</v>
      </c>
      <c r="E1376" s="4">
        <v>6672.7031025200004</v>
      </c>
      <c r="F1376" s="4">
        <v>8817630.9984541405</v>
      </c>
    </row>
    <row r="1377" spans="1:6" x14ac:dyDescent="0.3">
      <c r="A1377" s="3" t="s">
        <v>12</v>
      </c>
      <c r="B1377" s="7" t="str">
        <f>VLOOKUP(VALUE(A1377), 'DICIONÁRIO UF'!$A:$B, 2, FALSE)</f>
        <v>Piauí</v>
      </c>
      <c r="C1377" s="3">
        <v>81011</v>
      </c>
      <c r="D1377" s="5" t="str">
        <f>VLOOKUP(C1377, 'DICIONÁRIO CNAES'!$A:$B, 2, FALSE)</f>
        <v>Serviços de limpeza e de apoio a edifícios, exceto condomínios prediais</v>
      </c>
      <c r="E1377" s="4">
        <v>9570.6446933099996</v>
      </c>
      <c r="F1377" s="4">
        <v>6512651.5625177398</v>
      </c>
    </row>
    <row r="1378" spans="1:6" x14ac:dyDescent="0.3">
      <c r="A1378" s="3" t="s">
        <v>12</v>
      </c>
      <c r="B1378" s="7" t="str">
        <f>VLOOKUP(VALUE(A1378), 'DICIONÁRIO UF'!$A:$B, 2, FALSE)</f>
        <v>Piauí</v>
      </c>
      <c r="C1378" s="3">
        <v>81012</v>
      </c>
      <c r="D1378" s="5" t="str">
        <f>VLOOKUP(C1378, 'DICIONÁRIO CNAES'!$A:$B, 2, FALSE)</f>
        <v>Condomínios prediais</v>
      </c>
      <c r="E1378" s="4">
        <v>2868.8587441599998</v>
      </c>
      <c r="F1378" s="4">
        <v>5518952.5863955002</v>
      </c>
    </row>
    <row r="1379" spans="1:6" x14ac:dyDescent="0.3">
      <c r="A1379" s="3" t="s">
        <v>12</v>
      </c>
      <c r="B1379" s="7" t="str">
        <f>VLOOKUP(VALUE(A1379), 'DICIONÁRIO UF'!$A:$B, 2, FALSE)</f>
        <v>Piauí</v>
      </c>
      <c r="C1379" s="3">
        <v>81020</v>
      </c>
      <c r="D1379" s="5" t="str">
        <f>VLOOKUP(C1379, 'DICIONÁRIO CNAES'!$A:$B, 2, FALSE)</f>
        <v>Atividades paisagísticas</v>
      </c>
      <c r="E1379" s="4">
        <v>213.02388823000001</v>
      </c>
      <c r="F1379" s="4">
        <v>191721.499407</v>
      </c>
    </row>
    <row r="1380" spans="1:6" x14ac:dyDescent="0.3">
      <c r="A1380" s="3" t="s">
        <v>12</v>
      </c>
      <c r="B1380" s="7" t="str">
        <f>VLOOKUP(VALUE(A1380), 'DICIONÁRIO UF'!$A:$B, 2, FALSE)</f>
        <v>Piauí</v>
      </c>
      <c r="C1380" s="3">
        <v>82002</v>
      </c>
      <c r="D1380" s="5" t="str">
        <f>VLOOKUP(C1380, 'DICIONÁRIO CNAES'!$A:$B, 2, FALSE)</f>
        <v>Atividades de teleatendimento</v>
      </c>
      <c r="E1380" s="4">
        <v>6482.9446233099998</v>
      </c>
      <c r="F1380" s="4">
        <v>7402020.2410105001</v>
      </c>
    </row>
    <row r="1381" spans="1:6" x14ac:dyDescent="0.3">
      <c r="A1381" s="3" t="s">
        <v>12</v>
      </c>
      <c r="B1381" s="7" t="str">
        <f>VLOOKUP(VALUE(A1381), 'DICIONÁRIO UF'!$A:$B, 2, FALSE)</f>
        <v>Piauí</v>
      </c>
      <c r="C1381" s="3">
        <v>82003</v>
      </c>
      <c r="D1381" s="5" t="str">
        <f>VLOOKUP(C1381, 'DICIONÁRIO CNAES'!$A:$B, 2, FALSE)</f>
        <v>Atividades de organização de eventos, exceto culturais e esportivos</v>
      </c>
      <c r="E1381" s="4">
        <v>902.79961466999998</v>
      </c>
      <c r="F1381" s="4">
        <v>1789123.920924</v>
      </c>
    </row>
    <row r="1382" spans="1:6" x14ac:dyDescent="0.3">
      <c r="A1382" s="3" t="s">
        <v>12</v>
      </c>
      <c r="B1382" s="7" t="str">
        <f>VLOOKUP(VALUE(A1382), 'DICIONÁRIO UF'!$A:$B, 2, FALSE)</f>
        <v>Piauí</v>
      </c>
      <c r="C1382" s="3">
        <v>82009</v>
      </c>
      <c r="D1382" s="5" t="str">
        <f>VLOOKUP(C1382, 'DICIONÁRIO CNAES'!$A:$B, 2, FALSE)</f>
        <v>Outras atividades de serviços prestados principalmente às empresas</v>
      </c>
      <c r="E1382" s="4">
        <v>3131.6892607099999</v>
      </c>
      <c r="F1382" s="4">
        <v>10096041.8083273</v>
      </c>
    </row>
    <row r="1383" spans="1:6" x14ac:dyDescent="0.3">
      <c r="A1383" s="3" t="s">
        <v>12</v>
      </c>
      <c r="B1383" s="7" t="str">
        <f>VLOOKUP(VALUE(A1383), 'DICIONÁRIO UF'!$A:$B, 2, FALSE)</f>
        <v>Piauí</v>
      </c>
      <c r="C1383" s="3">
        <v>84011</v>
      </c>
      <c r="D1383" s="5" t="str">
        <f>VLOOKUP(C1383, 'DICIONÁRIO CNAES'!$A:$B, 2, FALSE)</f>
        <v>Administração publica e regulação da política econômica e social - Federal</v>
      </c>
      <c r="E1383" s="4">
        <v>3893.6857688599998</v>
      </c>
      <c r="F1383" s="4">
        <v>31989705.256212629</v>
      </c>
    </row>
    <row r="1384" spans="1:6" x14ac:dyDescent="0.3">
      <c r="A1384" s="3" t="s">
        <v>12</v>
      </c>
      <c r="B1384" s="7" t="str">
        <f>VLOOKUP(VALUE(A1384), 'DICIONÁRIO UF'!$A:$B, 2, FALSE)</f>
        <v>Piauí</v>
      </c>
      <c r="C1384" s="3">
        <v>84012</v>
      </c>
      <c r="D1384" s="5" t="str">
        <f>VLOOKUP(C1384, 'DICIONÁRIO CNAES'!$A:$B, 2, FALSE)</f>
        <v>Administração publica e regulação da política econômica e social - Estadual</v>
      </c>
      <c r="E1384" s="4">
        <v>20456.996845969999</v>
      </c>
      <c r="F1384" s="4">
        <v>93305063.981896296</v>
      </c>
    </row>
    <row r="1385" spans="1:6" x14ac:dyDescent="0.3">
      <c r="A1385" s="3" t="s">
        <v>12</v>
      </c>
      <c r="B1385" s="7" t="str">
        <f>VLOOKUP(VALUE(A1385), 'DICIONÁRIO UF'!$A:$B, 2, FALSE)</f>
        <v>Piauí</v>
      </c>
      <c r="C1385" s="3">
        <v>84013</v>
      </c>
      <c r="D1385" s="5" t="str">
        <f>VLOOKUP(C1385, 'DICIONÁRIO CNAES'!$A:$B, 2, FALSE)</f>
        <v>Administração publica e regulação da política econômica e social - Municipal</v>
      </c>
      <c r="E1385" s="4">
        <v>57234.056694300001</v>
      </c>
      <c r="F1385" s="4">
        <v>124845327.2096578</v>
      </c>
    </row>
    <row r="1386" spans="1:6" x14ac:dyDescent="0.3">
      <c r="A1386" s="3" t="s">
        <v>12</v>
      </c>
      <c r="B1386" s="7" t="str">
        <f>VLOOKUP(VALUE(A1386), 'DICIONÁRIO UF'!$A:$B, 2, FALSE)</f>
        <v>Piauí</v>
      </c>
      <c r="C1386" s="3">
        <v>84014</v>
      </c>
      <c r="D1386" s="5" t="str">
        <f>VLOOKUP(C1386, 'DICIONÁRIO CNAES'!$A:$B, 2, FALSE)</f>
        <v>Defesa</v>
      </c>
      <c r="E1386" s="4">
        <v>1995.45920716</v>
      </c>
      <c r="F1386" s="4">
        <v>9838808.240970999</v>
      </c>
    </row>
    <row r="1387" spans="1:6" x14ac:dyDescent="0.3">
      <c r="A1387" s="3" t="s">
        <v>12</v>
      </c>
      <c r="B1387" s="7" t="str">
        <f>VLOOKUP(VALUE(A1387), 'DICIONÁRIO UF'!$A:$B, 2, FALSE)</f>
        <v>Piauí</v>
      </c>
      <c r="C1387" s="3">
        <v>84015</v>
      </c>
      <c r="D1387" s="5" t="str">
        <f>VLOOKUP(C1387, 'DICIONÁRIO CNAES'!$A:$B, 2, FALSE)</f>
        <v>Outros serviços coletivos prestados pela administração pública - Federal</v>
      </c>
      <c r="E1387" s="4">
        <v>4309.0227109500001</v>
      </c>
      <c r="F1387" s="4">
        <v>77518107.243029997</v>
      </c>
    </row>
    <row r="1388" spans="1:6" x14ac:dyDescent="0.3">
      <c r="A1388" s="3" t="s">
        <v>12</v>
      </c>
      <c r="B1388" s="7" t="str">
        <f>VLOOKUP(VALUE(A1388), 'DICIONÁRIO UF'!$A:$B, 2, FALSE)</f>
        <v>Piauí</v>
      </c>
      <c r="C1388" s="3">
        <v>84016</v>
      </c>
      <c r="D1388" s="5" t="str">
        <f>VLOOKUP(C1388, 'DICIONÁRIO CNAES'!$A:$B, 2, FALSE)</f>
        <v>Outros serviços coletivos prestados pela administração pública - Estadual</v>
      </c>
      <c r="E1388" s="4">
        <v>16008.05598031</v>
      </c>
      <c r="F1388" s="4">
        <v>97430281.684720144</v>
      </c>
    </row>
    <row r="1389" spans="1:6" x14ac:dyDescent="0.3">
      <c r="A1389" s="3" t="s">
        <v>12</v>
      </c>
      <c r="B1389" s="7" t="str">
        <f>VLOOKUP(VALUE(A1389), 'DICIONÁRIO UF'!$A:$B, 2, FALSE)</f>
        <v>Piauí</v>
      </c>
      <c r="C1389" s="3">
        <v>84017</v>
      </c>
      <c r="D1389" s="5" t="str">
        <f>VLOOKUP(C1389, 'DICIONÁRIO CNAES'!$A:$B, 2, FALSE)</f>
        <v>Outros serviços coletivos prestados pela administração pública - Municipal</v>
      </c>
      <c r="E1389" s="4">
        <v>923.38262770999995</v>
      </c>
      <c r="F1389" s="4">
        <v>3825993.6065731598</v>
      </c>
    </row>
    <row r="1390" spans="1:6" x14ac:dyDescent="0.3">
      <c r="A1390" s="3" t="s">
        <v>12</v>
      </c>
      <c r="B1390" s="7" t="str">
        <f>VLOOKUP(VALUE(A1390), 'DICIONÁRIO UF'!$A:$B, 2, FALSE)</f>
        <v>Piauí</v>
      </c>
      <c r="C1390" s="3">
        <v>84020</v>
      </c>
      <c r="D1390" s="5" t="str">
        <f>VLOOKUP(C1390, 'DICIONÁRIO CNAES'!$A:$B, 2, FALSE)</f>
        <v>Seguridade social obrigatória</v>
      </c>
      <c r="E1390" s="4">
        <v>1094.65893555</v>
      </c>
      <c r="F1390" s="4">
        <v>4784293.8298089998</v>
      </c>
    </row>
    <row r="1391" spans="1:6" x14ac:dyDescent="0.3">
      <c r="A1391" s="3" t="s">
        <v>12</v>
      </c>
      <c r="B1391" s="7" t="str">
        <f>VLOOKUP(VALUE(A1391), 'DICIONÁRIO UF'!$A:$B, 2, FALSE)</f>
        <v>Piauí</v>
      </c>
      <c r="C1391" s="3">
        <v>85011</v>
      </c>
      <c r="D1391" s="5" t="str">
        <f>VLOOKUP(C1391, 'DICIONÁRIO CNAES'!$A:$B, 2, FALSE)</f>
        <v>Creche</v>
      </c>
      <c r="E1391" s="4">
        <v>3910.5962677699999</v>
      </c>
      <c r="F1391" s="4">
        <v>7694534.8410320003</v>
      </c>
    </row>
    <row r="1392" spans="1:6" x14ac:dyDescent="0.3">
      <c r="A1392" s="3" t="s">
        <v>12</v>
      </c>
      <c r="B1392" s="7" t="str">
        <f>VLOOKUP(VALUE(A1392), 'DICIONÁRIO UF'!$A:$B, 2, FALSE)</f>
        <v>Piauí</v>
      </c>
      <c r="C1392" s="3">
        <v>85012</v>
      </c>
      <c r="D1392" s="5" t="str">
        <f>VLOOKUP(C1392, 'DICIONÁRIO CNAES'!$A:$B, 2, FALSE)</f>
        <v>Pré-escola e ensino fundamental</v>
      </c>
      <c r="E1392" s="4">
        <v>61929.017816200001</v>
      </c>
      <c r="F1392" s="4">
        <v>138189845.25203559</v>
      </c>
    </row>
    <row r="1393" spans="1:6" x14ac:dyDescent="0.3">
      <c r="A1393" s="3" t="s">
        <v>12</v>
      </c>
      <c r="B1393" s="7" t="str">
        <f>VLOOKUP(VALUE(A1393), 'DICIONÁRIO UF'!$A:$B, 2, FALSE)</f>
        <v>Piauí</v>
      </c>
      <c r="C1393" s="3">
        <v>85013</v>
      </c>
      <c r="D1393" s="5" t="str">
        <f>VLOOKUP(C1393, 'DICIONÁRIO CNAES'!$A:$B, 2, FALSE)</f>
        <v>Ensino médio</v>
      </c>
      <c r="E1393" s="4">
        <v>17345.386902570001</v>
      </c>
      <c r="F1393" s="4">
        <v>74926386.990761697</v>
      </c>
    </row>
    <row r="1394" spans="1:6" x14ac:dyDescent="0.3">
      <c r="A1394" s="3" t="s">
        <v>12</v>
      </c>
      <c r="B1394" s="7" t="str">
        <f>VLOOKUP(VALUE(A1394), 'DICIONÁRIO UF'!$A:$B, 2, FALSE)</f>
        <v>Piauí</v>
      </c>
      <c r="C1394" s="3">
        <v>85014</v>
      </c>
      <c r="D1394" s="5" t="str">
        <f>VLOOKUP(C1394, 'DICIONÁRIO CNAES'!$A:$B, 2, FALSE)</f>
        <v>Educação superior</v>
      </c>
      <c r="E1394" s="4">
        <v>10026.31515172</v>
      </c>
      <c r="F1394" s="4">
        <v>59981772.081511021</v>
      </c>
    </row>
    <row r="1395" spans="1:6" x14ac:dyDescent="0.3">
      <c r="A1395" s="3" t="s">
        <v>12</v>
      </c>
      <c r="B1395" s="7" t="str">
        <f>VLOOKUP(VALUE(A1395), 'DICIONÁRIO UF'!$A:$B, 2, FALSE)</f>
        <v>Piauí</v>
      </c>
      <c r="C1395" s="3">
        <v>85029</v>
      </c>
      <c r="D1395" s="5" t="str">
        <f>VLOOKUP(C1395, 'DICIONÁRIO CNAES'!$A:$B, 2, FALSE)</f>
        <v>Outras atividades de ensino</v>
      </c>
      <c r="E1395" s="4">
        <v>12971.8601277</v>
      </c>
      <c r="F1395" s="4">
        <v>12957566.13139098</v>
      </c>
    </row>
    <row r="1396" spans="1:6" x14ac:dyDescent="0.3">
      <c r="A1396" s="3" t="s">
        <v>12</v>
      </c>
      <c r="B1396" s="7" t="str">
        <f>VLOOKUP(VALUE(A1396), 'DICIONÁRIO UF'!$A:$B, 2, FALSE)</f>
        <v>Piauí</v>
      </c>
      <c r="C1396" s="3">
        <v>86001</v>
      </c>
      <c r="D1396" s="5" t="str">
        <f>VLOOKUP(C1396, 'DICIONÁRIO CNAES'!$A:$B, 2, FALSE)</f>
        <v>Atividades de atendimento hospitalar</v>
      </c>
      <c r="E1396" s="4">
        <v>23605.4327758</v>
      </c>
      <c r="F1396" s="4">
        <v>72613301.10762915</v>
      </c>
    </row>
    <row r="1397" spans="1:6" x14ac:dyDescent="0.3">
      <c r="A1397" s="3" t="s">
        <v>12</v>
      </c>
      <c r="B1397" s="7" t="str">
        <f>VLOOKUP(VALUE(A1397), 'DICIONÁRIO UF'!$A:$B, 2, FALSE)</f>
        <v>Piauí</v>
      </c>
      <c r="C1397" s="3">
        <v>86002</v>
      </c>
      <c r="D1397" s="5" t="str">
        <f>VLOOKUP(C1397, 'DICIONÁRIO CNAES'!$A:$B, 2, FALSE)</f>
        <v>Atividades de atenção ambulatorial executadas por médicos e odontólogos</v>
      </c>
      <c r="E1397" s="4">
        <v>30016.723347800002</v>
      </c>
      <c r="F1397" s="4">
        <v>73637477.693017945</v>
      </c>
    </row>
    <row r="1398" spans="1:6" x14ac:dyDescent="0.3">
      <c r="A1398" s="3" t="s">
        <v>12</v>
      </c>
      <c r="B1398" s="7" t="str">
        <f>VLOOKUP(VALUE(A1398), 'DICIONÁRIO UF'!$A:$B, 2, FALSE)</f>
        <v>Piauí</v>
      </c>
      <c r="C1398" s="3">
        <v>86003</v>
      </c>
      <c r="D1398" s="5" t="str">
        <f>VLOOKUP(C1398, 'DICIONÁRIO CNAES'!$A:$B, 2, FALSE)</f>
        <v>Atividades de serviços de complementação diagnóstica e terapêutica</v>
      </c>
      <c r="E1398" s="4">
        <v>3266.1835721399998</v>
      </c>
      <c r="F1398" s="4">
        <v>7310039.3215089999</v>
      </c>
    </row>
    <row r="1399" spans="1:6" x14ac:dyDescent="0.3">
      <c r="A1399" s="3" t="s">
        <v>12</v>
      </c>
      <c r="B1399" s="7" t="str">
        <f>VLOOKUP(VALUE(A1399), 'DICIONÁRIO UF'!$A:$B, 2, FALSE)</f>
        <v>Piauí</v>
      </c>
      <c r="C1399" s="3">
        <v>86004</v>
      </c>
      <c r="D1399" s="5" t="str">
        <f>VLOOKUP(C1399, 'DICIONÁRIO CNAES'!$A:$B, 2, FALSE)</f>
        <v>Atividades de profissionais da área de saúde, exceto médicos e odontólogos</v>
      </c>
      <c r="E1399" s="4">
        <v>2326.7033664400001</v>
      </c>
      <c r="F1399" s="4">
        <v>4552825.0655749999</v>
      </c>
    </row>
    <row r="1400" spans="1:6" x14ac:dyDescent="0.3">
      <c r="A1400" s="3" t="s">
        <v>12</v>
      </c>
      <c r="B1400" s="7" t="str">
        <f>VLOOKUP(VALUE(A1400), 'DICIONÁRIO UF'!$A:$B, 2, FALSE)</f>
        <v>Piauí</v>
      </c>
      <c r="C1400" s="3">
        <v>86009</v>
      </c>
      <c r="D1400" s="5" t="str">
        <f>VLOOKUP(C1400, 'DICIONÁRIO CNAES'!$A:$B, 2, FALSE)</f>
        <v>Atividades de atenção à saúde humana não especificadas anteriormente</v>
      </c>
      <c r="E1400" s="4">
        <v>1554.37559222</v>
      </c>
      <c r="F1400" s="4">
        <v>4001484.1232980001</v>
      </c>
    </row>
    <row r="1401" spans="1:6" x14ac:dyDescent="0.3">
      <c r="A1401" s="3" t="s">
        <v>12</v>
      </c>
      <c r="B1401" s="7" t="str">
        <f>VLOOKUP(VALUE(A1401), 'DICIONÁRIO UF'!$A:$B, 2, FALSE)</f>
        <v>Piauí</v>
      </c>
      <c r="C1401" s="3">
        <v>87000</v>
      </c>
      <c r="D1401" s="5" t="str">
        <f>VLOOKUP(C1401, 'DICIONÁRIO CNAES'!$A:$B, 2, FALSE)</f>
        <v>Atividades de assistência à saude humana integradas com assistencia social, inclusive prestadas em residencias</v>
      </c>
      <c r="E1401" s="4">
        <v>1343.19796984</v>
      </c>
      <c r="F1401" s="4">
        <v>1491362.5864039999</v>
      </c>
    </row>
    <row r="1402" spans="1:6" x14ac:dyDescent="0.3">
      <c r="A1402" s="3" t="s">
        <v>12</v>
      </c>
      <c r="B1402" s="7" t="str">
        <f>VLOOKUP(VALUE(A1402), 'DICIONÁRIO UF'!$A:$B, 2, FALSE)</f>
        <v>Piauí</v>
      </c>
      <c r="C1402" s="3">
        <v>88000</v>
      </c>
      <c r="D1402" s="5" t="str">
        <f>VLOOKUP(C1402, 'DICIONÁRIO CNAES'!$A:$B, 2, FALSE)</f>
        <v>Serviços de assistência social sem alojamento</v>
      </c>
      <c r="E1402" s="4">
        <v>2762.3401716600001</v>
      </c>
      <c r="F1402" s="4">
        <v>3060236.0330125</v>
      </c>
    </row>
    <row r="1403" spans="1:6" x14ac:dyDescent="0.3">
      <c r="A1403" s="3" t="s">
        <v>12</v>
      </c>
      <c r="B1403" s="7" t="str">
        <f>VLOOKUP(VALUE(A1403), 'DICIONÁRIO UF'!$A:$B, 2, FALSE)</f>
        <v>Piauí</v>
      </c>
      <c r="C1403" s="3">
        <v>90000</v>
      </c>
      <c r="D1403" s="5" t="str">
        <f>VLOOKUP(C1403, 'DICIONÁRIO CNAES'!$A:$B, 2, FALSE)</f>
        <v>Atividades artísticas, criativas e de espetáculos</v>
      </c>
      <c r="E1403" s="4">
        <v>187.28805216000001</v>
      </c>
      <c r="F1403" s="4">
        <v>262203.27302399999</v>
      </c>
    </row>
    <row r="1404" spans="1:6" x14ac:dyDescent="0.3">
      <c r="A1404" s="3" t="s">
        <v>12</v>
      </c>
      <c r="B1404" s="7" t="str">
        <f>VLOOKUP(VALUE(A1404), 'DICIONÁRIO UF'!$A:$B, 2, FALSE)</f>
        <v>Piauí</v>
      </c>
      <c r="C1404" s="3">
        <v>91000</v>
      </c>
      <c r="D1404" s="5" t="str">
        <f>VLOOKUP(C1404, 'DICIONÁRIO CNAES'!$A:$B, 2, FALSE)</f>
        <v>Atividades ligadas ao patrimônio cultural e ambiental</v>
      </c>
      <c r="E1404" s="4">
        <v>399.89590769</v>
      </c>
      <c r="F1404" s="4">
        <v>759802.22461100004</v>
      </c>
    </row>
    <row r="1405" spans="1:6" x14ac:dyDescent="0.3">
      <c r="A1405" s="3" t="s">
        <v>12</v>
      </c>
      <c r="B1405" s="7" t="str">
        <f>VLOOKUP(VALUE(A1405), 'DICIONÁRIO UF'!$A:$B, 2, FALSE)</f>
        <v>Piauí</v>
      </c>
      <c r="C1405" s="3">
        <v>92000</v>
      </c>
      <c r="D1405" s="5" t="str">
        <f>VLOOKUP(C1405, 'DICIONÁRIO CNAES'!$A:$B, 2, FALSE)</f>
        <v>Atividades de exploração de jogos de azar e apostas</v>
      </c>
      <c r="E1405" s="4">
        <v>426.10839163000003</v>
      </c>
      <c r="F1405" s="4">
        <v>511330.06995600002</v>
      </c>
    </row>
    <row r="1406" spans="1:6" x14ac:dyDescent="0.3">
      <c r="A1406" s="3" t="s">
        <v>12</v>
      </c>
      <c r="B1406" s="7" t="str">
        <f>VLOOKUP(VALUE(A1406), 'DICIONÁRIO UF'!$A:$B, 2, FALSE)</f>
        <v>Piauí</v>
      </c>
      <c r="C1406" s="3">
        <v>93011</v>
      </c>
      <c r="D1406" s="5" t="str">
        <f>VLOOKUP(C1406, 'DICIONÁRIO CNAES'!$A:$B, 2, FALSE)</f>
        <v>Atividades esportivas</v>
      </c>
      <c r="E1406" s="4">
        <v>1591.55562506</v>
      </c>
      <c r="F1406" s="4">
        <v>1053045.126932</v>
      </c>
    </row>
    <row r="1407" spans="1:6" x14ac:dyDescent="0.3">
      <c r="A1407" s="3" t="s">
        <v>12</v>
      </c>
      <c r="B1407" s="7" t="str">
        <f>VLOOKUP(VALUE(A1407), 'DICIONÁRIO UF'!$A:$B, 2, FALSE)</f>
        <v>Piauí</v>
      </c>
      <c r="C1407" s="3">
        <v>93012</v>
      </c>
      <c r="D1407" s="5" t="str">
        <f>VLOOKUP(C1407, 'DICIONÁRIO CNAES'!$A:$B, 2, FALSE)</f>
        <v>Atividades de condicionamento físico</v>
      </c>
      <c r="E1407" s="4">
        <v>7585.4056950200002</v>
      </c>
      <c r="F1407" s="4">
        <v>11274979.824466599</v>
      </c>
    </row>
    <row r="1408" spans="1:6" x14ac:dyDescent="0.3">
      <c r="A1408" s="3" t="s">
        <v>12</v>
      </c>
      <c r="B1408" s="7" t="str">
        <f>VLOOKUP(VALUE(A1408), 'DICIONÁRIO UF'!$A:$B, 2, FALSE)</f>
        <v>Piauí</v>
      </c>
      <c r="C1408" s="3">
        <v>93020</v>
      </c>
      <c r="D1408" s="5" t="str">
        <f>VLOOKUP(C1408, 'DICIONÁRIO CNAES'!$A:$B, 2, FALSE)</f>
        <v>Atividades de recreação e lazer</v>
      </c>
      <c r="E1408" s="4">
        <v>956.64112868999996</v>
      </c>
      <c r="F1408" s="4">
        <v>230202.94338819999</v>
      </c>
    </row>
    <row r="1409" spans="1:6" x14ac:dyDescent="0.3">
      <c r="A1409" s="3" t="s">
        <v>12</v>
      </c>
      <c r="B1409" s="7" t="str">
        <f>VLOOKUP(VALUE(A1409), 'DICIONÁRIO UF'!$A:$B, 2, FALSE)</f>
        <v>Piauí</v>
      </c>
      <c r="C1409" s="3">
        <v>94020</v>
      </c>
      <c r="D1409" s="5" t="str">
        <f>VLOOKUP(C1409, 'DICIONÁRIO CNAES'!$A:$B, 2, FALSE)</f>
        <v>Atividades de organizações sindicais</v>
      </c>
      <c r="E1409" s="4">
        <v>1090.97956694</v>
      </c>
      <c r="F1409" s="4">
        <v>1786459.0127365</v>
      </c>
    </row>
    <row r="1410" spans="1:6" x14ac:dyDescent="0.3">
      <c r="A1410" s="3" t="s">
        <v>12</v>
      </c>
      <c r="B1410" s="7" t="str">
        <f>VLOOKUP(VALUE(A1410), 'DICIONÁRIO UF'!$A:$B, 2, FALSE)</f>
        <v>Piauí</v>
      </c>
      <c r="C1410" s="3">
        <v>94091</v>
      </c>
      <c r="D1410" s="5" t="str">
        <f>VLOOKUP(C1410, 'DICIONÁRIO CNAES'!$A:$B, 2, FALSE)</f>
        <v>Atividades de organizações religiosas e filosóficas</v>
      </c>
      <c r="E1410" s="4">
        <v>5256.9764591600006</v>
      </c>
      <c r="F1410" s="4">
        <v>7541329.4912813306</v>
      </c>
    </row>
    <row r="1411" spans="1:6" x14ac:dyDescent="0.3">
      <c r="A1411" s="3" t="s">
        <v>12</v>
      </c>
      <c r="B1411" s="7" t="str">
        <f>VLOOKUP(VALUE(A1411), 'DICIONÁRIO UF'!$A:$B, 2, FALSE)</f>
        <v>Piauí</v>
      </c>
      <c r="C1411" s="3">
        <v>95010</v>
      </c>
      <c r="D1411" s="5" t="str">
        <f>VLOOKUP(C1411, 'DICIONÁRIO CNAES'!$A:$B, 2, FALSE)</f>
        <v>Reparação e manutenção de equipamentos de informática e comunicação</v>
      </c>
      <c r="E1411" s="4">
        <v>3426.90677121</v>
      </c>
      <c r="F1411" s="4">
        <v>5722960.8551469985</v>
      </c>
    </row>
    <row r="1412" spans="1:6" x14ac:dyDescent="0.3">
      <c r="A1412" s="3" t="s">
        <v>12</v>
      </c>
      <c r="B1412" s="7" t="str">
        <f>VLOOKUP(VALUE(A1412), 'DICIONÁRIO UF'!$A:$B, 2, FALSE)</f>
        <v>Piauí</v>
      </c>
      <c r="C1412" s="3">
        <v>95030</v>
      </c>
      <c r="D1412" s="5" t="str">
        <f>VLOOKUP(C1412, 'DICIONÁRIO CNAES'!$A:$B, 2, FALSE)</f>
        <v>Reparação e manutenção de objetos e equipamentos pessoais e domésticos</v>
      </c>
      <c r="E1412" s="4">
        <v>7048.4346631999997</v>
      </c>
      <c r="F1412" s="4">
        <v>9956246.1635151003</v>
      </c>
    </row>
    <row r="1413" spans="1:6" x14ac:dyDescent="0.3">
      <c r="A1413" s="3" t="s">
        <v>12</v>
      </c>
      <c r="B1413" s="7" t="str">
        <f>VLOOKUP(VALUE(A1413), 'DICIONÁRIO UF'!$A:$B, 2, FALSE)</f>
        <v>Piauí</v>
      </c>
      <c r="C1413" s="3">
        <v>96010</v>
      </c>
      <c r="D1413" s="5" t="str">
        <f>VLOOKUP(C1413, 'DICIONÁRIO CNAES'!$A:$B, 2, FALSE)</f>
        <v>Lavanderias, tinturarias e toalheiros</v>
      </c>
      <c r="E1413" s="4">
        <v>3518.3635226299998</v>
      </c>
      <c r="F1413" s="4">
        <v>1825949.0539102</v>
      </c>
    </row>
    <row r="1414" spans="1:6" x14ac:dyDescent="0.3">
      <c r="A1414" s="3" t="s">
        <v>12</v>
      </c>
      <c r="B1414" s="7" t="str">
        <f>VLOOKUP(VALUE(A1414), 'DICIONÁRIO UF'!$A:$B, 2, FALSE)</f>
        <v>Piauí</v>
      </c>
      <c r="C1414" s="3">
        <v>96020</v>
      </c>
      <c r="D1414" s="5" t="str">
        <f>VLOOKUP(C1414, 'DICIONÁRIO CNAES'!$A:$B, 2, FALSE)</f>
        <v>Cabeleireiros e outras atividades de tratamento de beleza</v>
      </c>
      <c r="E1414" s="4">
        <v>36446.363611369998</v>
      </c>
      <c r="F1414" s="4">
        <v>40847639.009930402</v>
      </c>
    </row>
    <row r="1415" spans="1:6" x14ac:dyDescent="0.3">
      <c r="A1415" s="3" t="s">
        <v>12</v>
      </c>
      <c r="B1415" s="7" t="str">
        <f>VLOOKUP(VALUE(A1415), 'DICIONÁRIO UF'!$A:$B, 2, FALSE)</f>
        <v>Piauí</v>
      </c>
      <c r="C1415" s="3">
        <v>96030</v>
      </c>
      <c r="D1415" s="5" t="str">
        <f>VLOOKUP(C1415, 'DICIONÁRIO CNAES'!$A:$B, 2, FALSE)</f>
        <v xml:space="preserve">Atividades funerárias e serviços relacionados </v>
      </c>
      <c r="E1415" s="4">
        <v>1818.0974133899999</v>
      </c>
      <c r="F1415" s="4">
        <v>2911809.9543259498</v>
      </c>
    </row>
    <row r="1416" spans="1:6" x14ac:dyDescent="0.3">
      <c r="A1416" s="3" t="s">
        <v>12</v>
      </c>
      <c r="B1416" s="7" t="str">
        <f>VLOOKUP(VALUE(A1416), 'DICIONÁRIO UF'!$A:$B, 2, FALSE)</f>
        <v>Piauí</v>
      </c>
      <c r="C1416" s="3">
        <v>96090</v>
      </c>
      <c r="D1416" s="5" t="str">
        <f>VLOOKUP(C1416, 'DICIONÁRIO CNAES'!$A:$B, 2, FALSE)</f>
        <v>Outras atividades de serviços pessoais</v>
      </c>
      <c r="E1416" s="4">
        <v>2225.7747365</v>
      </c>
      <c r="F1416" s="4">
        <v>7714487.8972145002</v>
      </c>
    </row>
    <row r="1417" spans="1:6" x14ac:dyDescent="0.3">
      <c r="A1417" s="3" t="s">
        <v>12</v>
      </c>
      <c r="B1417" s="7" t="str">
        <f>VLOOKUP(VALUE(A1417), 'DICIONÁRIO UF'!$A:$B, 2, FALSE)</f>
        <v>Piauí</v>
      </c>
      <c r="C1417" s="3">
        <v>97000</v>
      </c>
      <c r="D1417" s="5" t="str">
        <f>VLOOKUP(C1417, 'DICIONÁRIO CNAES'!$A:$B, 2, FALSE)</f>
        <v>Serviços domésticos</v>
      </c>
      <c r="E1417" s="4">
        <v>72198.537614009998</v>
      </c>
      <c r="F1417" s="4">
        <v>40847998.18884854</v>
      </c>
    </row>
    <row r="1418" spans="1:6" x14ac:dyDescent="0.3">
      <c r="A1418" s="3" t="s">
        <v>13</v>
      </c>
      <c r="B1418" s="7" t="str">
        <f>VLOOKUP(VALUE(A1418), 'DICIONÁRIO UF'!$A:$B, 2, FALSE)</f>
        <v>Ceará</v>
      </c>
      <c r="C1418" s="3">
        <v>1101</v>
      </c>
      <c r="D1418" s="5" t="str">
        <f>VLOOKUP(C1418, 'DICIONÁRIO CNAES'!$A:$B, 2, FALSE)</f>
        <v>Cultivo de arroz</v>
      </c>
      <c r="E1418" s="4">
        <v>1855.6231614200001</v>
      </c>
      <c r="F1418" s="4">
        <v>556686.94842600008</v>
      </c>
    </row>
    <row r="1419" spans="1:6" x14ac:dyDescent="0.3">
      <c r="A1419" s="3" t="s">
        <v>13</v>
      </c>
      <c r="B1419" s="7" t="str">
        <f>VLOOKUP(VALUE(A1419), 'DICIONÁRIO UF'!$A:$B, 2, FALSE)</f>
        <v>Ceará</v>
      </c>
      <c r="C1419" s="3">
        <v>1102</v>
      </c>
      <c r="D1419" s="5" t="str">
        <f>VLOOKUP(C1419, 'DICIONÁRIO CNAES'!$A:$B, 2, FALSE)</f>
        <v>Cultivo de milho</v>
      </c>
      <c r="E1419" s="4">
        <v>56339.543110350001</v>
      </c>
      <c r="F1419" s="4">
        <v>22385254.476629779</v>
      </c>
    </row>
    <row r="1420" spans="1:6" x14ac:dyDescent="0.3">
      <c r="A1420" s="3" t="s">
        <v>13</v>
      </c>
      <c r="B1420" s="7" t="str">
        <f>VLOOKUP(VALUE(A1420), 'DICIONÁRIO UF'!$A:$B, 2, FALSE)</f>
        <v>Ceará</v>
      </c>
      <c r="C1420" s="3">
        <v>1104</v>
      </c>
      <c r="D1420" s="5" t="str">
        <f>VLOOKUP(C1420, 'DICIONÁRIO CNAES'!$A:$B, 2, FALSE)</f>
        <v>Cultivo de algodão</v>
      </c>
      <c r="E1420" s="4">
        <v>249.29031216999999</v>
      </c>
      <c r="F1420" s="4">
        <v>274219.34338699997</v>
      </c>
    </row>
    <row r="1421" spans="1:6" x14ac:dyDescent="0.3">
      <c r="A1421" s="3" t="s">
        <v>13</v>
      </c>
      <c r="B1421" s="7" t="str">
        <f>VLOOKUP(VALUE(A1421), 'DICIONÁRIO UF'!$A:$B, 2, FALSE)</f>
        <v>Ceará</v>
      </c>
      <c r="C1421" s="3">
        <v>1105</v>
      </c>
      <c r="D1421" s="5" t="str">
        <f>VLOOKUP(C1421, 'DICIONÁRIO CNAES'!$A:$B, 2, FALSE)</f>
        <v>Cultivo de cana-de-açúcar</v>
      </c>
      <c r="E1421" s="4">
        <v>3171.70297188</v>
      </c>
      <c r="F1421" s="4">
        <v>3214002.0953520001</v>
      </c>
    </row>
    <row r="1422" spans="1:6" x14ac:dyDescent="0.3">
      <c r="A1422" s="3" t="s">
        <v>13</v>
      </c>
      <c r="B1422" s="7" t="str">
        <f>VLOOKUP(VALUE(A1422), 'DICIONÁRIO UF'!$A:$B, 2, FALSE)</f>
        <v>Ceará</v>
      </c>
      <c r="C1422" s="3">
        <v>1108</v>
      </c>
      <c r="D1422" s="5" t="str">
        <f>VLOOKUP(C1422, 'DICIONÁRIO CNAES'!$A:$B, 2, FALSE)</f>
        <v>Cultivo de mandioca</v>
      </c>
      <c r="E1422" s="4">
        <v>6891.88262089</v>
      </c>
      <c r="F1422" s="4">
        <v>2869756.1706667999</v>
      </c>
    </row>
    <row r="1423" spans="1:6" x14ac:dyDescent="0.3">
      <c r="A1423" s="3" t="s">
        <v>13</v>
      </c>
      <c r="B1423" s="7" t="str">
        <f>VLOOKUP(VALUE(A1423), 'DICIONÁRIO UF'!$A:$B, 2, FALSE)</f>
        <v>Ceará</v>
      </c>
      <c r="C1423" s="3">
        <v>1109</v>
      </c>
      <c r="D1423" s="5" t="str">
        <f>VLOOKUP(C1423, 'DICIONÁRIO CNAES'!$A:$B, 2, FALSE)</f>
        <v>Cultivo de outras lavouras temporárias não especificadas anteriormente</v>
      </c>
      <c r="E1423" s="4">
        <v>78897.58291641</v>
      </c>
      <c r="F1423" s="4">
        <v>29951302.942789461</v>
      </c>
    </row>
    <row r="1424" spans="1:6" x14ac:dyDescent="0.3">
      <c r="A1424" s="3" t="s">
        <v>13</v>
      </c>
      <c r="B1424" s="7" t="str">
        <f>VLOOKUP(VALUE(A1424), 'DICIONÁRIO UF'!$A:$B, 2, FALSE)</f>
        <v>Ceará</v>
      </c>
      <c r="C1424" s="3">
        <v>1110</v>
      </c>
      <c r="D1424" s="5" t="str">
        <f>VLOOKUP(C1424, 'DICIONÁRIO CNAES'!$A:$B, 2, FALSE)</f>
        <v>Horticultura</v>
      </c>
      <c r="E1424" s="4">
        <v>23057.64668342</v>
      </c>
      <c r="F1424" s="4">
        <v>15332532.407467799</v>
      </c>
    </row>
    <row r="1425" spans="1:6" x14ac:dyDescent="0.3">
      <c r="A1425" s="3" t="s">
        <v>13</v>
      </c>
      <c r="B1425" s="7" t="str">
        <f>VLOOKUP(VALUE(A1425), 'DICIONÁRIO UF'!$A:$B, 2, FALSE)</f>
        <v>Ceará</v>
      </c>
      <c r="C1425" s="3">
        <v>1111</v>
      </c>
      <c r="D1425" s="5" t="str">
        <f>VLOOKUP(C1425, 'DICIONÁRIO CNAES'!$A:$B, 2, FALSE)</f>
        <v>Cultivo de flores e plantas ornamentais</v>
      </c>
      <c r="E1425" s="4">
        <v>1786.16789139</v>
      </c>
      <c r="F1425" s="4">
        <v>1590792.5228830001</v>
      </c>
    </row>
    <row r="1426" spans="1:6" x14ac:dyDescent="0.3">
      <c r="A1426" s="3" t="s">
        <v>13</v>
      </c>
      <c r="B1426" s="7" t="str">
        <f>VLOOKUP(VALUE(A1426), 'DICIONÁRIO UF'!$A:$B, 2, FALSE)</f>
        <v>Ceará</v>
      </c>
      <c r="C1426" s="3">
        <v>1112</v>
      </c>
      <c r="D1426" s="5" t="str">
        <f>VLOOKUP(C1426, 'DICIONÁRIO CNAES'!$A:$B, 2, FALSE)</f>
        <v>Cultivo de frutas cítricas</v>
      </c>
      <c r="E1426" s="4">
        <v>1658.8237375000001</v>
      </c>
      <c r="F1426" s="4">
        <v>1614307.0243946</v>
      </c>
    </row>
    <row r="1427" spans="1:6" x14ac:dyDescent="0.3">
      <c r="A1427" s="3" t="s">
        <v>13</v>
      </c>
      <c r="B1427" s="7" t="str">
        <f>VLOOKUP(VALUE(A1427), 'DICIONÁRIO UF'!$A:$B, 2, FALSE)</f>
        <v>Ceará</v>
      </c>
      <c r="C1427" s="3">
        <v>1116</v>
      </c>
      <c r="D1427" s="5" t="str">
        <f>VLOOKUP(C1427, 'DICIONÁRIO CNAES'!$A:$B, 2, FALSE)</f>
        <v>Cultivo de banana</v>
      </c>
      <c r="E1427" s="4">
        <v>13063.5306545</v>
      </c>
      <c r="F1427" s="4">
        <v>9305450.2576259989</v>
      </c>
    </row>
    <row r="1428" spans="1:6" x14ac:dyDescent="0.3">
      <c r="A1428" s="3" t="s">
        <v>13</v>
      </c>
      <c r="B1428" s="7" t="str">
        <f>VLOOKUP(VALUE(A1428), 'DICIONÁRIO UF'!$A:$B, 2, FALSE)</f>
        <v>Ceará</v>
      </c>
      <c r="C1428" s="3">
        <v>1117</v>
      </c>
      <c r="D1428" s="5" t="str">
        <f>VLOOKUP(C1428, 'DICIONÁRIO CNAES'!$A:$B, 2, FALSE)</f>
        <v>Cultivo de outras plantas e frutas de lavoura permanente não especificadas anteriormente</v>
      </c>
      <c r="E1428" s="4">
        <v>27291.983461169999</v>
      </c>
      <c r="F1428" s="4">
        <v>15418965.35056429</v>
      </c>
    </row>
    <row r="1429" spans="1:6" x14ac:dyDescent="0.3">
      <c r="A1429" s="3" t="s">
        <v>13</v>
      </c>
      <c r="B1429" s="7" t="str">
        <f>VLOOKUP(VALUE(A1429), 'DICIONÁRIO UF'!$A:$B, 2, FALSE)</f>
        <v>Ceará</v>
      </c>
      <c r="C1429" s="3">
        <v>1118</v>
      </c>
      <c r="D1429" s="5" t="str">
        <f>VLOOKUP(C1429, 'DICIONÁRIO CNAES'!$A:$B, 2, FALSE)</f>
        <v>Produção de sementes e mudas certificadas</v>
      </c>
      <c r="E1429" s="4">
        <v>148.63445680999999</v>
      </c>
      <c r="F1429" s="4">
        <v>163497.90249099999</v>
      </c>
    </row>
    <row r="1430" spans="1:6" x14ac:dyDescent="0.3">
      <c r="A1430" s="3" t="s">
        <v>13</v>
      </c>
      <c r="B1430" s="7" t="str">
        <f>VLOOKUP(VALUE(A1430), 'DICIONÁRIO UF'!$A:$B, 2, FALSE)</f>
        <v>Ceará</v>
      </c>
      <c r="C1430" s="3">
        <v>1119</v>
      </c>
      <c r="D1430" s="5" t="str">
        <f>VLOOKUP(C1430, 'DICIONÁRIO CNAES'!$A:$B, 2, FALSE)</f>
        <v>Lavoura não especificada</v>
      </c>
      <c r="E1430" s="4">
        <v>2973.6562659900001</v>
      </c>
      <c r="F1430" s="4">
        <v>2013576.4306483001</v>
      </c>
    </row>
    <row r="1431" spans="1:6" x14ac:dyDescent="0.3">
      <c r="A1431" s="3" t="s">
        <v>13</v>
      </c>
      <c r="B1431" s="7" t="str">
        <f>VLOOKUP(VALUE(A1431), 'DICIONÁRIO UF'!$A:$B, 2, FALSE)</f>
        <v>Ceará</v>
      </c>
      <c r="C1431" s="3">
        <v>1201</v>
      </c>
      <c r="D1431" s="5" t="str">
        <f>VLOOKUP(C1431, 'DICIONÁRIO CNAES'!$A:$B, 2, FALSE)</f>
        <v>Criação de bovinos</v>
      </c>
      <c r="E1431" s="4">
        <v>43233.979466889999</v>
      </c>
      <c r="F1431" s="4">
        <v>32699984.70355995</v>
      </c>
    </row>
    <row r="1432" spans="1:6" x14ac:dyDescent="0.3">
      <c r="A1432" s="3" t="s">
        <v>13</v>
      </c>
      <c r="B1432" s="7" t="str">
        <f>VLOOKUP(VALUE(A1432), 'DICIONÁRIO UF'!$A:$B, 2, FALSE)</f>
        <v>Ceará</v>
      </c>
      <c r="C1432" s="3">
        <v>1202</v>
      </c>
      <c r="D1432" s="5" t="str">
        <f>VLOOKUP(C1432, 'DICIONÁRIO CNAES'!$A:$B, 2, FALSE)</f>
        <v>Criação de outros animais de grande porte não especificados anteriormente</v>
      </c>
      <c r="E1432" s="4">
        <v>1071.0239878899999</v>
      </c>
      <c r="F1432" s="4">
        <v>1025349.626676</v>
      </c>
    </row>
    <row r="1433" spans="1:6" x14ac:dyDescent="0.3">
      <c r="A1433" s="3" t="s">
        <v>13</v>
      </c>
      <c r="B1433" s="7" t="str">
        <f>VLOOKUP(VALUE(A1433), 'DICIONÁRIO UF'!$A:$B, 2, FALSE)</f>
        <v>Ceará</v>
      </c>
      <c r="C1433" s="3">
        <v>1203</v>
      </c>
      <c r="D1433" s="5" t="str">
        <f>VLOOKUP(C1433, 'DICIONÁRIO CNAES'!$A:$B, 2, FALSE)</f>
        <v>Criação de caprinos e ovinos</v>
      </c>
      <c r="E1433" s="4">
        <v>6199.4901206699997</v>
      </c>
      <c r="F1433" s="4">
        <v>3065730.8935647001</v>
      </c>
    </row>
    <row r="1434" spans="1:6" x14ac:dyDescent="0.3">
      <c r="A1434" s="3" t="s">
        <v>13</v>
      </c>
      <c r="B1434" s="7" t="str">
        <f>VLOOKUP(VALUE(A1434), 'DICIONÁRIO UF'!$A:$B, 2, FALSE)</f>
        <v>Ceará</v>
      </c>
      <c r="C1434" s="3">
        <v>1204</v>
      </c>
      <c r="D1434" s="5" t="str">
        <f>VLOOKUP(C1434, 'DICIONÁRIO CNAES'!$A:$B, 2, FALSE)</f>
        <v>Criação de suínos</v>
      </c>
      <c r="E1434" s="4">
        <v>4988.9471898199999</v>
      </c>
      <c r="F1434" s="4">
        <v>1993724.71456</v>
      </c>
    </row>
    <row r="1435" spans="1:6" x14ac:dyDescent="0.3">
      <c r="A1435" s="3" t="s">
        <v>13</v>
      </c>
      <c r="B1435" s="7" t="str">
        <f>VLOOKUP(VALUE(A1435), 'DICIONÁRIO UF'!$A:$B, 2, FALSE)</f>
        <v>Ceará</v>
      </c>
      <c r="C1435" s="3">
        <v>1205</v>
      </c>
      <c r="D1435" s="5" t="str">
        <f>VLOOKUP(C1435, 'DICIONÁRIO CNAES'!$A:$B, 2, FALSE)</f>
        <v>Criação de aves</v>
      </c>
      <c r="E1435" s="4">
        <v>8544.3220647399994</v>
      </c>
      <c r="F1435" s="4">
        <v>7561694.5058302004</v>
      </c>
    </row>
    <row r="1436" spans="1:6" x14ac:dyDescent="0.3">
      <c r="A1436" s="3" t="s">
        <v>13</v>
      </c>
      <c r="B1436" s="7" t="str">
        <f>VLOOKUP(VALUE(A1436), 'DICIONÁRIO UF'!$A:$B, 2, FALSE)</f>
        <v>Ceará</v>
      </c>
      <c r="C1436" s="3">
        <v>1206</v>
      </c>
      <c r="D1436" s="5" t="str">
        <f>VLOOKUP(C1436, 'DICIONÁRIO CNAES'!$A:$B, 2, FALSE)</f>
        <v>Apicultura</v>
      </c>
      <c r="E1436" s="4">
        <v>1698.3487668299999</v>
      </c>
      <c r="F1436" s="4">
        <v>1002371.876131</v>
      </c>
    </row>
    <row r="1437" spans="1:6" x14ac:dyDescent="0.3">
      <c r="A1437" s="3" t="s">
        <v>13</v>
      </c>
      <c r="B1437" s="7" t="str">
        <f>VLOOKUP(VALUE(A1437), 'DICIONÁRIO UF'!$A:$B, 2, FALSE)</f>
        <v>Ceará</v>
      </c>
      <c r="C1437" s="3">
        <v>1209</v>
      </c>
      <c r="D1437" s="5" t="str">
        <f>VLOOKUP(C1437, 'DICIONÁRIO CNAES'!$A:$B, 2, FALSE)</f>
        <v>Pecuária não especificada</v>
      </c>
      <c r="E1437" s="4">
        <v>926.13782694000008</v>
      </c>
      <c r="F1437" s="4">
        <v>897975.60369600006</v>
      </c>
    </row>
    <row r="1438" spans="1:6" x14ac:dyDescent="0.3">
      <c r="A1438" s="3" t="s">
        <v>13</v>
      </c>
      <c r="B1438" s="7" t="str">
        <f>VLOOKUP(VALUE(A1438), 'DICIONÁRIO UF'!$A:$B, 2, FALSE)</f>
        <v>Ceará</v>
      </c>
      <c r="C1438" s="3">
        <v>1401</v>
      </c>
      <c r="D1438" s="5" t="str">
        <f>VLOOKUP(C1438, 'DICIONÁRIO CNAES'!$A:$B, 2, FALSE)</f>
        <v>Atividades de apoio à agricultura e pós-colheita</v>
      </c>
      <c r="E1438" s="4">
        <v>3058.6897662000001</v>
      </c>
      <c r="F1438" s="4">
        <v>1545403.3432110001</v>
      </c>
    </row>
    <row r="1439" spans="1:6" x14ac:dyDescent="0.3">
      <c r="A1439" s="3" t="s">
        <v>13</v>
      </c>
      <c r="B1439" s="7" t="str">
        <f>VLOOKUP(VALUE(A1439), 'DICIONÁRIO UF'!$A:$B, 2, FALSE)</f>
        <v>Ceará</v>
      </c>
      <c r="C1439" s="3">
        <v>1402</v>
      </c>
      <c r="D1439" s="5" t="str">
        <f>VLOOKUP(C1439, 'DICIONÁRIO CNAES'!$A:$B, 2, FALSE)</f>
        <v xml:space="preserve">Atividades de apoio à pecuária </v>
      </c>
      <c r="E1439" s="4">
        <v>1121.33449791</v>
      </c>
      <c r="F1439" s="4">
        <v>707694.01528299996</v>
      </c>
    </row>
    <row r="1440" spans="1:6" x14ac:dyDescent="0.3">
      <c r="A1440" s="3" t="s">
        <v>13</v>
      </c>
      <c r="B1440" s="7" t="str">
        <f>VLOOKUP(VALUE(A1440), 'DICIONÁRIO UF'!$A:$B, 2, FALSE)</f>
        <v>Ceará</v>
      </c>
      <c r="C1440" s="3">
        <v>1999</v>
      </c>
      <c r="D1440" s="5" t="str">
        <f>VLOOKUP(C1440, 'DICIONÁRIO CNAES'!$A:$B, 2, FALSE)</f>
        <v>Agropecuária</v>
      </c>
      <c r="E1440" s="4">
        <v>1159.1316998899999</v>
      </c>
      <c r="F1440" s="4">
        <v>1661852.5168250001</v>
      </c>
    </row>
    <row r="1441" spans="1:6" x14ac:dyDescent="0.3">
      <c r="A1441" s="3" t="s">
        <v>13</v>
      </c>
      <c r="B1441" s="7" t="str">
        <f>VLOOKUP(VALUE(A1441), 'DICIONÁRIO UF'!$A:$B, 2, FALSE)</f>
        <v>Ceará</v>
      </c>
      <c r="C1441" s="3">
        <v>2000</v>
      </c>
      <c r="D1441" s="5" t="str">
        <f>VLOOKUP(C1441, 'DICIONÁRIO CNAES'!$A:$B, 2, FALSE)</f>
        <v xml:space="preserve">Produção florestal </v>
      </c>
      <c r="E1441" s="4">
        <v>20426.229053110001</v>
      </c>
      <c r="F1441" s="4">
        <v>11265017.4323343</v>
      </c>
    </row>
    <row r="1442" spans="1:6" x14ac:dyDescent="0.3">
      <c r="A1442" s="3" t="s">
        <v>13</v>
      </c>
      <c r="B1442" s="7" t="str">
        <f>VLOOKUP(VALUE(A1442), 'DICIONÁRIO UF'!$A:$B, 2, FALSE)</f>
        <v>Ceará</v>
      </c>
      <c r="C1442" s="3">
        <v>3001</v>
      </c>
      <c r="D1442" s="5" t="str">
        <f>VLOOKUP(C1442, 'DICIONÁRIO CNAES'!$A:$B, 2, FALSE)</f>
        <v>Pesca</v>
      </c>
      <c r="E1442" s="4">
        <v>14187.85068413</v>
      </c>
      <c r="F1442" s="4">
        <v>14488501.1819962</v>
      </c>
    </row>
    <row r="1443" spans="1:6" x14ac:dyDescent="0.3">
      <c r="A1443" s="3" t="s">
        <v>13</v>
      </c>
      <c r="B1443" s="7" t="str">
        <f>VLOOKUP(VALUE(A1443), 'DICIONÁRIO UF'!$A:$B, 2, FALSE)</f>
        <v>Ceará</v>
      </c>
      <c r="C1443" s="3">
        <v>3002</v>
      </c>
      <c r="D1443" s="5" t="str">
        <f>VLOOKUP(C1443, 'DICIONÁRIO CNAES'!$A:$B, 2, FALSE)</f>
        <v>Aqüicultura</v>
      </c>
      <c r="E1443" s="4">
        <v>4643.7150152599997</v>
      </c>
      <c r="F1443" s="4">
        <v>3086999.9020690001</v>
      </c>
    </row>
    <row r="1444" spans="1:6" x14ac:dyDescent="0.3">
      <c r="A1444" s="3" t="s">
        <v>13</v>
      </c>
      <c r="B1444" s="7" t="str">
        <f>VLOOKUP(VALUE(A1444), 'DICIONÁRIO UF'!$A:$B, 2, FALSE)</f>
        <v>Ceará</v>
      </c>
      <c r="C1444" s="3">
        <v>7002</v>
      </c>
      <c r="D1444" s="5" t="str">
        <f>VLOOKUP(C1444, 'DICIONÁRIO CNAES'!$A:$B, 2, FALSE)</f>
        <v xml:space="preserve">Extração de minerais metálicos não especificados anteriormente </v>
      </c>
      <c r="E1444" s="4">
        <v>939.36197869000011</v>
      </c>
      <c r="F1444" s="4">
        <v>1245972.589835</v>
      </c>
    </row>
    <row r="1445" spans="1:6" x14ac:dyDescent="0.3">
      <c r="A1445" s="3" t="s">
        <v>13</v>
      </c>
      <c r="B1445" s="7" t="str">
        <f>VLOOKUP(VALUE(A1445), 'DICIONÁRIO UF'!$A:$B, 2, FALSE)</f>
        <v>Ceará</v>
      </c>
      <c r="C1445" s="3">
        <v>8001</v>
      </c>
      <c r="D1445" s="5" t="str">
        <f>VLOOKUP(C1445, 'DICIONÁRIO CNAES'!$A:$B, 2, FALSE)</f>
        <v>Extração de pedras, areia e argila</v>
      </c>
      <c r="E1445" s="4">
        <v>4015.6046158700001</v>
      </c>
      <c r="F1445" s="4">
        <v>4862898.7388148</v>
      </c>
    </row>
    <row r="1446" spans="1:6" x14ac:dyDescent="0.3">
      <c r="A1446" s="3" t="s">
        <v>13</v>
      </c>
      <c r="B1446" s="7" t="str">
        <f>VLOOKUP(VALUE(A1446), 'DICIONÁRIO UF'!$A:$B, 2, FALSE)</f>
        <v>Ceará</v>
      </c>
      <c r="C1446" s="3">
        <v>8002</v>
      </c>
      <c r="D1446" s="5" t="str">
        <f>VLOOKUP(C1446, 'DICIONÁRIO CNAES'!$A:$B, 2, FALSE)</f>
        <v>Extração de gemas (pedras preciosas e semi-preciosas)</v>
      </c>
      <c r="E1446" s="4">
        <v>983.73506657999997</v>
      </c>
      <c r="F1446" s="4">
        <v>1082108.573238</v>
      </c>
    </row>
    <row r="1447" spans="1:6" x14ac:dyDescent="0.3">
      <c r="A1447" s="3" t="s">
        <v>13</v>
      </c>
      <c r="B1447" s="7" t="str">
        <f>VLOOKUP(VALUE(A1447), 'DICIONÁRIO UF'!$A:$B, 2, FALSE)</f>
        <v>Ceará</v>
      </c>
      <c r="C1447" s="3">
        <v>10010</v>
      </c>
      <c r="D1447" s="5" t="str">
        <f>VLOOKUP(C1447, 'DICIONÁRIO CNAES'!$A:$B, 2, FALSE)</f>
        <v xml:space="preserve">Abate e fabricação de produtos de carne e pescado </v>
      </c>
      <c r="E1447" s="4">
        <v>5850.2761806899998</v>
      </c>
      <c r="F1447" s="4">
        <v>7991996.7840280002</v>
      </c>
    </row>
    <row r="1448" spans="1:6" x14ac:dyDescent="0.3">
      <c r="A1448" s="3" t="s">
        <v>13</v>
      </c>
      <c r="B1448" s="7" t="str">
        <f>VLOOKUP(VALUE(A1448), 'DICIONÁRIO UF'!$A:$B, 2, FALSE)</f>
        <v>Ceará</v>
      </c>
      <c r="C1448" s="3">
        <v>10021</v>
      </c>
      <c r="D1448" s="5" t="str">
        <f>VLOOKUP(C1448, 'DICIONÁRIO CNAES'!$A:$B, 2, FALSE)</f>
        <v>Fabricação de conservas de frutas, legumes e outros vegetais</v>
      </c>
      <c r="E1448" s="4">
        <v>4394.2080462000004</v>
      </c>
      <c r="F1448" s="4">
        <v>8242354.7039955007</v>
      </c>
    </row>
    <row r="1449" spans="1:6" x14ac:dyDescent="0.3">
      <c r="A1449" s="3" t="s">
        <v>13</v>
      </c>
      <c r="B1449" s="7" t="str">
        <f>VLOOKUP(VALUE(A1449), 'DICIONÁRIO UF'!$A:$B, 2, FALSE)</f>
        <v>Ceará</v>
      </c>
      <c r="C1449" s="3">
        <v>10022</v>
      </c>
      <c r="D1449" s="5" t="str">
        <f>VLOOKUP(C1449, 'DICIONÁRIO CNAES'!$A:$B, 2, FALSE)</f>
        <v>Fabricação de óleos vegetais e gorduras vegetais e animais</v>
      </c>
      <c r="E1449" s="4">
        <v>1067.2948447700001</v>
      </c>
      <c r="F1449" s="4">
        <v>1144656.499116</v>
      </c>
    </row>
    <row r="1450" spans="1:6" x14ac:dyDescent="0.3">
      <c r="A1450" s="3" t="s">
        <v>13</v>
      </c>
      <c r="B1450" s="7" t="str">
        <f>VLOOKUP(VALUE(A1450), 'DICIONÁRIO UF'!$A:$B, 2, FALSE)</f>
        <v>Ceará</v>
      </c>
      <c r="C1450" s="3">
        <v>10030</v>
      </c>
      <c r="D1450" s="5" t="str">
        <f>VLOOKUP(C1450, 'DICIONÁRIO CNAES'!$A:$B, 2, FALSE)</f>
        <v>Laticínios</v>
      </c>
      <c r="E1450" s="4">
        <v>7520.6651093299997</v>
      </c>
      <c r="F1450" s="4">
        <v>6658451.4259211002</v>
      </c>
    </row>
    <row r="1451" spans="1:6" x14ac:dyDescent="0.3">
      <c r="A1451" s="3" t="s">
        <v>13</v>
      </c>
      <c r="B1451" s="7" t="str">
        <f>VLOOKUP(VALUE(A1451), 'DICIONÁRIO UF'!$A:$B, 2, FALSE)</f>
        <v>Ceará</v>
      </c>
      <c r="C1451" s="3">
        <v>10091</v>
      </c>
      <c r="D1451" s="5" t="str">
        <f>VLOOKUP(C1451, 'DICIONÁRIO CNAES'!$A:$B, 2, FALSE)</f>
        <v>Moagem, fabricação de produtos amiláceos e de alimentos para animais</v>
      </c>
      <c r="E1451" s="4">
        <v>7874.5195815099996</v>
      </c>
      <c r="F1451" s="4">
        <v>10586594.748017</v>
      </c>
    </row>
    <row r="1452" spans="1:6" x14ac:dyDescent="0.3">
      <c r="A1452" s="3" t="s">
        <v>13</v>
      </c>
      <c r="B1452" s="7" t="str">
        <f>VLOOKUP(VALUE(A1452), 'DICIONÁRIO UF'!$A:$B, 2, FALSE)</f>
        <v>Ceará</v>
      </c>
      <c r="C1452" s="3">
        <v>10092</v>
      </c>
      <c r="D1452" s="5" t="str">
        <f>VLOOKUP(C1452, 'DICIONÁRIO CNAES'!$A:$B, 2, FALSE)</f>
        <v>Fabricação e refino do açúcar</v>
      </c>
      <c r="E1452" s="4">
        <v>1855.0993445199999</v>
      </c>
      <c r="F1452" s="4">
        <v>783904.14003399992</v>
      </c>
    </row>
    <row r="1453" spans="1:6" x14ac:dyDescent="0.3">
      <c r="A1453" s="3" t="s">
        <v>13</v>
      </c>
      <c r="B1453" s="7" t="str">
        <f>VLOOKUP(VALUE(A1453), 'DICIONÁRIO UF'!$A:$B, 2, FALSE)</f>
        <v>Ceará</v>
      </c>
      <c r="C1453" s="3">
        <v>10093</v>
      </c>
      <c r="D1453" s="5" t="str">
        <f>VLOOKUP(C1453, 'DICIONÁRIO CNAES'!$A:$B, 2, FALSE)</f>
        <v>Torrefação e moagem de café</v>
      </c>
      <c r="E1453" s="4">
        <v>420.87412380000001</v>
      </c>
      <c r="F1453" s="4">
        <v>1052185.3095</v>
      </c>
    </row>
    <row r="1454" spans="1:6" x14ac:dyDescent="0.3">
      <c r="A1454" s="3" t="s">
        <v>13</v>
      </c>
      <c r="B1454" s="7" t="str">
        <f>VLOOKUP(VALUE(A1454), 'DICIONÁRIO UF'!$A:$B, 2, FALSE)</f>
        <v>Ceará</v>
      </c>
      <c r="C1454" s="3">
        <v>10099</v>
      </c>
      <c r="D1454" s="5" t="str">
        <f>VLOOKUP(C1454, 'DICIONÁRIO CNAES'!$A:$B, 2, FALSE)</f>
        <v>Fabricação de outros produtos alimentícios</v>
      </c>
      <c r="E1454" s="4">
        <v>16375.766575019999</v>
      </c>
      <c r="F1454" s="4">
        <v>32973938.3487675</v>
      </c>
    </row>
    <row r="1455" spans="1:6" x14ac:dyDescent="0.3">
      <c r="A1455" s="3" t="s">
        <v>13</v>
      </c>
      <c r="B1455" s="7" t="str">
        <f>VLOOKUP(VALUE(A1455), 'DICIONÁRIO UF'!$A:$B, 2, FALSE)</f>
        <v>Ceará</v>
      </c>
      <c r="C1455" s="3">
        <v>11000</v>
      </c>
      <c r="D1455" s="5" t="str">
        <f>VLOOKUP(C1455, 'DICIONÁRIO CNAES'!$A:$B, 2, FALSE)</f>
        <v>Fabricação de bebidas</v>
      </c>
      <c r="E1455" s="4">
        <v>3899.2005588400002</v>
      </c>
      <c r="F1455" s="4">
        <v>6101253.4831379997</v>
      </c>
    </row>
    <row r="1456" spans="1:6" x14ac:dyDescent="0.3">
      <c r="A1456" s="3" t="s">
        <v>13</v>
      </c>
      <c r="B1456" s="7" t="str">
        <f>VLOOKUP(VALUE(A1456), 'DICIONÁRIO UF'!$A:$B, 2, FALSE)</f>
        <v>Ceará</v>
      </c>
      <c r="C1456" s="3">
        <v>13001</v>
      </c>
      <c r="D1456" s="5" t="str">
        <f>VLOOKUP(C1456, 'DICIONÁRIO CNAES'!$A:$B, 2, FALSE)</f>
        <v>Preparação de fibras, fiação e tecelagem</v>
      </c>
      <c r="E1456" s="4">
        <v>6857.8261119199997</v>
      </c>
      <c r="F1456" s="4">
        <v>10717873.1288586</v>
      </c>
    </row>
    <row r="1457" spans="1:6" x14ac:dyDescent="0.3">
      <c r="A1457" s="3" t="s">
        <v>13</v>
      </c>
      <c r="B1457" s="7" t="str">
        <f>VLOOKUP(VALUE(A1457), 'DICIONÁRIO UF'!$A:$B, 2, FALSE)</f>
        <v>Ceará</v>
      </c>
      <c r="C1457" s="3">
        <v>13002</v>
      </c>
      <c r="D1457" s="5" t="str">
        <f>VLOOKUP(C1457, 'DICIONÁRIO CNAES'!$A:$B, 2, FALSE)</f>
        <v>Fabricação de artefatos têxteis, exceto vestuário</v>
      </c>
      <c r="E1457" s="4">
        <v>21711.486374150001</v>
      </c>
      <c r="F1457" s="4">
        <v>9174858.9450387508</v>
      </c>
    </row>
    <row r="1458" spans="1:6" x14ac:dyDescent="0.3">
      <c r="A1458" s="3" t="s">
        <v>13</v>
      </c>
      <c r="B1458" s="7" t="str">
        <f>VLOOKUP(VALUE(A1458), 'DICIONÁRIO UF'!$A:$B, 2, FALSE)</f>
        <v>Ceará</v>
      </c>
      <c r="C1458" s="3">
        <v>14001</v>
      </c>
      <c r="D1458" s="5" t="str">
        <f>VLOOKUP(C1458, 'DICIONÁRIO CNAES'!$A:$B, 2, FALSE)</f>
        <v>Confecção de artigos do vestuário e acessórios, exceto sob medida</v>
      </c>
      <c r="E1458" s="4">
        <v>83927.274327919993</v>
      </c>
      <c r="F1458" s="4">
        <v>112275940.17981981</v>
      </c>
    </row>
    <row r="1459" spans="1:6" x14ac:dyDescent="0.3">
      <c r="A1459" s="3" t="s">
        <v>13</v>
      </c>
      <c r="B1459" s="7" t="str">
        <f>VLOOKUP(VALUE(A1459), 'DICIONÁRIO UF'!$A:$B, 2, FALSE)</f>
        <v>Ceará</v>
      </c>
      <c r="C1459" s="3">
        <v>14002</v>
      </c>
      <c r="D1459" s="5" t="str">
        <f>VLOOKUP(C1459, 'DICIONÁRIO CNAES'!$A:$B, 2, FALSE)</f>
        <v>Confecção, sob medida, de artigos do vestuário</v>
      </c>
      <c r="E1459" s="4">
        <v>31566.588034979999</v>
      </c>
      <c r="F1459" s="4">
        <v>21683963.043694001</v>
      </c>
    </row>
    <row r="1460" spans="1:6" x14ac:dyDescent="0.3">
      <c r="A1460" s="3" t="s">
        <v>13</v>
      </c>
      <c r="B1460" s="7" t="str">
        <f>VLOOKUP(VALUE(A1460), 'DICIONÁRIO UF'!$A:$B, 2, FALSE)</f>
        <v>Ceará</v>
      </c>
      <c r="C1460" s="3">
        <v>15012</v>
      </c>
      <c r="D1460" s="5" t="str">
        <f>VLOOKUP(C1460, 'DICIONÁRIO CNAES'!$A:$B, 2, FALSE)</f>
        <v>Fabricação de artigos de viagem e de artefatos diversos de couro</v>
      </c>
      <c r="E1460" s="4">
        <v>2488.4252031300002</v>
      </c>
      <c r="F1460" s="4">
        <v>3537614.1748775002</v>
      </c>
    </row>
    <row r="1461" spans="1:6" x14ac:dyDescent="0.3">
      <c r="A1461" s="3" t="s">
        <v>13</v>
      </c>
      <c r="B1461" s="7" t="str">
        <f>VLOOKUP(VALUE(A1461), 'DICIONÁRIO UF'!$A:$B, 2, FALSE)</f>
        <v>Ceará</v>
      </c>
      <c r="C1461" s="3">
        <v>15020</v>
      </c>
      <c r="D1461" s="5" t="str">
        <f>VLOOKUP(C1461, 'DICIONÁRIO CNAES'!$A:$B, 2, FALSE)</f>
        <v>Fabricação de calçados e partes para calçados, de qualquer material</v>
      </c>
      <c r="E1461" s="4">
        <v>50787.605916699998</v>
      </c>
      <c r="F1461" s="4">
        <v>61771432.176271863</v>
      </c>
    </row>
    <row r="1462" spans="1:6" x14ac:dyDescent="0.3">
      <c r="A1462" s="3" t="s">
        <v>13</v>
      </c>
      <c r="B1462" s="7" t="str">
        <f>VLOOKUP(VALUE(A1462), 'DICIONÁRIO UF'!$A:$B, 2, FALSE)</f>
        <v>Ceará</v>
      </c>
      <c r="C1462" s="3">
        <v>16001</v>
      </c>
      <c r="D1462" s="5" t="str">
        <f>VLOOKUP(C1462, 'DICIONÁRIO CNAES'!$A:$B, 2, FALSE)</f>
        <v>Serrarias</v>
      </c>
      <c r="E1462" s="4">
        <v>1605.0919159800001</v>
      </c>
      <c r="F1462" s="4">
        <v>1520816.9554335</v>
      </c>
    </row>
    <row r="1463" spans="1:6" x14ac:dyDescent="0.3">
      <c r="A1463" s="3" t="s">
        <v>13</v>
      </c>
      <c r="B1463" s="7" t="str">
        <f>VLOOKUP(VALUE(A1463), 'DICIONÁRIO UF'!$A:$B, 2, FALSE)</f>
        <v>Ceará</v>
      </c>
      <c r="C1463" s="3">
        <v>16002</v>
      </c>
      <c r="D1463" s="5" t="str">
        <f>VLOOKUP(C1463, 'DICIONÁRIO CNAES'!$A:$B, 2, FALSE)</f>
        <v>Fabricação de produtos de madeira, cortiça e material trançado, exceto móveis</v>
      </c>
      <c r="E1463" s="4">
        <v>16260.99590124</v>
      </c>
      <c r="F1463" s="4">
        <v>10149812.8476739</v>
      </c>
    </row>
    <row r="1464" spans="1:6" x14ac:dyDescent="0.3">
      <c r="A1464" s="3" t="s">
        <v>13</v>
      </c>
      <c r="B1464" s="7" t="str">
        <f>VLOOKUP(VALUE(A1464), 'DICIONÁRIO UF'!$A:$B, 2, FALSE)</f>
        <v>Ceará</v>
      </c>
      <c r="C1464" s="3">
        <v>17002</v>
      </c>
      <c r="D1464" s="5" t="str">
        <f>VLOOKUP(C1464, 'DICIONÁRIO CNAES'!$A:$B, 2, FALSE)</f>
        <v>Fabricação de embalagens e de produtos diversos de papel, cartolina, papel-cartão e papelão ondulado</v>
      </c>
      <c r="E1464" s="4">
        <v>6317.7344745</v>
      </c>
      <c r="F1464" s="4">
        <v>8246936.6959548397</v>
      </c>
    </row>
    <row r="1465" spans="1:6" x14ac:dyDescent="0.3">
      <c r="A1465" s="3" t="s">
        <v>13</v>
      </c>
      <c r="B1465" s="7" t="str">
        <f>VLOOKUP(VALUE(A1465), 'DICIONÁRIO UF'!$A:$B, 2, FALSE)</f>
        <v>Ceará</v>
      </c>
      <c r="C1465" s="3">
        <v>18000</v>
      </c>
      <c r="D1465" s="5" t="str">
        <f>VLOOKUP(C1465, 'DICIONÁRIO CNAES'!$A:$B, 2, FALSE)</f>
        <v>Impressão e reprodução de gravações</v>
      </c>
      <c r="E1465" s="4">
        <v>12022.701394809999</v>
      </c>
      <c r="F1465" s="4">
        <v>27930153.855545498</v>
      </c>
    </row>
    <row r="1466" spans="1:6" x14ac:dyDescent="0.3">
      <c r="A1466" s="3" t="s">
        <v>13</v>
      </c>
      <c r="B1466" s="7" t="str">
        <f>VLOOKUP(VALUE(A1466), 'DICIONÁRIO UF'!$A:$B, 2, FALSE)</f>
        <v>Ceará</v>
      </c>
      <c r="C1466" s="3">
        <v>20010</v>
      </c>
      <c r="D1466" s="5" t="str">
        <f>VLOOKUP(C1466, 'DICIONÁRIO CNAES'!$A:$B, 2, FALSE)</f>
        <v>Fabricação de tintas, vernizes, esmaltes, lacas e produtos afins</v>
      </c>
      <c r="E1466" s="4">
        <v>1032.2947388099999</v>
      </c>
      <c r="F1466" s="4">
        <v>1135524.212691</v>
      </c>
    </row>
    <row r="1467" spans="1:6" x14ac:dyDescent="0.3">
      <c r="A1467" s="3" t="s">
        <v>13</v>
      </c>
      <c r="B1467" s="7" t="str">
        <f>VLOOKUP(VALUE(A1467), 'DICIONÁRIO UF'!$A:$B, 2, FALSE)</f>
        <v>Ceará</v>
      </c>
      <c r="C1467" s="3">
        <v>20020</v>
      </c>
      <c r="D1467" s="5" t="str">
        <f>VLOOKUP(C1467, 'DICIONÁRIO CNAES'!$A:$B, 2, FALSE)</f>
        <v>Fabricação de sabões, detergentes, produtos de limpeza, cosméticos, produtos de perfumaria e de higiene pessoal</v>
      </c>
      <c r="E1467" s="4">
        <v>4448.63172734</v>
      </c>
      <c r="F1467" s="4">
        <v>6173567.2300049998</v>
      </c>
    </row>
    <row r="1468" spans="1:6" x14ac:dyDescent="0.3">
      <c r="A1468" s="3" t="s">
        <v>13</v>
      </c>
      <c r="B1468" s="7" t="str">
        <f>VLOOKUP(VALUE(A1468), 'DICIONÁRIO UF'!$A:$B, 2, FALSE)</f>
        <v>Ceará</v>
      </c>
      <c r="C1468" s="3">
        <v>20090</v>
      </c>
      <c r="D1468" s="5" t="str">
        <f>VLOOKUP(C1468, 'DICIONÁRIO CNAES'!$A:$B, 2, FALSE)</f>
        <v>Fabricação de outros produtos químicos não especificados anteriormente</v>
      </c>
      <c r="E1468" s="4">
        <v>2719.06906364</v>
      </c>
      <c r="F1468" s="4">
        <v>3861384.5181209999</v>
      </c>
    </row>
    <row r="1469" spans="1:6" x14ac:dyDescent="0.3">
      <c r="A1469" s="3" t="s">
        <v>13</v>
      </c>
      <c r="B1469" s="7" t="str">
        <f>VLOOKUP(VALUE(A1469), 'DICIONÁRIO UF'!$A:$B, 2, FALSE)</f>
        <v>Ceará</v>
      </c>
      <c r="C1469" s="3">
        <v>21000</v>
      </c>
      <c r="D1469" s="5" t="str">
        <f>VLOOKUP(C1469, 'DICIONÁRIO CNAES'!$A:$B, 2, FALSE)</f>
        <v>Fabricação de produtos farmoquimicos e farmacêuticos</v>
      </c>
      <c r="E1469" s="4">
        <v>2668.3992091099999</v>
      </c>
      <c r="F1469" s="4">
        <v>6258367.482047</v>
      </c>
    </row>
    <row r="1470" spans="1:6" x14ac:dyDescent="0.3">
      <c r="A1470" s="3" t="s">
        <v>13</v>
      </c>
      <c r="B1470" s="7" t="str">
        <f>VLOOKUP(VALUE(A1470), 'DICIONÁRIO UF'!$A:$B, 2, FALSE)</f>
        <v>Ceará</v>
      </c>
      <c r="C1470" s="3">
        <v>22010</v>
      </c>
      <c r="D1470" s="5" t="str">
        <f>VLOOKUP(C1470, 'DICIONÁRIO CNAES'!$A:$B, 2, FALSE)</f>
        <v>Fabricação de produtos de borracha</v>
      </c>
      <c r="E1470" s="4">
        <v>339.72658573000001</v>
      </c>
      <c r="F1470" s="4">
        <v>385589.67480355001</v>
      </c>
    </row>
    <row r="1471" spans="1:6" x14ac:dyDescent="0.3">
      <c r="A1471" s="3" t="s">
        <v>13</v>
      </c>
      <c r="B1471" s="7" t="str">
        <f>VLOOKUP(VALUE(A1471), 'DICIONÁRIO UF'!$A:$B, 2, FALSE)</f>
        <v>Ceará</v>
      </c>
      <c r="C1471" s="3">
        <v>22020</v>
      </c>
      <c r="D1471" s="5" t="str">
        <f>VLOOKUP(C1471, 'DICIONÁRIO CNAES'!$A:$B, 2, FALSE)</f>
        <v>Fabricação de produtos de material plástico</v>
      </c>
      <c r="E1471" s="4">
        <v>2372.9740631</v>
      </c>
      <c r="F1471" s="4">
        <v>2979689.0559975002</v>
      </c>
    </row>
    <row r="1472" spans="1:6" x14ac:dyDescent="0.3">
      <c r="A1472" s="3" t="s">
        <v>13</v>
      </c>
      <c r="B1472" s="7" t="str">
        <f>VLOOKUP(VALUE(A1472), 'DICIONÁRIO UF'!$A:$B, 2, FALSE)</f>
        <v>Ceará</v>
      </c>
      <c r="C1472" s="3">
        <v>23010</v>
      </c>
      <c r="D1472" s="5" t="str">
        <f>VLOOKUP(C1472, 'DICIONÁRIO CNAES'!$A:$B, 2, FALSE)</f>
        <v>Fabricação de vidro e produtos de vidro</v>
      </c>
      <c r="E1472" s="4">
        <v>991.54057979999993</v>
      </c>
      <c r="F1472" s="4">
        <v>736500.51828399999</v>
      </c>
    </row>
    <row r="1473" spans="1:6" x14ac:dyDescent="0.3">
      <c r="A1473" s="3" t="s">
        <v>13</v>
      </c>
      <c r="B1473" s="7" t="str">
        <f>VLOOKUP(VALUE(A1473), 'DICIONÁRIO UF'!$A:$B, 2, FALSE)</f>
        <v>Ceará</v>
      </c>
      <c r="C1473" s="3">
        <v>23091</v>
      </c>
      <c r="D1473" s="5" t="str">
        <f>VLOOKUP(C1473, 'DICIONÁRIO CNAES'!$A:$B, 2, FALSE)</f>
        <v>Fabricação de produtos cerâmicos</v>
      </c>
      <c r="E1473" s="4">
        <v>8214.3325197699996</v>
      </c>
      <c r="F1473" s="4">
        <v>7497165.9395675994</v>
      </c>
    </row>
    <row r="1474" spans="1:6" x14ac:dyDescent="0.3">
      <c r="A1474" s="3" t="s">
        <v>13</v>
      </c>
      <c r="B1474" s="7" t="str">
        <f>VLOOKUP(VALUE(A1474), 'DICIONÁRIO UF'!$A:$B, 2, FALSE)</f>
        <v>Ceará</v>
      </c>
      <c r="C1474" s="3">
        <v>23099</v>
      </c>
      <c r="D1474" s="5" t="str">
        <f>VLOOKUP(C1474, 'DICIONÁRIO CNAES'!$A:$B, 2, FALSE)</f>
        <v>Fabricação de outros produtos de minerais não-metálicos não especificados anteriormente</v>
      </c>
      <c r="E1474" s="4">
        <v>11433.75533496</v>
      </c>
      <c r="F1474" s="4">
        <v>23317876.011316501</v>
      </c>
    </row>
    <row r="1475" spans="1:6" x14ac:dyDescent="0.3">
      <c r="A1475" s="3" t="s">
        <v>13</v>
      </c>
      <c r="B1475" s="7" t="str">
        <f>VLOOKUP(VALUE(A1475), 'DICIONÁRIO UF'!$A:$B, 2, FALSE)</f>
        <v>Ceará</v>
      </c>
      <c r="C1475" s="3">
        <v>24001</v>
      </c>
      <c r="D1475" s="5" t="str">
        <f>VLOOKUP(C1475, 'DICIONÁRIO CNAES'!$A:$B, 2, FALSE)</f>
        <v>Fabricação de produtos siderúrgicos</v>
      </c>
      <c r="E1475" s="4">
        <v>4758.7139238299997</v>
      </c>
      <c r="F1475" s="4">
        <v>13357637.110075301</v>
      </c>
    </row>
    <row r="1476" spans="1:6" x14ac:dyDescent="0.3">
      <c r="A1476" s="3" t="s">
        <v>13</v>
      </c>
      <c r="B1476" s="7" t="str">
        <f>VLOOKUP(VALUE(A1476), 'DICIONÁRIO UF'!$A:$B, 2, FALSE)</f>
        <v>Ceará</v>
      </c>
      <c r="C1476" s="3">
        <v>24002</v>
      </c>
      <c r="D1476" s="5" t="str">
        <f>VLOOKUP(C1476, 'DICIONÁRIO CNAES'!$A:$B, 2, FALSE)</f>
        <v>Metalurgia dos metais não-ferrosos</v>
      </c>
      <c r="E1476" s="4">
        <v>444.25268799000003</v>
      </c>
      <c r="F1476" s="4">
        <v>488677.95678900002</v>
      </c>
    </row>
    <row r="1477" spans="1:6" x14ac:dyDescent="0.3">
      <c r="A1477" s="3" t="s">
        <v>13</v>
      </c>
      <c r="B1477" s="7" t="str">
        <f>VLOOKUP(VALUE(A1477), 'DICIONÁRIO UF'!$A:$B, 2, FALSE)</f>
        <v>Ceará</v>
      </c>
      <c r="C1477" s="3">
        <v>25001</v>
      </c>
      <c r="D1477" s="5" t="str">
        <f>VLOOKUP(C1477, 'DICIONÁRIO CNAES'!$A:$B, 2, FALSE)</f>
        <v>Fabricação de produtos de metal, exceto máquinas e equipamentos</v>
      </c>
      <c r="E1477" s="4">
        <v>14051.02183534</v>
      </c>
      <c r="F1477" s="4">
        <v>28758026.141966</v>
      </c>
    </row>
    <row r="1478" spans="1:6" x14ac:dyDescent="0.3">
      <c r="A1478" s="3" t="s">
        <v>13</v>
      </c>
      <c r="B1478" s="7" t="str">
        <f>VLOOKUP(VALUE(A1478), 'DICIONÁRIO UF'!$A:$B, 2, FALSE)</f>
        <v>Ceará</v>
      </c>
      <c r="C1478" s="3">
        <v>25002</v>
      </c>
      <c r="D1478" s="5" t="str">
        <f>VLOOKUP(C1478, 'DICIONÁRIO CNAES'!$A:$B, 2, FALSE)</f>
        <v>Forjaria, estamparia, metalurgia do pó e serviços de tratamento de metais</v>
      </c>
      <c r="E1478" s="4">
        <v>1394.40560005</v>
      </c>
      <c r="F1478" s="4">
        <v>1239056.086743</v>
      </c>
    </row>
    <row r="1479" spans="1:6" x14ac:dyDescent="0.3">
      <c r="A1479" s="3" t="s">
        <v>13</v>
      </c>
      <c r="B1479" s="7" t="str">
        <f>VLOOKUP(VALUE(A1479), 'DICIONÁRIO UF'!$A:$B, 2, FALSE)</f>
        <v>Ceará</v>
      </c>
      <c r="C1479" s="3">
        <v>26042</v>
      </c>
      <c r="D1479" s="5" t="str">
        <f>VLOOKUP(C1479, 'DICIONÁRIO CNAES'!$A:$B, 2, FALSE)</f>
        <v>Fabricação de equipamentos e instrumentos ópticos, fotográficos e cinematográficos e de mídias virgens, magnéticas e ópticas</v>
      </c>
      <c r="E1479" s="4">
        <v>605.50438392000001</v>
      </c>
      <c r="F1479" s="4">
        <v>1816513.15176</v>
      </c>
    </row>
    <row r="1480" spans="1:6" x14ac:dyDescent="0.3">
      <c r="A1480" s="3" t="s">
        <v>13</v>
      </c>
      <c r="B1480" s="7" t="str">
        <f>VLOOKUP(VALUE(A1480), 'DICIONÁRIO UF'!$A:$B, 2, FALSE)</f>
        <v>Ceará</v>
      </c>
      <c r="C1480" s="3">
        <v>27010</v>
      </c>
      <c r="D1480" s="5" t="str">
        <f>VLOOKUP(C1480, 'DICIONÁRIO CNAES'!$A:$B, 2, FALSE)</f>
        <v>Fabricação de eletrodomesticos</v>
      </c>
      <c r="E1480" s="4">
        <v>733.47826888000009</v>
      </c>
      <c r="F1480" s="4">
        <v>4768120.600726</v>
      </c>
    </row>
    <row r="1481" spans="1:6" x14ac:dyDescent="0.3">
      <c r="A1481" s="3" t="s">
        <v>13</v>
      </c>
      <c r="B1481" s="7" t="str">
        <f>VLOOKUP(VALUE(A1481), 'DICIONÁRIO UF'!$A:$B, 2, FALSE)</f>
        <v>Ceará</v>
      </c>
      <c r="C1481" s="3">
        <v>27090</v>
      </c>
      <c r="D1481" s="5" t="str">
        <f>VLOOKUP(C1481, 'DICIONÁRIO CNAES'!$A:$B, 2, FALSE)</f>
        <v>Fabricação de máquinas, aparelhos e materiais elétricos diversos, exceto eletrodomesticos</v>
      </c>
      <c r="E1481" s="4">
        <v>5125.2720379800003</v>
      </c>
      <c r="F1481" s="4">
        <v>7593814.3122622799</v>
      </c>
    </row>
    <row r="1482" spans="1:6" x14ac:dyDescent="0.3">
      <c r="A1482" s="3" t="s">
        <v>13</v>
      </c>
      <c r="B1482" s="7" t="str">
        <f>VLOOKUP(VALUE(A1482), 'DICIONÁRIO UF'!$A:$B, 2, FALSE)</f>
        <v>Ceará</v>
      </c>
      <c r="C1482" s="3">
        <v>28000</v>
      </c>
      <c r="D1482" s="5" t="str">
        <f>VLOOKUP(C1482, 'DICIONÁRIO CNAES'!$A:$B, 2, FALSE)</f>
        <v>Fabricação de máquinas e equipamentos</v>
      </c>
      <c r="E1482" s="4">
        <v>731.96752074000005</v>
      </c>
      <c r="F1482" s="4">
        <v>878361.0248880001</v>
      </c>
    </row>
    <row r="1483" spans="1:6" x14ac:dyDescent="0.3">
      <c r="A1483" s="3" t="s">
        <v>13</v>
      </c>
      <c r="B1483" s="7" t="str">
        <f>VLOOKUP(VALUE(A1483), 'DICIONÁRIO UF'!$A:$B, 2, FALSE)</f>
        <v>Ceará</v>
      </c>
      <c r="C1483" s="3">
        <v>29001</v>
      </c>
      <c r="D1483" s="5" t="str">
        <f>VLOOKUP(C1483, 'DICIONÁRIO CNAES'!$A:$B, 2, FALSE)</f>
        <v>Fabricação e montagem de veículos automotores</v>
      </c>
      <c r="E1483" s="4">
        <v>1138.7793178500001</v>
      </c>
      <c r="F1483" s="4">
        <v>3416337.9535500002</v>
      </c>
    </row>
    <row r="1484" spans="1:6" x14ac:dyDescent="0.3">
      <c r="A1484" s="3" t="s">
        <v>13</v>
      </c>
      <c r="B1484" s="7" t="str">
        <f>VLOOKUP(VALUE(A1484), 'DICIONÁRIO UF'!$A:$B, 2, FALSE)</f>
        <v>Ceará</v>
      </c>
      <c r="C1484" s="3">
        <v>29002</v>
      </c>
      <c r="D1484" s="5" t="str">
        <f>VLOOKUP(C1484, 'DICIONÁRIO CNAES'!$A:$B, 2, FALSE)</f>
        <v>Fabricação de cabines, carrocerias, reboques e peças para veículos automotores</v>
      </c>
      <c r="E1484" s="4">
        <v>623.90550683000004</v>
      </c>
      <c r="F1484" s="4">
        <v>686296.05751299998</v>
      </c>
    </row>
    <row r="1485" spans="1:6" x14ac:dyDescent="0.3">
      <c r="A1485" s="3" t="s">
        <v>13</v>
      </c>
      <c r="B1485" s="7" t="str">
        <f>VLOOKUP(VALUE(A1485), 'DICIONÁRIO UF'!$A:$B, 2, FALSE)</f>
        <v>Ceará</v>
      </c>
      <c r="C1485" s="3">
        <v>30010</v>
      </c>
      <c r="D1485" s="5" t="str">
        <f>VLOOKUP(C1485, 'DICIONÁRIO CNAES'!$A:$B, 2, FALSE)</f>
        <v xml:space="preserve">Construção de embarcações </v>
      </c>
      <c r="E1485" s="4">
        <v>279.81891460000003</v>
      </c>
      <c r="F1485" s="4">
        <v>447710.26335999998</v>
      </c>
    </row>
    <row r="1486" spans="1:6" x14ac:dyDescent="0.3">
      <c r="A1486" s="3" t="s">
        <v>13</v>
      </c>
      <c r="B1486" s="7" t="str">
        <f>VLOOKUP(VALUE(A1486), 'DICIONÁRIO UF'!$A:$B, 2, FALSE)</f>
        <v>Ceará</v>
      </c>
      <c r="C1486" s="3">
        <v>30090</v>
      </c>
      <c r="D1486" s="5" t="str">
        <f>VLOOKUP(C1486, 'DICIONÁRIO CNAES'!$A:$B, 2, FALSE)</f>
        <v>Fabricação de outros equipamentos de transporte não especificados anteriormente</v>
      </c>
      <c r="E1486" s="4">
        <v>153.18731313999999</v>
      </c>
      <c r="F1486" s="4">
        <v>168506.04445399999</v>
      </c>
    </row>
    <row r="1487" spans="1:6" x14ac:dyDescent="0.3">
      <c r="A1487" s="3" t="s">
        <v>13</v>
      </c>
      <c r="B1487" s="7" t="str">
        <f>VLOOKUP(VALUE(A1487), 'DICIONÁRIO UF'!$A:$B, 2, FALSE)</f>
        <v>Ceará</v>
      </c>
      <c r="C1487" s="3">
        <v>31000</v>
      </c>
      <c r="D1487" s="5" t="str">
        <f>VLOOKUP(C1487, 'DICIONÁRIO CNAES'!$A:$B, 2, FALSE)</f>
        <v>Fabricação de móveis</v>
      </c>
      <c r="E1487" s="4">
        <v>24312.315899460002</v>
      </c>
      <c r="F1487" s="4">
        <v>90199850.898885906</v>
      </c>
    </row>
    <row r="1488" spans="1:6" x14ac:dyDescent="0.3">
      <c r="A1488" s="3" t="s">
        <v>13</v>
      </c>
      <c r="B1488" s="7" t="str">
        <f>VLOOKUP(VALUE(A1488), 'DICIONÁRIO UF'!$A:$B, 2, FALSE)</f>
        <v>Ceará</v>
      </c>
      <c r="C1488" s="3">
        <v>32001</v>
      </c>
      <c r="D1488" s="5" t="str">
        <f>VLOOKUP(C1488, 'DICIONÁRIO CNAES'!$A:$B, 2, FALSE)</f>
        <v>Fabricação de artigos de joalheria, bijuteria e semelhantes</v>
      </c>
      <c r="E1488" s="4">
        <v>1698.9926065899999</v>
      </c>
      <c r="F1488" s="4">
        <v>2566433.1043420001</v>
      </c>
    </row>
    <row r="1489" spans="1:6" x14ac:dyDescent="0.3">
      <c r="A1489" s="3" t="s">
        <v>13</v>
      </c>
      <c r="B1489" s="7" t="str">
        <f>VLOOKUP(VALUE(A1489), 'DICIONÁRIO UF'!$A:$B, 2, FALSE)</f>
        <v>Ceará</v>
      </c>
      <c r="C1489" s="3">
        <v>32002</v>
      </c>
      <c r="D1489" s="5" t="str">
        <f>VLOOKUP(C1489, 'DICIONÁRIO CNAES'!$A:$B, 2, FALSE)</f>
        <v>Fabricação de instrumentos musicais</v>
      </c>
      <c r="E1489" s="4">
        <v>579.86338565000005</v>
      </c>
      <c r="F1489" s="4">
        <v>463890.70851999999</v>
      </c>
    </row>
    <row r="1490" spans="1:6" x14ac:dyDescent="0.3">
      <c r="A1490" s="3" t="s">
        <v>13</v>
      </c>
      <c r="B1490" s="7" t="str">
        <f>VLOOKUP(VALUE(A1490), 'DICIONÁRIO UF'!$A:$B, 2, FALSE)</f>
        <v>Ceará</v>
      </c>
      <c r="C1490" s="3">
        <v>32003</v>
      </c>
      <c r="D1490" s="5" t="str">
        <f>VLOOKUP(C1490, 'DICIONÁRIO CNAES'!$A:$B, 2, FALSE)</f>
        <v>Fabricação de artefatos para pesca e esporte e de brinquedos e jogos recreativos</v>
      </c>
      <c r="E1490" s="4">
        <v>441.50585079000001</v>
      </c>
      <c r="F1490" s="4">
        <v>264903.51047400001</v>
      </c>
    </row>
    <row r="1491" spans="1:6" x14ac:dyDescent="0.3">
      <c r="A1491" s="3" t="s">
        <v>13</v>
      </c>
      <c r="B1491" s="7" t="str">
        <f>VLOOKUP(VALUE(A1491), 'DICIONÁRIO UF'!$A:$B, 2, FALSE)</f>
        <v>Ceará</v>
      </c>
      <c r="C1491" s="3">
        <v>32009</v>
      </c>
      <c r="D1491" s="5" t="str">
        <f>VLOOKUP(C1491, 'DICIONÁRIO CNAES'!$A:$B, 2, FALSE)</f>
        <v>Fabricação de produtos diversos</v>
      </c>
      <c r="E1491" s="4">
        <v>3559.1732061799999</v>
      </c>
      <c r="F1491" s="4">
        <v>7013852.6282629985</v>
      </c>
    </row>
    <row r="1492" spans="1:6" x14ac:dyDescent="0.3">
      <c r="A1492" s="3" t="s">
        <v>13</v>
      </c>
      <c r="B1492" s="7" t="str">
        <f>VLOOKUP(VALUE(A1492), 'DICIONÁRIO UF'!$A:$B, 2, FALSE)</f>
        <v>Ceará</v>
      </c>
      <c r="C1492" s="3">
        <v>33001</v>
      </c>
      <c r="D1492" s="5" t="str">
        <f>VLOOKUP(C1492, 'DICIONÁRIO CNAES'!$A:$B, 2, FALSE)</f>
        <v>Manutenção e reparação de máquinas e equipamentos</v>
      </c>
      <c r="E1492" s="4">
        <v>5139.43048258</v>
      </c>
      <c r="F1492" s="4">
        <v>31822302.217817001</v>
      </c>
    </row>
    <row r="1493" spans="1:6" x14ac:dyDescent="0.3">
      <c r="A1493" s="3" t="s">
        <v>13</v>
      </c>
      <c r="B1493" s="7" t="str">
        <f>VLOOKUP(VALUE(A1493), 'DICIONÁRIO UF'!$A:$B, 2, FALSE)</f>
        <v>Ceará</v>
      </c>
      <c r="C1493" s="3">
        <v>33002</v>
      </c>
      <c r="D1493" s="5" t="str">
        <f>VLOOKUP(C1493, 'DICIONÁRIO CNAES'!$A:$B, 2, FALSE)</f>
        <v>Instalação de máquinas e equipamentos</v>
      </c>
      <c r="E1493" s="4">
        <v>1280.5540708000001</v>
      </c>
      <c r="F1493" s="4">
        <v>990351.59402750002</v>
      </c>
    </row>
    <row r="1494" spans="1:6" x14ac:dyDescent="0.3">
      <c r="A1494" s="3" t="s">
        <v>13</v>
      </c>
      <c r="B1494" s="7" t="str">
        <f>VLOOKUP(VALUE(A1494), 'DICIONÁRIO UF'!$A:$B, 2, FALSE)</f>
        <v>Ceará</v>
      </c>
      <c r="C1494" s="3">
        <v>35010</v>
      </c>
      <c r="D1494" s="5" t="str">
        <f>VLOOKUP(C1494, 'DICIONÁRIO CNAES'!$A:$B, 2, FALSE)</f>
        <v>Geração, transmissão e distribuição de energia elétrica</v>
      </c>
      <c r="E1494" s="4">
        <v>7333.7136742399998</v>
      </c>
      <c r="F1494" s="4">
        <v>18058160.763847001</v>
      </c>
    </row>
    <row r="1495" spans="1:6" x14ac:dyDescent="0.3">
      <c r="A1495" s="3" t="s">
        <v>13</v>
      </c>
      <c r="B1495" s="7" t="str">
        <f>VLOOKUP(VALUE(A1495), 'DICIONÁRIO UF'!$A:$B, 2, FALSE)</f>
        <v>Ceará</v>
      </c>
      <c r="C1495" s="3">
        <v>35021</v>
      </c>
      <c r="D1495" s="5" t="str">
        <f>VLOOKUP(C1495, 'DICIONÁRIO CNAES'!$A:$B, 2, FALSE)</f>
        <v>Produção e distribuição de combustíveis gasosos por redes urbanas</v>
      </c>
      <c r="E1495" s="4">
        <v>446.24013250000002</v>
      </c>
      <c r="F1495" s="4">
        <v>4908641.4574999996</v>
      </c>
    </row>
    <row r="1496" spans="1:6" x14ac:dyDescent="0.3">
      <c r="A1496" s="3" t="s">
        <v>13</v>
      </c>
      <c r="B1496" s="7" t="str">
        <f>VLOOKUP(VALUE(A1496), 'DICIONÁRIO UF'!$A:$B, 2, FALSE)</f>
        <v>Ceará</v>
      </c>
      <c r="C1496" s="3">
        <v>36000</v>
      </c>
      <c r="D1496" s="5" t="str">
        <f>VLOOKUP(C1496, 'DICIONÁRIO CNAES'!$A:$B, 2, FALSE)</f>
        <v>Captação, tratamento e distribuição de água</v>
      </c>
      <c r="E1496" s="4">
        <v>7847.9021504700004</v>
      </c>
      <c r="F1496" s="4">
        <v>17263622.551945999</v>
      </c>
    </row>
    <row r="1497" spans="1:6" x14ac:dyDescent="0.3">
      <c r="A1497" s="3" t="s">
        <v>13</v>
      </c>
      <c r="B1497" s="7" t="str">
        <f>VLOOKUP(VALUE(A1497), 'DICIONÁRIO UF'!$A:$B, 2, FALSE)</f>
        <v>Ceará</v>
      </c>
      <c r="C1497" s="3">
        <v>37000</v>
      </c>
      <c r="D1497" s="5" t="str">
        <f>VLOOKUP(C1497, 'DICIONÁRIO CNAES'!$A:$B, 2, FALSE)</f>
        <v>Esgoto e atividades relacionadas</v>
      </c>
      <c r="E1497" s="4">
        <v>234.78296800999999</v>
      </c>
      <c r="F1497" s="4">
        <v>258261.264811</v>
      </c>
    </row>
    <row r="1498" spans="1:6" x14ac:dyDescent="0.3">
      <c r="A1498" s="3" t="s">
        <v>13</v>
      </c>
      <c r="B1498" s="7" t="str">
        <f>VLOOKUP(VALUE(A1498), 'DICIONÁRIO UF'!$A:$B, 2, FALSE)</f>
        <v>Ceará</v>
      </c>
      <c r="C1498" s="3">
        <v>38000</v>
      </c>
      <c r="D1498" s="5" t="str">
        <f>VLOOKUP(C1498, 'DICIONÁRIO CNAES'!$A:$B, 2, FALSE)</f>
        <v>Coleta, tratamento e disposição de resíduos; recuperação de materiais</v>
      </c>
      <c r="E1498" s="4">
        <v>7561.15449687</v>
      </c>
      <c r="F1498" s="4">
        <v>8034687.0784940496</v>
      </c>
    </row>
    <row r="1499" spans="1:6" x14ac:dyDescent="0.3">
      <c r="A1499" s="3" t="s">
        <v>13</v>
      </c>
      <c r="B1499" s="7" t="str">
        <f>VLOOKUP(VALUE(A1499), 'DICIONÁRIO UF'!$A:$B, 2, FALSE)</f>
        <v>Ceará</v>
      </c>
      <c r="C1499" s="3">
        <v>41000</v>
      </c>
      <c r="D1499" s="5" t="str">
        <f>VLOOKUP(C1499, 'DICIONÁRIO CNAES'!$A:$B, 2, FALSE)</f>
        <v>Construção de edifícios</v>
      </c>
      <c r="E1499" s="4">
        <v>199479.01729883999</v>
      </c>
      <c r="F1499" s="4">
        <v>228059340.6678648</v>
      </c>
    </row>
    <row r="1500" spans="1:6" x14ac:dyDescent="0.3">
      <c r="A1500" s="3" t="s">
        <v>13</v>
      </c>
      <c r="B1500" s="7" t="str">
        <f>VLOOKUP(VALUE(A1500), 'DICIONÁRIO UF'!$A:$B, 2, FALSE)</f>
        <v>Ceará</v>
      </c>
      <c r="C1500" s="3">
        <v>42000</v>
      </c>
      <c r="D1500" s="5" t="str">
        <f>VLOOKUP(C1500, 'DICIONÁRIO CNAES'!$A:$B, 2, FALSE)</f>
        <v>Construção de obras de infra-estrutura</v>
      </c>
      <c r="E1500" s="4">
        <v>14239.904990360001</v>
      </c>
      <c r="F1500" s="4">
        <v>24124950.48719414</v>
      </c>
    </row>
    <row r="1501" spans="1:6" x14ac:dyDescent="0.3">
      <c r="A1501" s="3" t="s">
        <v>13</v>
      </c>
      <c r="B1501" s="7" t="str">
        <f>VLOOKUP(VALUE(A1501), 'DICIONÁRIO UF'!$A:$B, 2, FALSE)</f>
        <v>Ceará</v>
      </c>
      <c r="C1501" s="3">
        <v>43000</v>
      </c>
      <c r="D1501" s="5" t="str">
        <f>VLOOKUP(C1501, 'DICIONÁRIO CNAES'!$A:$B, 2, FALSE)</f>
        <v>Serviços especializados para construção</v>
      </c>
      <c r="E1501" s="4">
        <v>65002.085789500001</v>
      </c>
      <c r="F1501" s="4">
        <v>88892337.153501496</v>
      </c>
    </row>
    <row r="1502" spans="1:6" x14ac:dyDescent="0.3">
      <c r="A1502" s="3" t="s">
        <v>13</v>
      </c>
      <c r="B1502" s="7" t="str">
        <f>VLOOKUP(VALUE(A1502), 'DICIONÁRIO UF'!$A:$B, 2, FALSE)</f>
        <v>Ceará</v>
      </c>
      <c r="C1502" s="3">
        <v>45010</v>
      </c>
      <c r="D1502" s="5" t="str">
        <f>VLOOKUP(C1502, 'DICIONÁRIO CNAES'!$A:$B, 2, FALSE)</f>
        <v>Comércio de veículos automotores</v>
      </c>
      <c r="E1502" s="4">
        <v>13343.81315507</v>
      </c>
      <c r="F1502" s="4">
        <v>38285162.552664898</v>
      </c>
    </row>
    <row r="1503" spans="1:6" x14ac:dyDescent="0.3">
      <c r="A1503" s="3" t="s">
        <v>13</v>
      </c>
      <c r="B1503" s="7" t="str">
        <f>VLOOKUP(VALUE(A1503), 'DICIONÁRIO UF'!$A:$B, 2, FALSE)</f>
        <v>Ceará</v>
      </c>
      <c r="C1503" s="3">
        <v>45020</v>
      </c>
      <c r="D1503" s="5" t="str">
        <f>VLOOKUP(C1503, 'DICIONÁRIO CNAES'!$A:$B, 2, FALSE)</f>
        <v>Manutenção e reparação de veículos automotores</v>
      </c>
      <c r="E1503" s="4">
        <v>66349.504516050001</v>
      </c>
      <c r="F1503" s="4">
        <v>128803173.79462381</v>
      </c>
    </row>
    <row r="1504" spans="1:6" x14ac:dyDescent="0.3">
      <c r="A1504" s="3" t="s">
        <v>13</v>
      </c>
      <c r="B1504" s="7" t="str">
        <f>VLOOKUP(VALUE(A1504), 'DICIONÁRIO UF'!$A:$B, 2, FALSE)</f>
        <v>Ceará</v>
      </c>
      <c r="C1504" s="3">
        <v>45030</v>
      </c>
      <c r="D1504" s="5" t="str">
        <f>VLOOKUP(C1504, 'DICIONÁRIO CNAES'!$A:$B, 2, FALSE)</f>
        <v>Comércio de peças e acessórios para veículos automotores</v>
      </c>
      <c r="E1504" s="4">
        <v>10776.461455430001</v>
      </c>
      <c r="F1504" s="4">
        <v>19405489.347975001</v>
      </c>
    </row>
    <row r="1505" spans="1:6" x14ac:dyDescent="0.3">
      <c r="A1505" s="3" t="s">
        <v>13</v>
      </c>
      <c r="B1505" s="7" t="str">
        <f>VLOOKUP(VALUE(A1505), 'DICIONÁRIO UF'!$A:$B, 2, FALSE)</f>
        <v>Ceará</v>
      </c>
      <c r="C1505" s="3">
        <v>45040</v>
      </c>
      <c r="D1505" s="5" t="str">
        <f>VLOOKUP(C1505, 'DICIONÁRIO CNAES'!$A:$B, 2, FALSE)</f>
        <v>Comércio, manutenção e reparação de motocicletas, peças e acessórios</v>
      </c>
      <c r="E1505" s="4">
        <v>20450.840621210002</v>
      </c>
      <c r="F1505" s="4">
        <v>22153685.709240202</v>
      </c>
    </row>
    <row r="1506" spans="1:6" x14ac:dyDescent="0.3">
      <c r="A1506" s="3" t="s">
        <v>13</v>
      </c>
      <c r="B1506" s="7" t="str">
        <f>VLOOKUP(VALUE(A1506), 'DICIONÁRIO UF'!$A:$B, 2, FALSE)</f>
        <v>Ceará</v>
      </c>
      <c r="C1506" s="3">
        <v>48010</v>
      </c>
      <c r="D1506" s="5" t="str">
        <f>VLOOKUP(C1506, 'DICIONÁRIO CNAES'!$A:$B, 2, FALSE)</f>
        <v>Representantes comerciais e agentes do comércio, exceto de veículos automotores e motocicletas</v>
      </c>
      <c r="E1506" s="4">
        <v>1017.9082706200001</v>
      </c>
      <c r="F1506" s="4">
        <v>3104620.225391</v>
      </c>
    </row>
    <row r="1507" spans="1:6" x14ac:dyDescent="0.3">
      <c r="A1507" s="3" t="s">
        <v>13</v>
      </c>
      <c r="B1507" s="7" t="str">
        <f>VLOOKUP(VALUE(A1507), 'DICIONÁRIO UF'!$A:$B, 2, FALSE)</f>
        <v>Ceará</v>
      </c>
      <c r="C1507" s="3">
        <v>48020</v>
      </c>
      <c r="D1507" s="5" t="str">
        <f>VLOOKUP(C1507, 'DICIONÁRIO CNAES'!$A:$B, 2, FALSE)</f>
        <v>Comércio de matérias-primas agrícolas e animais vivos</v>
      </c>
      <c r="E1507" s="4">
        <v>4200.2618211299996</v>
      </c>
      <c r="F1507" s="4">
        <v>10764181.4814904</v>
      </c>
    </row>
    <row r="1508" spans="1:6" x14ac:dyDescent="0.3">
      <c r="A1508" s="3" t="s">
        <v>13</v>
      </c>
      <c r="B1508" s="7" t="str">
        <f>VLOOKUP(VALUE(A1508), 'DICIONÁRIO UF'!$A:$B, 2, FALSE)</f>
        <v>Ceará</v>
      </c>
      <c r="C1508" s="3">
        <v>48030</v>
      </c>
      <c r="D1508" s="5" t="str">
        <f>VLOOKUP(C1508, 'DICIONÁRIO CNAES'!$A:$B, 2, FALSE)</f>
        <v>Comércio de produtos alimentícios, bebidas e fumo</v>
      </c>
      <c r="E1508" s="4">
        <v>213854.03954082</v>
      </c>
      <c r="F1508" s="4">
        <v>313770160.08970582</v>
      </c>
    </row>
    <row r="1509" spans="1:6" x14ac:dyDescent="0.3">
      <c r="A1509" s="3" t="s">
        <v>13</v>
      </c>
      <c r="B1509" s="7" t="str">
        <f>VLOOKUP(VALUE(A1509), 'DICIONÁRIO UF'!$A:$B, 2, FALSE)</f>
        <v>Ceará</v>
      </c>
      <c r="C1509" s="3">
        <v>48041</v>
      </c>
      <c r="D1509" s="5" t="str">
        <f>VLOOKUP(C1509, 'DICIONÁRIO CNAES'!$A:$B, 2, FALSE)</f>
        <v>Comércio de tecidos, artefatos de tecidos e armarinho</v>
      </c>
      <c r="E1509" s="4">
        <v>5271.2921325699999</v>
      </c>
      <c r="F1509" s="4">
        <v>14464705.750917001</v>
      </c>
    </row>
    <row r="1510" spans="1:6" x14ac:dyDescent="0.3">
      <c r="A1510" s="3" t="s">
        <v>13</v>
      </c>
      <c r="B1510" s="7" t="str">
        <f>VLOOKUP(VALUE(A1510), 'DICIONÁRIO UF'!$A:$B, 2, FALSE)</f>
        <v>Ceará</v>
      </c>
      <c r="C1510" s="3">
        <v>48042</v>
      </c>
      <c r="D1510" s="5" t="str">
        <f>VLOOKUP(C1510, 'DICIONÁRIO CNAES'!$A:$B, 2, FALSE)</f>
        <v>Comércio de artigos do vestuário, complementos, calçados e artigos de viagem</v>
      </c>
      <c r="E1510" s="4">
        <v>84592.937362430006</v>
      </c>
      <c r="F1510" s="4">
        <v>131623939.082093</v>
      </c>
    </row>
    <row r="1511" spans="1:6" x14ac:dyDescent="0.3">
      <c r="A1511" s="3" t="s">
        <v>13</v>
      </c>
      <c r="B1511" s="7" t="str">
        <f>VLOOKUP(VALUE(A1511), 'DICIONÁRIO UF'!$A:$B, 2, FALSE)</f>
        <v>Ceará</v>
      </c>
      <c r="C1511" s="3">
        <v>48050</v>
      </c>
      <c r="D1511" s="5" t="str">
        <f>VLOOKUP(C1511, 'DICIONÁRIO CNAES'!$A:$B, 2, FALSE)</f>
        <v>Comércio de madeira, material de construção, ferragens e ferramentas</v>
      </c>
      <c r="E1511" s="4">
        <v>46394.892979869997</v>
      </c>
      <c r="F1511" s="4">
        <v>98342580.850114882</v>
      </c>
    </row>
    <row r="1512" spans="1:6" x14ac:dyDescent="0.3">
      <c r="A1512" s="3" t="s">
        <v>13</v>
      </c>
      <c r="B1512" s="7" t="str">
        <f>VLOOKUP(VALUE(A1512), 'DICIONÁRIO UF'!$A:$B, 2, FALSE)</f>
        <v>Ceará</v>
      </c>
      <c r="C1512" s="3">
        <v>48060</v>
      </c>
      <c r="D1512" s="5" t="str">
        <f>VLOOKUP(C1512, 'DICIONÁRIO CNAES'!$A:$B, 2, FALSE)</f>
        <v>Comércio de combustíveis para veículos automotores</v>
      </c>
      <c r="E1512" s="4">
        <v>16489.492119049999</v>
      </c>
      <c r="F1512" s="4">
        <v>22713425.150207199</v>
      </c>
    </row>
    <row r="1513" spans="1:6" x14ac:dyDescent="0.3">
      <c r="A1513" s="3" t="s">
        <v>13</v>
      </c>
      <c r="B1513" s="7" t="str">
        <f>VLOOKUP(VALUE(A1513), 'DICIONÁRIO UF'!$A:$B, 2, FALSE)</f>
        <v>Ceará</v>
      </c>
      <c r="C1513" s="3">
        <v>48071</v>
      </c>
      <c r="D1513" s="5" t="str">
        <f>VLOOKUP(C1513, 'DICIONÁRIO CNAES'!$A:$B, 2, FALSE)</f>
        <v>Comércio de produtos farmaceuticos, médicos, ortopédicos, odontológicos e de cosméticos e perfumaria</v>
      </c>
      <c r="E1513" s="4">
        <v>47695.74003583</v>
      </c>
      <c r="F1513" s="4">
        <v>50306709.713902049</v>
      </c>
    </row>
    <row r="1514" spans="1:6" x14ac:dyDescent="0.3">
      <c r="A1514" s="3" t="s">
        <v>13</v>
      </c>
      <c r="B1514" s="7" t="str">
        <f>VLOOKUP(VALUE(A1514), 'DICIONÁRIO UF'!$A:$B, 2, FALSE)</f>
        <v>Ceará</v>
      </c>
      <c r="C1514" s="3">
        <v>48072</v>
      </c>
      <c r="D1514" s="5" t="str">
        <f>VLOOKUP(C1514, 'DICIONÁRIO CNAES'!$A:$B, 2, FALSE)</f>
        <v>Comércio de artigos de escritório e de papelaria; livros, jornais e outras publicações</v>
      </c>
      <c r="E1514" s="4">
        <v>9488.3250427099993</v>
      </c>
      <c r="F1514" s="4">
        <v>12986421.261990501</v>
      </c>
    </row>
    <row r="1515" spans="1:6" x14ac:dyDescent="0.3">
      <c r="A1515" s="3" t="s">
        <v>13</v>
      </c>
      <c r="B1515" s="7" t="str">
        <f>VLOOKUP(VALUE(A1515), 'DICIONÁRIO UF'!$A:$B, 2, FALSE)</f>
        <v>Ceará</v>
      </c>
      <c r="C1515" s="3">
        <v>48073</v>
      </c>
      <c r="D1515" s="5" t="str">
        <f>VLOOKUP(C1515, 'DICIONÁRIO CNAES'!$A:$B, 2, FALSE)</f>
        <v>Comércio de eletrodomésticos, móveis e outros artigos de residência</v>
      </c>
      <c r="E1515" s="4">
        <v>28116.283330990002</v>
      </c>
      <c r="F1515" s="4">
        <v>44934147.6875659</v>
      </c>
    </row>
    <row r="1516" spans="1:6" x14ac:dyDescent="0.3">
      <c r="A1516" s="3" t="s">
        <v>13</v>
      </c>
      <c r="B1516" s="7" t="str">
        <f>VLOOKUP(VALUE(A1516), 'DICIONÁRIO UF'!$A:$B, 2, FALSE)</f>
        <v>Ceará</v>
      </c>
      <c r="C1516" s="3">
        <v>48074</v>
      </c>
      <c r="D1516" s="5" t="str">
        <f>VLOOKUP(C1516, 'DICIONÁRIO CNAES'!$A:$B, 2, FALSE)</f>
        <v>Comércio de equipamentos e produtos de tecnologias de informação e comunicação</v>
      </c>
      <c r="E1516" s="4">
        <v>5838.7315157700004</v>
      </c>
      <c r="F1516" s="4">
        <v>5581458.2901729997</v>
      </c>
    </row>
    <row r="1517" spans="1:6" x14ac:dyDescent="0.3">
      <c r="A1517" s="3" t="s">
        <v>13</v>
      </c>
      <c r="B1517" s="7" t="str">
        <f>VLOOKUP(VALUE(A1517), 'DICIONÁRIO UF'!$A:$B, 2, FALSE)</f>
        <v>Ceará</v>
      </c>
      <c r="C1517" s="3">
        <v>48075</v>
      </c>
      <c r="D1517" s="5" t="str">
        <f>VLOOKUP(C1517, 'DICIONÁRIO CNAES'!$A:$B, 2, FALSE)</f>
        <v xml:space="preserve">Comércio de máquinas, aparelhos e equipamentos, exceto eletrodomésticos </v>
      </c>
      <c r="E1517" s="4">
        <v>4067.3045198999998</v>
      </c>
      <c r="F1517" s="4">
        <v>6391747.5790820001</v>
      </c>
    </row>
    <row r="1518" spans="1:6" x14ac:dyDescent="0.3">
      <c r="A1518" s="3" t="s">
        <v>13</v>
      </c>
      <c r="B1518" s="7" t="str">
        <f>VLOOKUP(VALUE(A1518), 'DICIONÁRIO UF'!$A:$B, 2, FALSE)</f>
        <v>Ceará</v>
      </c>
      <c r="C1518" s="3">
        <v>48076</v>
      </c>
      <c r="D1518" s="5" t="str">
        <f>VLOOKUP(C1518, 'DICIONÁRIO CNAES'!$A:$B, 2, FALSE)</f>
        <v>Comércio de combustíveis sólidos, líquidos e gasosos, exceto para veículos automotores</v>
      </c>
      <c r="E1518" s="4">
        <v>4502.4254422100003</v>
      </c>
      <c r="F1518" s="4">
        <v>3885032.2242232002</v>
      </c>
    </row>
    <row r="1519" spans="1:6" x14ac:dyDescent="0.3">
      <c r="A1519" s="3" t="s">
        <v>13</v>
      </c>
      <c r="B1519" s="7" t="str">
        <f>VLOOKUP(VALUE(A1519), 'DICIONÁRIO UF'!$A:$B, 2, FALSE)</f>
        <v>Ceará</v>
      </c>
      <c r="C1519" s="3">
        <v>48077</v>
      </c>
      <c r="D1519" s="5" t="str">
        <f>VLOOKUP(C1519, 'DICIONÁRIO CNAES'!$A:$B, 2, FALSE)</f>
        <v>Comércio de produtos usados</v>
      </c>
      <c r="E1519" s="4">
        <v>717.26923553999995</v>
      </c>
      <c r="F1519" s="4">
        <v>860723.08264799998</v>
      </c>
    </row>
    <row r="1520" spans="1:6" x14ac:dyDescent="0.3">
      <c r="A1520" s="3" t="s">
        <v>13</v>
      </c>
      <c r="B1520" s="7" t="str">
        <f>VLOOKUP(VALUE(A1520), 'DICIONÁRIO UF'!$A:$B, 2, FALSE)</f>
        <v>Ceará</v>
      </c>
      <c r="C1520" s="3">
        <v>48078</v>
      </c>
      <c r="D1520" s="5" t="str">
        <f>VLOOKUP(C1520, 'DICIONÁRIO CNAES'!$A:$B, 2, FALSE)</f>
        <v>Comercio de residuos e sucatas</v>
      </c>
      <c r="E1520" s="4">
        <v>8749.2765132799996</v>
      </c>
      <c r="F1520" s="4">
        <v>6555751.8067247998</v>
      </c>
    </row>
    <row r="1521" spans="1:6" x14ac:dyDescent="0.3">
      <c r="A1521" s="3" t="s">
        <v>13</v>
      </c>
      <c r="B1521" s="7" t="str">
        <f>VLOOKUP(VALUE(A1521), 'DICIONÁRIO UF'!$A:$B, 2, FALSE)</f>
        <v>Ceará</v>
      </c>
      <c r="C1521" s="3">
        <v>48079</v>
      </c>
      <c r="D1521" s="5" t="str">
        <f>VLOOKUP(C1521, 'DICIONÁRIO CNAES'!$A:$B, 2, FALSE)</f>
        <v>Comércio de produtos novos não especificados anteriormente</v>
      </c>
      <c r="E1521" s="4">
        <v>36231.051339739999</v>
      </c>
      <c r="F1521" s="4">
        <v>51814328.432795398</v>
      </c>
    </row>
    <row r="1522" spans="1:6" x14ac:dyDescent="0.3">
      <c r="A1522" s="3" t="s">
        <v>13</v>
      </c>
      <c r="B1522" s="7" t="str">
        <f>VLOOKUP(VALUE(A1522), 'DICIONÁRIO UF'!$A:$B, 2, FALSE)</f>
        <v>Ceará</v>
      </c>
      <c r="C1522" s="3">
        <v>48080</v>
      </c>
      <c r="D1522" s="5" t="str">
        <f>VLOOKUP(C1522, 'DICIONÁRIO CNAES'!$A:$B, 2, FALSE)</f>
        <v>Supermercado e hipermercado</v>
      </c>
      <c r="E1522" s="4">
        <v>63081.918663819997</v>
      </c>
      <c r="F1522" s="4">
        <v>81230148.556154296</v>
      </c>
    </row>
    <row r="1523" spans="1:6" x14ac:dyDescent="0.3">
      <c r="A1523" s="3" t="s">
        <v>13</v>
      </c>
      <c r="B1523" s="7" t="str">
        <f>VLOOKUP(VALUE(A1523), 'DICIONÁRIO UF'!$A:$B, 2, FALSE)</f>
        <v>Ceará</v>
      </c>
      <c r="C1523" s="3">
        <v>48090</v>
      </c>
      <c r="D1523" s="5" t="str">
        <f>VLOOKUP(C1523, 'DICIONÁRIO CNAES'!$A:$B, 2, FALSE)</f>
        <v>Lojas de departamento e outros comércios não especializados, sem predominância de produtos alimentícios</v>
      </c>
      <c r="E1523" s="4">
        <v>5922.9802220199999</v>
      </c>
      <c r="F1523" s="4">
        <v>10075118.992704</v>
      </c>
    </row>
    <row r="1524" spans="1:6" x14ac:dyDescent="0.3">
      <c r="A1524" s="3" t="s">
        <v>13</v>
      </c>
      <c r="B1524" s="7" t="str">
        <f>VLOOKUP(VALUE(A1524), 'DICIONÁRIO UF'!$A:$B, 2, FALSE)</f>
        <v>Ceará</v>
      </c>
      <c r="C1524" s="3">
        <v>48100</v>
      </c>
      <c r="D1524" s="5" t="str">
        <f>VLOOKUP(C1524, 'DICIONÁRIO CNAES'!$A:$B, 2, FALSE)</f>
        <v>Comércio ambulante e feiras</v>
      </c>
      <c r="E1524" s="4">
        <v>58574.54649406</v>
      </c>
      <c r="F1524" s="4">
        <v>55795803.977691792</v>
      </c>
    </row>
    <row r="1525" spans="1:6" x14ac:dyDescent="0.3">
      <c r="A1525" s="3" t="s">
        <v>13</v>
      </c>
      <c r="B1525" s="7" t="str">
        <f>VLOOKUP(VALUE(A1525), 'DICIONÁRIO UF'!$A:$B, 2, FALSE)</f>
        <v>Ceará</v>
      </c>
      <c r="C1525" s="3">
        <v>49010</v>
      </c>
      <c r="D1525" s="5" t="str">
        <f>VLOOKUP(C1525, 'DICIONÁRIO CNAES'!$A:$B, 2, FALSE)</f>
        <v>Transporte ferroviário e metroferroviário</v>
      </c>
      <c r="E1525" s="4">
        <v>285.30475504999998</v>
      </c>
      <c r="F1525" s="4">
        <v>513548.55909</v>
      </c>
    </row>
    <row r="1526" spans="1:6" x14ac:dyDescent="0.3">
      <c r="A1526" s="3" t="s">
        <v>13</v>
      </c>
      <c r="B1526" s="7" t="str">
        <f>VLOOKUP(VALUE(A1526), 'DICIONÁRIO UF'!$A:$B, 2, FALSE)</f>
        <v>Ceará</v>
      </c>
      <c r="C1526" s="3">
        <v>49030</v>
      </c>
      <c r="D1526" s="5" t="str">
        <f>VLOOKUP(C1526, 'DICIONÁRIO CNAES'!$A:$B, 2, FALSE)</f>
        <v>Transporte rodoviário de passageiros</v>
      </c>
      <c r="E1526" s="4">
        <v>54258.552099319997</v>
      </c>
      <c r="F1526" s="4">
        <v>77422099.083803654</v>
      </c>
    </row>
    <row r="1527" spans="1:6" x14ac:dyDescent="0.3">
      <c r="A1527" s="3" t="s">
        <v>13</v>
      </c>
      <c r="B1527" s="7" t="str">
        <f>VLOOKUP(VALUE(A1527), 'DICIONÁRIO UF'!$A:$B, 2, FALSE)</f>
        <v>Ceará</v>
      </c>
      <c r="C1527" s="3">
        <v>49040</v>
      </c>
      <c r="D1527" s="5" t="str">
        <f>VLOOKUP(C1527, 'DICIONÁRIO CNAES'!$A:$B, 2, FALSE)</f>
        <v>Transporte rodoviário de carga</v>
      </c>
      <c r="E1527" s="4">
        <v>34587.150554239997</v>
      </c>
      <c r="F1527" s="4">
        <v>68310648.195776701</v>
      </c>
    </row>
    <row r="1528" spans="1:6" x14ac:dyDescent="0.3">
      <c r="A1528" s="3" t="s">
        <v>13</v>
      </c>
      <c r="B1528" s="7" t="str">
        <f>VLOOKUP(VALUE(A1528), 'DICIONÁRIO UF'!$A:$B, 2, FALSE)</f>
        <v>Ceará</v>
      </c>
      <c r="C1528" s="3">
        <v>50000</v>
      </c>
      <c r="D1528" s="5" t="str">
        <f>VLOOKUP(C1528, 'DICIONÁRIO CNAES'!$A:$B, 2, FALSE)</f>
        <v>Transporte Aquaviário</v>
      </c>
      <c r="E1528" s="4">
        <v>411.78925132000001</v>
      </c>
      <c r="F1528" s="4">
        <v>1358904.529356</v>
      </c>
    </row>
    <row r="1529" spans="1:6" x14ac:dyDescent="0.3">
      <c r="A1529" s="3" t="s">
        <v>13</v>
      </c>
      <c r="B1529" s="7" t="str">
        <f>VLOOKUP(VALUE(A1529), 'DICIONÁRIO UF'!$A:$B, 2, FALSE)</f>
        <v>Ceará</v>
      </c>
      <c r="C1529" s="3">
        <v>52010</v>
      </c>
      <c r="D1529" s="5" t="str">
        <f>VLOOKUP(C1529, 'DICIONÁRIO CNAES'!$A:$B, 2, FALSE)</f>
        <v>Armazenamento, carga e descarga</v>
      </c>
      <c r="E1529" s="4">
        <v>2612.9912391500002</v>
      </c>
      <c r="F1529" s="4">
        <v>6763389.6726510003</v>
      </c>
    </row>
    <row r="1530" spans="1:6" x14ac:dyDescent="0.3">
      <c r="A1530" s="3" t="s">
        <v>13</v>
      </c>
      <c r="B1530" s="7" t="str">
        <f>VLOOKUP(VALUE(A1530), 'DICIONÁRIO UF'!$A:$B, 2, FALSE)</f>
        <v>Ceará</v>
      </c>
      <c r="C1530" s="3">
        <v>52020</v>
      </c>
      <c r="D1530" s="5" t="str">
        <f>VLOOKUP(C1530, 'DICIONÁRIO CNAES'!$A:$B, 2, FALSE)</f>
        <v xml:space="preserve">Atividades auxiliares dos transportes e atividades relacionadas à organização do transporte de carga </v>
      </c>
      <c r="E1530" s="4">
        <v>6700.08666051</v>
      </c>
      <c r="F1530" s="4">
        <v>10642660.231760999</v>
      </c>
    </row>
    <row r="1531" spans="1:6" x14ac:dyDescent="0.3">
      <c r="A1531" s="3" t="s">
        <v>13</v>
      </c>
      <c r="B1531" s="7" t="str">
        <f>VLOOKUP(VALUE(A1531), 'DICIONÁRIO UF'!$A:$B, 2, FALSE)</f>
        <v>Ceará</v>
      </c>
      <c r="C1531" s="3">
        <v>53001</v>
      </c>
      <c r="D1531" s="5" t="str">
        <f>VLOOKUP(C1531, 'DICIONÁRIO CNAES'!$A:$B, 2, FALSE)</f>
        <v>Atividades de Correio</v>
      </c>
      <c r="E1531" s="4">
        <v>5455.2578203100002</v>
      </c>
      <c r="F1531" s="4">
        <v>22275196.936007999</v>
      </c>
    </row>
    <row r="1532" spans="1:6" x14ac:dyDescent="0.3">
      <c r="A1532" s="3" t="s">
        <v>13</v>
      </c>
      <c r="B1532" s="7" t="str">
        <f>VLOOKUP(VALUE(A1532), 'DICIONÁRIO UF'!$A:$B, 2, FALSE)</f>
        <v>Ceará</v>
      </c>
      <c r="C1532" s="3">
        <v>53002</v>
      </c>
      <c r="D1532" s="5" t="str">
        <f>VLOOKUP(C1532, 'DICIONÁRIO CNAES'!$A:$B, 2, FALSE)</f>
        <v>Atividades de malote e de entrega</v>
      </c>
      <c r="E1532" s="4">
        <v>11439.13052199</v>
      </c>
      <c r="F1532" s="4">
        <v>10875954.8860562</v>
      </c>
    </row>
    <row r="1533" spans="1:6" x14ac:dyDescent="0.3">
      <c r="A1533" s="3" t="s">
        <v>13</v>
      </c>
      <c r="B1533" s="7" t="str">
        <f>VLOOKUP(VALUE(A1533), 'DICIONÁRIO UF'!$A:$B, 2, FALSE)</f>
        <v>Ceará</v>
      </c>
      <c r="C1533" s="3">
        <v>55000</v>
      </c>
      <c r="D1533" s="5" t="str">
        <f>VLOOKUP(C1533, 'DICIONÁRIO CNAES'!$A:$B, 2, FALSE)</f>
        <v>Alojamento</v>
      </c>
      <c r="E1533" s="4">
        <v>17221.51154249</v>
      </c>
      <c r="F1533" s="4">
        <v>41325393.372063503</v>
      </c>
    </row>
    <row r="1534" spans="1:6" x14ac:dyDescent="0.3">
      <c r="A1534" s="3" t="s">
        <v>13</v>
      </c>
      <c r="B1534" s="7" t="str">
        <f>VLOOKUP(VALUE(A1534), 'DICIONÁRIO UF'!$A:$B, 2, FALSE)</f>
        <v>Ceará</v>
      </c>
      <c r="C1534" s="3">
        <v>56011</v>
      </c>
      <c r="D1534" s="5" t="str">
        <f>VLOOKUP(C1534, 'DICIONÁRIO CNAES'!$A:$B, 2, FALSE)</f>
        <v>Restaurantes e outros estabelecimentos de serviços de alimentação e bebidas</v>
      </c>
      <c r="E1534" s="4">
        <v>170275.16810467001</v>
      </c>
      <c r="F1534" s="4">
        <v>205688394.37938619</v>
      </c>
    </row>
    <row r="1535" spans="1:6" x14ac:dyDescent="0.3">
      <c r="A1535" s="3" t="s">
        <v>13</v>
      </c>
      <c r="B1535" s="7" t="str">
        <f>VLOOKUP(VALUE(A1535), 'DICIONÁRIO UF'!$A:$B, 2, FALSE)</f>
        <v>Ceará</v>
      </c>
      <c r="C1535" s="3">
        <v>56012</v>
      </c>
      <c r="D1535" s="5" t="str">
        <f>VLOOKUP(C1535, 'DICIONÁRIO CNAES'!$A:$B, 2, FALSE)</f>
        <v>Serviços de catering, bufê e outros serviços de comida preparada</v>
      </c>
      <c r="E1535" s="4">
        <v>33781.692153670003</v>
      </c>
      <c r="F1535" s="4">
        <v>30846564.961006898</v>
      </c>
    </row>
    <row r="1536" spans="1:6" x14ac:dyDescent="0.3">
      <c r="A1536" s="3" t="s">
        <v>13</v>
      </c>
      <c r="B1536" s="7" t="str">
        <f>VLOOKUP(VALUE(A1536), 'DICIONÁRIO UF'!$A:$B, 2, FALSE)</f>
        <v>Ceará</v>
      </c>
      <c r="C1536" s="3">
        <v>56020</v>
      </c>
      <c r="D1536" s="5" t="str">
        <f>VLOOKUP(C1536, 'DICIONÁRIO CNAES'!$A:$B, 2, FALSE)</f>
        <v>Serviços ambulantes de alimentação</v>
      </c>
      <c r="E1536" s="4">
        <v>25770.54749836</v>
      </c>
      <c r="F1536" s="4">
        <v>17002710.6452104</v>
      </c>
    </row>
    <row r="1537" spans="1:6" x14ac:dyDescent="0.3">
      <c r="A1537" s="3" t="s">
        <v>13</v>
      </c>
      <c r="B1537" s="7" t="str">
        <f>VLOOKUP(VALUE(A1537), 'DICIONÁRIO UF'!$A:$B, 2, FALSE)</f>
        <v>Ceará</v>
      </c>
      <c r="C1537" s="3">
        <v>58000</v>
      </c>
      <c r="D1537" s="5" t="str">
        <f>VLOOKUP(C1537, 'DICIONÁRIO CNAES'!$A:$B, 2, FALSE)</f>
        <v xml:space="preserve">Edição e Edição integrada à impressão </v>
      </c>
      <c r="E1537" s="4">
        <v>2833.1515065100002</v>
      </c>
      <c r="F1537" s="4">
        <v>5085749.2524849996</v>
      </c>
    </row>
    <row r="1538" spans="1:6" x14ac:dyDescent="0.3">
      <c r="A1538" s="3" t="s">
        <v>13</v>
      </c>
      <c r="B1538" s="7" t="str">
        <f>VLOOKUP(VALUE(A1538), 'DICIONÁRIO UF'!$A:$B, 2, FALSE)</f>
        <v>Ceará</v>
      </c>
      <c r="C1538" s="3">
        <v>60001</v>
      </c>
      <c r="D1538" s="5" t="str">
        <f>VLOOKUP(C1538, 'DICIONÁRIO CNAES'!$A:$B, 2, FALSE)</f>
        <v>Atividades de rádio</v>
      </c>
      <c r="E1538" s="4">
        <v>1048.89407572</v>
      </c>
      <c r="F1538" s="4">
        <v>38251451.966706</v>
      </c>
    </row>
    <row r="1539" spans="1:6" x14ac:dyDescent="0.3">
      <c r="A1539" s="3" t="s">
        <v>13</v>
      </c>
      <c r="B1539" s="7" t="str">
        <f>VLOOKUP(VALUE(A1539), 'DICIONÁRIO UF'!$A:$B, 2, FALSE)</f>
        <v>Ceará</v>
      </c>
      <c r="C1539" s="3">
        <v>61000</v>
      </c>
      <c r="D1539" s="5" t="str">
        <f>VLOOKUP(C1539, 'DICIONÁRIO CNAES'!$A:$B, 2, FALSE)</f>
        <v>Telecomunicações</v>
      </c>
      <c r="E1539" s="4">
        <v>24993.918629840002</v>
      </c>
      <c r="F1539" s="4">
        <v>44434275.331820197</v>
      </c>
    </row>
    <row r="1540" spans="1:6" x14ac:dyDescent="0.3">
      <c r="A1540" s="3" t="s">
        <v>13</v>
      </c>
      <c r="B1540" s="7" t="str">
        <f>VLOOKUP(VALUE(A1540), 'DICIONÁRIO UF'!$A:$B, 2, FALSE)</f>
        <v>Ceará</v>
      </c>
      <c r="C1540" s="3">
        <v>62000</v>
      </c>
      <c r="D1540" s="5" t="str">
        <f>VLOOKUP(C1540, 'DICIONÁRIO CNAES'!$A:$B, 2, FALSE)</f>
        <v>Atividades dos serviços de tecnologia da informação</v>
      </c>
      <c r="E1540" s="4">
        <v>16880.0979453</v>
      </c>
      <c r="F1540" s="4">
        <v>59675886.031595089</v>
      </c>
    </row>
    <row r="1541" spans="1:6" x14ac:dyDescent="0.3">
      <c r="A1541" s="3" t="s">
        <v>13</v>
      </c>
      <c r="B1541" s="7" t="str">
        <f>VLOOKUP(VALUE(A1541), 'DICIONÁRIO UF'!$A:$B, 2, FALSE)</f>
        <v>Ceará</v>
      </c>
      <c r="C1541" s="3">
        <v>63000</v>
      </c>
      <c r="D1541" s="5" t="str">
        <f>VLOOKUP(C1541, 'DICIONÁRIO CNAES'!$A:$B, 2, FALSE)</f>
        <v>Atividades de prestação de serviços de informação</v>
      </c>
      <c r="E1541" s="4">
        <v>1109.2327663599999</v>
      </c>
      <c r="F1541" s="4">
        <v>4064776.7991300002</v>
      </c>
    </row>
    <row r="1542" spans="1:6" x14ac:dyDescent="0.3">
      <c r="A1542" s="3" t="s">
        <v>13</v>
      </c>
      <c r="B1542" s="7" t="str">
        <f>VLOOKUP(VALUE(A1542), 'DICIONÁRIO UF'!$A:$B, 2, FALSE)</f>
        <v>Ceará</v>
      </c>
      <c r="C1542" s="3">
        <v>64000</v>
      </c>
      <c r="D1542" s="5" t="str">
        <f>VLOOKUP(C1542, 'DICIONÁRIO CNAES'!$A:$B, 2, FALSE)</f>
        <v>Serviços financeiros</v>
      </c>
      <c r="E1542" s="4">
        <v>13544.3931008</v>
      </c>
      <c r="F1542" s="4">
        <v>53944159.423537306</v>
      </c>
    </row>
    <row r="1543" spans="1:6" x14ac:dyDescent="0.3">
      <c r="A1543" s="3" t="s">
        <v>13</v>
      </c>
      <c r="B1543" s="7" t="str">
        <f>VLOOKUP(VALUE(A1543), 'DICIONÁRIO UF'!$A:$B, 2, FALSE)</f>
        <v>Ceará</v>
      </c>
      <c r="C1543" s="3">
        <v>65000</v>
      </c>
      <c r="D1543" s="5" t="str">
        <f>VLOOKUP(C1543, 'DICIONÁRIO CNAES'!$A:$B, 2, FALSE)</f>
        <v>Seguros e previdência privada</v>
      </c>
      <c r="E1543" s="4">
        <v>4792.8533668</v>
      </c>
      <c r="F1543" s="4">
        <v>7855398.1674600001</v>
      </c>
    </row>
    <row r="1544" spans="1:6" x14ac:dyDescent="0.3">
      <c r="A1544" s="3" t="s">
        <v>13</v>
      </c>
      <c r="B1544" s="7" t="str">
        <f>VLOOKUP(VALUE(A1544), 'DICIONÁRIO UF'!$A:$B, 2, FALSE)</f>
        <v>Ceará</v>
      </c>
      <c r="C1544" s="3">
        <v>66001</v>
      </c>
      <c r="D1544" s="5" t="str">
        <f>VLOOKUP(C1544, 'DICIONÁRIO CNAES'!$A:$B, 2, FALSE)</f>
        <v>Atividades auxiliares dos serviços financeiros</v>
      </c>
      <c r="E1544" s="4">
        <v>1822.18650688</v>
      </c>
      <c r="F1544" s="4">
        <v>1976720.956181</v>
      </c>
    </row>
    <row r="1545" spans="1:6" x14ac:dyDescent="0.3">
      <c r="A1545" s="3" t="s">
        <v>13</v>
      </c>
      <c r="B1545" s="7" t="str">
        <f>VLOOKUP(VALUE(A1545), 'DICIONÁRIO UF'!$A:$B, 2, FALSE)</f>
        <v>Ceará</v>
      </c>
      <c r="C1545" s="3">
        <v>66002</v>
      </c>
      <c r="D1545" s="5" t="str">
        <f>VLOOKUP(C1545, 'DICIONÁRIO CNAES'!$A:$B, 2, FALSE)</f>
        <v>Atividades auxiliares dos seguros, da previdência complementar e dos planos de saúde</v>
      </c>
      <c r="E1545" s="4">
        <v>2315.07714089</v>
      </c>
      <c r="F1545" s="4">
        <v>3526464.6290389998</v>
      </c>
    </row>
    <row r="1546" spans="1:6" x14ac:dyDescent="0.3">
      <c r="A1546" s="3" t="s">
        <v>13</v>
      </c>
      <c r="B1546" s="7" t="str">
        <f>VLOOKUP(VALUE(A1546), 'DICIONÁRIO UF'!$A:$B, 2, FALSE)</f>
        <v>Ceará</v>
      </c>
      <c r="C1546" s="3">
        <v>68000</v>
      </c>
      <c r="D1546" s="5" t="str">
        <f>VLOOKUP(C1546, 'DICIONÁRIO CNAES'!$A:$B, 2, FALSE)</f>
        <v>Atividades imobiliárias</v>
      </c>
      <c r="E1546" s="4">
        <v>12634.71045156</v>
      </c>
      <c r="F1546" s="4">
        <v>29828786.251626398</v>
      </c>
    </row>
    <row r="1547" spans="1:6" x14ac:dyDescent="0.3">
      <c r="A1547" s="3" t="s">
        <v>13</v>
      </c>
      <c r="B1547" s="7" t="str">
        <f>VLOOKUP(VALUE(A1547), 'DICIONÁRIO UF'!$A:$B, 2, FALSE)</f>
        <v>Ceará</v>
      </c>
      <c r="C1547" s="3">
        <v>69000</v>
      </c>
      <c r="D1547" s="5" t="str">
        <f>VLOOKUP(C1547, 'DICIONÁRIO CNAES'!$A:$B, 2, FALSE)</f>
        <v xml:space="preserve">Atividades jurídicas, de contabilidade e de auditoria </v>
      </c>
      <c r="E1547" s="4">
        <v>47094.282215389998</v>
      </c>
      <c r="F1547" s="4">
        <v>251486635.00848809</v>
      </c>
    </row>
    <row r="1548" spans="1:6" x14ac:dyDescent="0.3">
      <c r="A1548" s="3" t="s">
        <v>13</v>
      </c>
      <c r="B1548" s="7" t="str">
        <f>VLOOKUP(VALUE(A1548), 'DICIONÁRIO UF'!$A:$B, 2, FALSE)</f>
        <v>Ceará</v>
      </c>
      <c r="C1548" s="3">
        <v>70000</v>
      </c>
      <c r="D1548" s="5" t="str">
        <f>VLOOKUP(C1548, 'DICIONÁRIO CNAES'!$A:$B, 2, FALSE)</f>
        <v>Atividades de consultoria em gestão empresarial</v>
      </c>
      <c r="E1548" s="4">
        <v>3867.8300850800001</v>
      </c>
      <c r="F1548" s="4">
        <v>11106521.399536001</v>
      </c>
    </row>
    <row r="1549" spans="1:6" x14ac:dyDescent="0.3">
      <c r="A1549" s="3" t="s">
        <v>13</v>
      </c>
      <c r="B1549" s="7" t="str">
        <f>VLOOKUP(VALUE(A1549), 'DICIONÁRIO UF'!$A:$B, 2, FALSE)</f>
        <v>Ceará</v>
      </c>
      <c r="C1549" s="3">
        <v>71000</v>
      </c>
      <c r="D1549" s="5" t="str">
        <f>VLOOKUP(C1549, 'DICIONÁRIO CNAES'!$A:$B, 2, FALSE)</f>
        <v>Serviços de arquitetura e engenharia e atividades técnicas relacionadas; Testes e análises técnicas</v>
      </c>
      <c r="E1549" s="4">
        <v>16251.98493986</v>
      </c>
      <c r="F1549" s="4">
        <v>80833439.285357997</v>
      </c>
    </row>
    <row r="1550" spans="1:6" x14ac:dyDescent="0.3">
      <c r="A1550" s="3" t="s">
        <v>13</v>
      </c>
      <c r="B1550" s="7" t="str">
        <f>VLOOKUP(VALUE(A1550), 'DICIONÁRIO UF'!$A:$B, 2, FALSE)</f>
        <v>Ceará</v>
      </c>
      <c r="C1550" s="3">
        <v>72000</v>
      </c>
      <c r="D1550" s="5" t="str">
        <f>VLOOKUP(C1550, 'DICIONÁRIO CNAES'!$A:$B, 2, FALSE)</f>
        <v>Pesquisa e desenvolvimento científico</v>
      </c>
      <c r="E1550" s="4">
        <v>930.71030554999993</v>
      </c>
      <c r="F1550" s="4">
        <v>4049288.8418999999</v>
      </c>
    </row>
    <row r="1551" spans="1:6" x14ac:dyDescent="0.3">
      <c r="A1551" s="3" t="s">
        <v>13</v>
      </c>
      <c r="B1551" s="7" t="str">
        <f>VLOOKUP(VALUE(A1551), 'DICIONÁRIO UF'!$A:$B, 2, FALSE)</f>
        <v>Ceará</v>
      </c>
      <c r="C1551" s="3">
        <v>73010</v>
      </c>
      <c r="D1551" s="5" t="str">
        <f>VLOOKUP(C1551, 'DICIONÁRIO CNAES'!$A:$B, 2, FALSE)</f>
        <v>Publicidade</v>
      </c>
      <c r="E1551" s="4">
        <v>11709.15498594</v>
      </c>
      <c r="F1551" s="4">
        <v>22268908.416893002</v>
      </c>
    </row>
    <row r="1552" spans="1:6" x14ac:dyDescent="0.3">
      <c r="A1552" s="3" t="s">
        <v>13</v>
      </c>
      <c r="B1552" s="7" t="str">
        <f>VLOOKUP(VALUE(A1552), 'DICIONÁRIO UF'!$A:$B, 2, FALSE)</f>
        <v>Ceará</v>
      </c>
      <c r="C1552" s="3">
        <v>74000</v>
      </c>
      <c r="D1552" s="5" t="str">
        <f>VLOOKUP(C1552, 'DICIONÁRIO CNAES'!$A:$B, 2, FALSE)</f>
        <v>Outras atividades profissionais, científicas e técnicas não especificadas anteriormente</v>
      </c>
      <c r="E1552" s="4">
        <v>15287.12783791</v>
      </c>
      <c r="F1552" s="4">
        <v>37993537.591145001</v>
      </c>
    </row>
    <row r="1553" spans="1:6" x14ac:dyDescent="0.3">
      <c r="A1553" s="3" t="s">
        <v>13</v>
      </c>
      <c r="B1553" s="7" t="str">
        <f>VLOOKUP(VALUE(A1553), 'DICIONÁRIO UF'!$A:$B, 2, FALSE)</f>
        <v>Ceará</v>
      </c>
      <c r="C1553" s="3">
        <v>75000</v>
      </c>
      <c r="D1553" s="5" t="str">
        <f>VLOOKUP(C1553, 'DICIONÁRIO CNAES'!$A:$B, 2, FALSE)</f>
        <v>Atividades veterinárias</v>
      </c>
      <c r="E1553" s="4">
        <v>4138.2042755800003</v>
      </c>
      <c r="F1553" s="4">
        <v>3792359.6206255001</v>
      </c>
    </row>
    <row r="1554" spans="1:6" x14ac:dyDescent="0.3">
      <c r="A1554" s="3" t="s">
        <v>13</v>
      </c>
      <c r="B1554" s="7" t="str">
        <f>VLOOKUP(VALUE(A1554), 'DICIONÁRIO UF'!$A:$B, 2, FALSE)</f>
        <v>Ceará</v>
      </c>
      <c r="C1554" s="3">
        <v>77020</v>
      </c>
      <c r="D1554" s="5" t="str">
        <f>VLOOKUP(C1554, 'DICIONÁRIO CNAES'!$A:$B, 2, FALSE)</f>
        <v>Aluguel de meios de transportes, maquinas e equipamentos sem operador e gestão de ativos intangíveis não financeiros</v>
      </c>
      <c r="E1554" s="4">
        <v>1443.6915981</v>
      </c>
      <c r="F1554" s="4">
        <v>3067653.8410829999</v>
      </c>
    </row>
    <row r="1555" spans="1:6" x14ac:dyDescent="0.3">
      <c r="A1555" s="3" t="s">
        <v>13</v>
      </c>
      <c r="B1555" s="7" t="str">
        <f>VLOOKUP(VALUE(A1555), 'DICIONÁRIO UF'!$A:$B, 2, FALSE)</f>
        <v>Ceará</v>
      </c>
      <c r="C1555" s="3">
        <v>78000</v>
      </c>
      <c r="D1555" s="5" t="str">
        <f>VLOOKUP(C1555, 'DICIONÁRIO CNAES'!$A:$B, 2, FALSE)</f>
        <v>Seleção, agenciamento e locação de mão-de-obra</v>
      </c>
      <c r="E1555" s="4">
        <v>42435.652417110003</v>
      </c>
      <c r="F1555" s="4">
        <v>65661648.397682801</v>
      </c>
    </row>
    <row r="1556" spans="1:6" x14ac:dyDescent="0.3">
      <c r="A1556" s="3" t="s">
        <v>13</v>
      </c>
      <c r="B1556" s="7" t="str">
        <f>VLOOKUP(VALUE(A1556), 'DICIONÁRIO UF'!$A:$B, 2, FALSE)</f>
        <v>Ceará</v>
      </c>
      <c r="C1556" s="3">
        <v>79000</v>
      </c>
      <c r="D1556" s="5" t="str">
        <f>VLOOKUP(C1556, 'DICIONÁRIO CNAES'!$A:$B, 2, FALSE)</f>
        <v>Agências de viagens, operadores turísticos e serviços de reservas</v>
      </c>
      <c r="E1556" s="4">
        <v>1427.39048703</v>
      </c>
      <c r="F1556" s="4">
        <v>1899317.903502</v>
      </c>
    </row>
    <row r="1557" spans="1:6" x14ac:dyDescent="0.3">
      <c r="A1557" s="3" t="s">
        <v>13</v>
      </c>
      <c r="B1557" s="7" t="str">
        <f>VLOOKUP(VALUE(A1557), 'DICIONÁRIO UF'!$A:$B, 2, FALSE)</f>
        <v>Ceará</v>
      </c>
      <c r="C1557" s="3">
        <v>80000</v>
      </c>
      <c r="D1557" s="5" t="str">
        <f>VLOOKUP(C1557, 'DICIONÁRIO CNAES'!$A:$B, 2, FALSE)</f>
        <v>Atividades de vigilância, segurança, transporte de valores e investigação</v>
      </c>
      <c r="E1557" s="4">
        <v>28032.455584070001</v>
      </c>
      <c r="F1557" s="4">
        <v>43586410.084733061</v>
      </c>
    </row>
    <row r="1558" spans="1:6" x14ac:dyDescent="0.3">
      <c r="A1558" s="3" t="s">
        <v>13</v>
      </c>
      <c r="B1558" s="7" t="str">
        <f>VLOOKUP(VALUE(A1558), 'DICIONÁRIO UF'!$A:$B, 2, FALSE)</f>
        <v>Ceará</v>
      </c>
      <c r="C1558" s="3">
        <v>81011</v>
      </c>
      <c r="D1558" s="5" t="str">
        <f>VLOOKUP(C1558, 'DICIONÁRIO CNAES'!$A:$B, 2, FALSE)</f>
        <v>Serviços de limpeza e de apoio a edifícios, exceto condomínios prediais</v>
      </c>
      <c r="E1558" s="4">
        <v>22565.21638528</v>
      </c>
      <c r="F1558" s="4">
        <v>22294358.456953999</v>
      </c>
    </row>
    <row r="1559" spans="1:6" x14ac:dyDescent="0.3">
      <c r="A1559" s="3" t="s">
        <v>13</v>
      </c>
      <c r="B1559" s="7" t="str">
        <f>VLOOKUP(VALUE(A1559), 'DICIONÁRIO UF'!$A:$B, 2, FALSE)</f>
        <v>Ceará</v>
      </c>
      <c r="C1559" s="3">
        <v>81012</v>
      </c>
      <c r="D1559" s="5" t="str">
        <f>VLOOKUP(C1559, 'DICIONÁRIO CNAES'!$A:$B, 2, FALSE)</f>
        <v>Condomínios prediais</v>
      </c>
      <c r="E1559" s="4">
        <v>10919.26302502</v>
      </c>
      <c r="F1559" s="4">
        <v>16099558.122741999</v>
      </c>
    </row>
    <row r="1560" spans="1:6" x14ac:dyDescent="0.3">
      <c r="A1560" s="3" t="s">
        <v>13</v>
      </c>
      <c r="B1560" s="7" t="str">
        <f>VLOOKUP(VALUE(A1560), 'DICIONÁRIO UF'!$A:$B, 2, FALSE)</f>
        <v>Ceará</v>
      </c>
      <c r="C1560" s="3">
        <v>81020</v>
      </c>
      <c r="D1560" s="5" t="str">
        <f>VLOOKUP(C1560, 'DICIONÁRIO CNAES'!$A:$B, 2, FALSE)</f>
        <v>Atividades paisagísticas</v>
      </c>
      <c r="E1560" s="4">
        <v>1992.8796628099999</v>
      </c>
      <c r="F1560" s="4">
        <v>1576140.868486</v>
      </c>
    </row>
    <row r="1561" spans="1:6" x14ac:dyDescent="0.3">
      <c r="A1561" s="3" t="s">
        <v>13</v>
      </c>
      <c r="B1561" s="7" t="str">
        <f>VLOOKUP(VALUE(A1561), 'DICIONÁRIO UF'!$A:$B, 2, FALSE)</f>
        <v>Ceará</v>
      </c>
      <c r="C1561" s="3">
        <v>82001</v>
      </c>
      <c r="D1561" s="5" t="str">
        <f>VLOOKUP(C1561, 'DICIONÁRIO CNAES'!$A:$B, 2, FALSE)</f>
        <v>Serviços de escritório e apoio administrativo</v>
      </c>
      <c r="E1561" s="4">
        <v>1002.4244236</v>
      </c>
      <c r="F1561" s="4">
        <v>465752.48477350001</v>
      </c>
    </row>
    <row r="1562" spans="1:6" x14ac:dyDescent="0.3">
      <c r="A1562" s="3" t="s">
        <v>13</v>
      </c>
      <c r="B1562" s="7" t="str">
        <f>VLOOKUP(VALUE(A1562), 'DICIONÁRIO UF'!$A:$B, 2, FALSE)</f>
        <v>Ceará</v>
      </c>
      <c r="C1562" s="3">
        <v>82002</v>
      </c>
      <c r="D1562" s="5" t="str">
        <f>VLOOKUP(C1562, 'DICIONÁRIO CNAES'!$A:$B, 2, FALSE)</f>
        <v>Atividades de teleatendimento</v>
      </c>
      <c r="E1562" s="4">
        <v>10233.877444219999</v>
      </c>
      <c r="F1562" s="4">
        <v>11659185.509075999</v>
      </c>
    </row>
    <row r="1563" spans="1:6" x14ac:dyDescent="0.3">
      <c r="A1563" s="3" t="s">
        <v>13</v>
      </c>
      <c r="B1563" s="7" t="str">
        <f>VLOOKUP(VALUE(A1563), 'DICIONÁRIO UF'!$A:$B, 2, FALSE)</f>
        <v>Ceará</v>
      </c>
      <c r="C1563" s="3">
        <v>82003</v>
      </c>
      <c r="D1563" s="5" t="str">
        <f>VLOOKUP(C1563, 'DICIONÁRIO CNAES'!$A:$B, 2, FALSE)</f>
        <v>Atividades de organização de eventos, exceto culturais e esportivos</v>
      </c>
      <c r="E1563" s="4">
        <v>1275.5658605000001</v>
      </c>
      <c r="F1563" s="4">
        <v>6887351.8486589994</v>
      </c>
    </row>
    <row r="1564" spans="1:6" x14ac:dyDescent="0.3">
      <c r="A1564" s="3" t="s">
        <v>13</v>
      </c>
      <c r="B1564" s="7" t="str">
        <f>VLOOKUP(VALUE(A1564), 'DICIONÁRIO UF'!$A:$B, 2, FALSE)</f>
        <v>Ceará</v>
      </c>
      <c r="C1564" s="3">
        <v>82009</v>
      </c>
      <c r="D1564" s="5" t="str">
        <f>VLOOKUP(C1564, 'DICIONÁRIO CNAES'!$A:$B, 2, FALSE)</f>
        <v>Outras atividades de serviços prestados principalmente às empresas</v>
      </c>
      <c r="E1564" s="4">
        <v>13921.225436119999</v>
      </c>
      <c r="F1564" s="4">
        <v>14173730.596232001</v>
      </c>
    </row>
    <row r="1565" spans="1:6" x14ac:dyDescent="0.3">
      <c r="A1565" s="3" t="s">
        <v>13</v>
      </c>
      <c r="B1565" s="7" t="str">
        <f>VLOOKUP(VALUE(A1565), 'DICIONÁRIO UF'!$A:$B, 2, FALSE)</f>
        <v>Ceará</v>
      </c>
      <c r="C1565" s="3">
        <v>84011</v>
      </c>
      <c r="D1565" s="5" t="str">
        <f>VLOOKUP(C1565, 'DICIONÁRIO CNAES'!$A:$B, 2, FALSE)</f>
        <v>Administração publica e regulação da política econômica e social - Federal</v>
      </c>
      <c r="E1565" s="4">
        <v>10722.29250121</v>
      </c>
      <c r="F1565" s="4">
        <v>123028823.59316389</v>
      </c>
    </row>
    <row r="1566" spans="1:6" x14ac:dyDescent="0.3">
      <c r="A1566" s="3" t="s">
        <v>13</v>
      </c>
      <c r="B1566" s="7" t="str">
        <f>VLOOKUP(VALUE(A1566), 'DICIONÁRIO UF'!$A:$B, 2, FALSE)</f>
        <v>Ceará</v>
      </c>
      <c r="C1566" s="3">
        <v>84012</v>
      </c>
      <c r="D1566" s="5" t="str">
        <f>VLOOKUP(C1566, 'DICIONÁRIO CNAES'!$A:$B, 2, FALSE)</f>
        <v>Administração publica e regulação da política econômica e social - Estadual</v>
      </c>
      <c r="E1566" s="4">
        <v>18801.958638349999</v>
      </c>
      <c r="F1566" s="4">
        <v>50447301.064310379</v>
      </c>
    </row>
    <row r="1567" spans="1:6" x14ac:dyDescent="0.3">
      <c r="A1567" s="3" t="s">
        <v>13</v>
      </c>
      <c r="B1567" s="7" t="str">
        <f>VLOOKUP(VALUE(A1567), 'DICIONÁRIO UF'!$A:$B, 2, FALSE)</f>
        <v>Ceará</v>
      </c>
      <c r="C1567" s="3">
        <v>84013</v>
      </c>
      <c r="D1567" s="5" t="str">
        <f>VLOOKUP(C1567, 'DICIONÁRIO CNAES'!$A:$B, 2, FALSE)</f>
        <v>Administração publica e regulação da política econômica e social - Municipal</v>
      </c>
      <c r="E1567" s="4">
        <v>119897.90997533999</v>
      </c>
      <c r="F1567" s="4">
        <v>210610429.32101771</v>
      </c>
    </row>
    <row r="1568" spans="1:6" x14ac:dyDescent="0.3">
      <c r="A1568" s="3" t="s">
        <v>13</v>
      </c>
      <c r="B1568" s="7" t="str">
        <f>VLOOKUP(VALUE(A1568), 'DICIONÁRIO UF'!$A:$B, 2, FALSE)</f>
        <v>Ceará</v>
      </c>
      <c r="C1568" s="3">
        <v>84014</v>
      </c>
      <c r="D1568" s="5" t="str">
        <f>VLOOKUP(C1568, 'DICIONÁRIO CNAES'!$A:$B, 2, FALSE)</f>
        <v>Defesa</v>
      </c>
      <c r="E1568" s="4">
        <v>2072.7275995700002</v>
      </c>
      <c r="F1568" s="4">
        <v>2774937.3432149999</v>
      </c>
    </row>
    <row r="1569" spans="1:6" x14ac:dyDescent="0.3">
      <c r="A1569" s="3" t="s">
        <v>13</v>
      </c>
      <c r="B1569" s="7" t="str">
        <f>VLOOKUP(VALUE(A1569), 'DICIONÁRIO UF'!$A:$B, 2, FALSE)</f>
        <v>Ceará</v>
      </c>
      <c r="C1569" s="3">
        <v>84015</v>
      </c>
      <c r="D1569" s="5" t="str">
        <f>VLOOKUP(C1569, 'DICIONÁRIO CNAES'!$A:$B, 2, FALSE)</f>
        <v>Outros serviços coletivos prestados pela administração pública - Federal</v>
      </c>
      <c r="E1569" s="4">
        <v>1646.2926701599999</v>
      </c>
      <c r="F1569" s="4">
        <v>37864731.413680002</v>
      </c>
    </row>
    <row r="1570" spans="1:6" x14ac:dyDescent="0.3">
      <c r="A1570" s="3" t="s">
        <v>13</v>
      </c>
      <c r="B1570" s="7" t="str">
        <f>VLOOKUP(VALUE(A1570), 'DICIONÁRIO UF'!$A:$B, 2, FALSE)</f>
        <v>Ceará</v>
      </c>
      <c r="C1570" s="3">
        <v>84016</v>
      </c>
      <c r="D1570" s="5" t="str">
        <f>VLOOKUP(C1570, 'DICIONÁRIO CNAES'!$A:$B, 2, FALSE)</f>
        <v>Outros serviços coletivos prestados pela administração pública - Estadual</v>
      </c>
      <c r="E1570" s="4">
        <v>25079.635350479999</v>
      </c>
      <c r="F1570" s="4">
        <v>140846750.3040798</v>
      </c>
    </row>
    <row r="1571" spans="1:6" x14ac:dyDescent="0.3">
      <c r="A1571" s="3" t="s">
        <v>13</v>
      </c>
      <c r="B1571" s="7" t="str">
        <f>VLOOKUP(VALUE(A1571), 'DICIONÁRIO UF'!$A:$B, 2, FALSE)</f>
        <v>Ceará</v>
      </c>
      <c r="C1571" s="3">
        <v>84017</v>
      </c>
      <c r="D1571" s="5" t="str">
        <f>VLOOKUP(C1571, 'DICIONÁRIO CNAES'!$A:$B, 2, FALSE)</f>
        <v>Outros serviços coletivos prestados pela administração pública - Municipal</v>
      </c>
      <c r="E1571" s="4">
        <v>4324.3725483199996</v>
      </c>
      <c r="F1571" s="4">
        <v>10834916.847194999</v>
      </c>
    </row>
    <row r="1572" spans="1:6" x14ac:dyDescent="0.3">
      <c r="A1572" s="3" t="s">
        <v>13</v>
      </c>
      <c r="B1572" s="7" t="str">
        <f>VLOOKUP(VALUE(A1572), 'DICIONÁRIO UF'!$A:$B, 2, FALSE)</f>
        <v>Ceará</v>
      </c>
      <c r="C1572" s="3">
        <v>84020</v>
      </c>
      <c r="D1572" s="5" t="str">
        <f>VLOOKUP(C1572, 'DICIONÁRIO CNAES'!$A:$B, 2, FALSE)</f>
        <v>Seguridade social obrigatória</v>
      </c>
      <c r="E1572" s="4">
        <v>1119.24302205</v>
      </c>
      <c r="F1572" s="4">
        <v>1175629.035101</v>
      </c>
    </row>
    <row r="1573" spans="1:6" x14ac:dyDescent="0.3">
      <c r="A1573" s="3" t="s">
        <v>13</v>
      </c>
      <c r="B1573" s="7" t="str">
        <f>VLOOKUP(VALUE(A1573), 'DICIONÁRIO UF'!$A:$B, 2, FALSE)</f>
        <v>Ceará</v>
      </c>
      <c r="C1573" s="3">
        <v>85011</v>
      </c>
      <c r="D1573" s="5" t="str">
        <f>VLOOKUP(C1573, 'DICIONÁRIO CNAES'!$A:$B, 2, FALSE)</f>
        <v>Creche</v>
      </c>
      <c r="E1573" s="4">
        <v>10347.732432389999</v>
      </c>
      <c r="F1573" s="4">
        <v>18864542.881711159</v>
      </c>
    </row>
    <row r="1574" spans="1:6" x14ac:dyDescent="0.3">
      <c r="A1574" s="3" t="s">
        <v>13</v>
      </c>
      <c r="B1574" s="7" t="str">
        <f>VLOOKUP(VALUE(A1574), 'DICIONÁRIO UF'!$A:$B, 2, FALSE)</f>
        <v>Ceará</v>
      </c>
      <c r="C1574" s="3">
        <v>85012</v>
      </c>
      <c r="D1574" s="5" t="str">
        <f>VLOOKUP(C1574, 'DICIONÁRIO CNAES'!$A:$B, 2, FALSE)</f>
        <v>Pré-escola e ensino fundamental</v>
      </c>
      <c r="E1574" s="4">
        <v>145900.38361262999</v>
      </c>
      <c r="F1574" s="4">
        <v>316462172.09944361</v>
      </c>
    </row>
    <row r="1575" spans="1:6" x14ac:dyDescent="0.3">
      <c r="A1575" s="3" t="s">
        <v>13</v>
      </c>
      <c r="B1575" s="7" t="str">
        <f>VLOOKUP(VALUE(A1575), 'DICIONÁRIO UF'!$A:$B, 2, FALSE)</f>
        <v>Ceará</v>
      </c>
      <c r="C1575" s="3">
        <v>85013</v>
      </c>
      <c r="D1575" s="5" t="str">
        <f>VLOOKUP(C1575, 'DICIONÁRIO CNAES'!$A:$B, 2, FALSE)</f>
        <v>Ensino médio</v>
      </c>
      <c r="E1575" s="4">
        <v>47344.88806795</v>
      </c>
      <c r="F1575" s="4">
        <v>127211778.60511351</v>
      </c>
    </row>
    <row r="1576" spans="1:6" x14ac:dyDescent="0.3">
      <c r="A1576" s="3" t="s">
        <v>13</v>
      </c>
      <c r="B1576" s="7" t="str">
        <f>VLOOKUP(VALUE(A1576), 'DICIONÁRIO UF'!$A:$B, 2, FALSE)</f>
        <v>Ceará</v>
      </c>
      <c r="C1576" s="3">
        <v>85014</v>
      </c>
      <c r="D1576" s="5" t="str">
        <f>VLOOKUP(C1576, 'DICIONÁRIO CNAES'!$A:$B, 2, FALSE)</f>
        <v>Educação superior</v>
      </c>
      <c r="E1576" s="4">
        <v>25734.587027860001</v>
      </c>
      <c r="F1576" s="4">
        <v>175274938.17091841</v>
      </c>
    </row>
    <row r="1577" spans="1:6" x14ac:dyDescent="0.3">
      <c r="A1577" s="3" t="s">
        <v>13</v>
      </c>
      <c r="B1577" s="7" t="str">
        <f>VLOOKUP(VALUE(A1577), 'DICIONÁRIO UF'!$A:$B, 2, FALSE)</f>
        <v>Ceará</v>
      </c>
      <c r="C1577" s="3">
        <v>85029</v>
      </c>
      <c r="D1577" s="5" t="str">
        <f>VLOOKUP(C1577, 'DICIONÁRIO CNAES'!$A:$B, 2, FALSE)</f>
        <v>Outras atividades de ensino</v>
      </c>
      <c r="E1577" s="4">
        <v>29366.264571200001</v>
      </c>
      <c r="F1577" s="4">
        <v>35121978.496698998</v>
      </c>
    </row>
    <row r="1578" spans="1:6" x14ac:dyDescent="0.3">
      <c r="A1578" s="3" t="s">
        <v>13</v>
      </c>
      <c r="B1578" s="7" t="str">
        <f>VLOOKUP(VALUE(A1578), 'DICIONÁRIO UF'!$A:$B, 2, FALSE)</f>
        <v>Ceará</v>
      </c>
      <c r="C1578" s="3">
        <v>86001</v>
      </c>
      <c r="D1578" s="5" t="str">
        <f>VLOOKUP(C1578, 'DICIONÁRIO CNAES'!$A:$B, 2, FALSE)</f>
        <v>Atividades de atendimento hospitalar</v>
      </c>
      <c r="E1578" s="4">
        <v>49248.565286279998</v>
      </c>
      <c r="F1578" s="4">
        <v>229033284.52950549</v>
      </c>
    </row>
    <row r="1579" spans="1:6" x14ac:dyDescent="0.3">
      <c r="A1579" s="3" t="s">
        <v>13</v>
      </c>
      <c r="B1579" s="7" t="str">
        <f>VLOOKUP(VALUE(A1579), 'DICIONÁRIO UF'!$A:$B, 2, FALSE)</f>
        <v>Ceará</v>
      </c>
      <c r="C1579" s="3">
        <v>86002</v>
      </c>
      <c r="D1579" s="5" t="str">
        <f>VLOOKUP(C1579, 'DICIONÁRIO CNAES'!$A:$B, 2, FALSE)</f>
        <v>Atividades de atenção ambulatorial executadas por médicos e odontólogos</v>
      </c>
      <c r="E1579" s="4">
        <v>70635.949815179993</v>
      </c>
      <c r="F1579" s="4">
        <v>261124556.27266109</v>
      </c>
    </row>
    <row r="1580" spans="1:6" x14ac:dyDescent="0.3">
      <c r="A1580" s="3" t="s">
        <v>13</v>
      </c>
      <c r="B1580" s="7" t="str">
        <f>VLOOKUP(VALUE(A1580), 'DICIONÁRIO UF'!$A:$B, 2, FALSE)</f>
        <v>Ceará</v>
      </c>
      <c r="C1580" s="3">
        <v>86003</v>
      </c>
      <c r="D1580" s="5" t="str">
        <f>VLOOKUP(C1580, 'DICIONÁRIO CNAES'!$A:$B, 2, FALSE)</f>
        <v>Atividades de serviços de complementação diagnóstica e terapêutica</v>
      </c>
      <c r="E1580" s="4">
        <v>4972.7918215700001</v>
      </c>
      <c r="F1580" s="4">
        <v>16989301.728161</v>
      </c>
    </row>
    <row r="1581" spans="1:6" x14ac:dyDescent="0.3">
      <c r="A1581" s="3" t="s">
        <v>13</v>
      </c>
      <c r="B1581" s="7" t="str">
        <f>VLOOKUP(VALUE(A1581), 'DICIONÁRIO UF'!$A:$B, 2, FALSE)</f>
        <v>Ceará</v>
      </c>
      <c r="C1581" s="3">
        <v>86004</v>
      </c>
      <c r="D1581" s="5" t="str">
        <f>VLOOKUP(C1581, 'DICIONÁRIO CNAES'!$A:$B, 2, FALSE)</f>
        <v>Atividades de profissionais da área de saúde, exceto médicos e odontólogos</v>
      </c>
      <c r="E1581" s="4">
        <v>16096.58064543</v>
      </c>
      <c r="F1581" s="4">
        <v>43763894.770297997</v>
      </c>
    </row>
    <row r="1582" spans="1:6" x14ac:dyDescent="0.3">
      <c r="A1582" s="3" t="s">
        <v>13</v>
      </c>
      <c r="B1582" s="7" t="str">
        <f>VLOOKUP(VALUE(A1582), 'DICIONÁRIO UF'!$A:$B, 2, FALSE)</f>
        <v>Ceará</v>
      </c>
      <c r="C1582" s="3">
        <v>86009</v>
      </c>
      <c r="D1582" s="5" t="str">
        <f>VLOOKUP(C1582, 'DICIONÁRIO CNAES'!$A:$B, 2, FALSE)</f>
        <v>Atividades de atenção à saúde humana não especificadas anteriormente</v>
      </c>
      <c r="E1582" s="4">
        <v>703.99662966000005</v>
      </c>
      <c r="F1582" s="4">
        <v>2360913.6422080002</v>
      </c>
    </row>
    <row r="1583" spans="1:6" x14ac:dyDescent="0.3">
      <c r="A1583" s="3" t="s">
        <v>13</v>
      </c>
      <c r="B1583" s="7" t="str">
        <f>VLOOKUP(VALUE(A1583), 'DICIONÁRIO UF'!$A:$B, 2, FALSE)</f>
        <v>Ceará</v>
      </c>
      <c r="C1583" s="3">
        <v>87000</v>
      </c>
      <c r="D1583" s="5" t="str">
        <f>VLOOKUP(C1583, 'DICIONÁRIO CNAES'!$A:$B, 2, FALSE)</f>
        <v>Atividades de assistência à saude humana integradas com assistencia social, inclusive prestadas em residencias</v>
      </c>
      <c r="E1583" s="4">
        <v>7255.5519118299999</v>
      </c>
      <c r="F1583" s="4">
        <v>11586389.351057859</v>
      </c>
    </row>
    <row r="1584" spans="1:6" x14ac:dyDescent="0.3">
      <c r="A1584" s="3" t="s">
        <v>13</v>
      </c>
      <c r="B1584" s="7" t="str">
        <f>VLOOKUP(VALUE(A1584), 'DICIONÁRIO UF'!$A:$B, 2, FALSE)</f>
        <v>Ceará</v>
      </c>
      <c r="C1584" s="3">
        <v>88000</v>
      </c>
      <c r="D1584" s="5" t="str">
        <f>VLOOKUP(C1584, 'DICIONÁRIO CNAES'!$A:$B, 2, FALSE)</f>
        <v>Serviços de assistência social sem alojamento</v>
      </c>
      <c r="E1584" s="4">
        <v>489.32841384</v>
      </c>
      <c r="F1584" s="4">
        <v>538261.25522399996</v>
      </c>
    </row>
    <row r="1585" spans="1:6" x14ac:dyDescent="0.3">
      <c r="A1585" s="3" t="s">
        <v>13</v>
      </c>
      <c r="B1585" s="7" t="str">
        <f>VLOOKUP(VALUE(A1585), 'DICIONÁRIO UF'!$A:$B, 2, FALSE)</f>
        <v>Ceará</v>
      </c>
      <c r="C1585" s="3">
        <v>90000</v>
      </c>
      <c r="D1585" s="5" t="str">
        <f>VLOOKUP(C1585, 'DICIONÁRIO CNAES'!$A:$B, 2, FALSE)</f>
        <v>Atividades artísticas, criativas e de espetáculos</v>
      </c>
      <c r="E1585" s="4">
        <v>8212.5513914700005</v>
      </c>
      <c r="F1585" s="4">
        <v>10065811.209549399</v>
      </c>
    </row>
    <row r="1586" spans="1:6" x14ac:dyDescent="0.3">
      <c r="A1586" s="3" t="s">
        <v>13</v>
      </c>
      <c r="B1586" s="7" t="str">
        <f>VLOOKUP(VALUE(A1586), 'DICIONÁRIO UF'!$A:$B, 2, FALSE)</f>
        <v>Ceará</v>
      </c>
      <c r="C1586" s="3">
        <v>91000</v>
      </c>
      <c r="D1586" s="5" t="str">
        <f>VLOOKUP(C1586, 'DICIONÁRIO CNAES'!$A:$B, 2, FALSE)</f>
        <v>Atividades ligadas ao patrimônio cultural e ambiental</v>
      </c>
      <c r="E1586" s="4">
        <v>3704.3966469900001</v>
      </c>
      <c r="F1586" s="4">
        <v>2386535.6064269999</v>
      </c>
    </row>
    <row r="1587" spans="1:6" x14ac:dyDescent="0.3">
      <c r="A1587" s="3" t="s">
        <v>13</v>
      </c>
      <c r="B1587" s="7" t="str">
        <f>VLOOKUP(VALUE(A1587), 'DICIONÁRIO UF'!$A:$B, 2, FALSE)</f>
        <v>Ceará</v>
      </c>
      <c r="C1587" s="3">
        <v>92000</v>
      </c>
      <c r="D1587" s="5" t="str">
        <f>VLOOKUP(C1587, 'DICIONÁRIO CNAES'!$A:$B, 2, FALSE)</f>
        <v>Atividades de exploração de jogos de azar e apostas</v>
      </c>
      <c r="E1587" s="4">
        <v>6719.1657612499994</v>
      </c>
      <c r="F1587" s="4">
        <v>3957308.5891783</v>
      </c>
    </row>
    <row r="1588" spans="1:6" x14ac:dyDescent="0.3">
      <c r="A1588" s="3" t="s">
        <v>13</v>
      </c>
      <c r="B1588" s="7" t="str">
        <f>VLOOKUP(VALUE(A1588), 'DICIONÁRIO UF'!$A:$B, 2, FALSE)</f>
        <v>Ceará</v>
      </c>
      <c r="C1588" s="3">
        <v>93011</v>
      </c>
      <c r="D1588" s="5" t="str">
        <f>VLOOKUP(C1588, 'DICIONÁRIO CNAES'!$A:$B, 2, FALSE)</f>
        <v>Atividades esportivas</v>
      </c>
      <c r="E1588" s="4">
        <v>2018.77924482</v>
      </c>
      <c r="F1588" s="4">
        <v>3283184.627452</v>
      </c>
    </row>
    <row r="1589" spans="1:6" x14ac:dyDescent="0.3">
      <c r="A1589" s="3" t="s">
        <v>13</v>
      </c>
      <c r="B1589" s="7" t="str">
        <f>VLOOKUP(VALUE(A1589), 'DICIONÁRIO UF'!$A:$B, 2, FALSE)</f>
        <v>Ceará</v>
      </c>
      <c r="C1589" s="3">
        <v>93012</v>
      </c>
      <c r="D1589" s="5" t="str">
        <f>VLOOKUP(C1589, 'DICIONÁRIO CNAES'!$A:$B, 2, FALSE)</f>
        <v>Atividades de condicionamento físico</v>
      </c>
      <c r="E1589" s="4">
        <v>11973.70801296</v>
      </c>
      <c r="F1589" s="4">
        <v>39423047.746446997</v>
      </c>
    </row>
    <row r="1590" spans="1:6" x14ac:dyDescent="0.3">
      <c r="A1590" s="3" t="s">
        <v>13</v>
      </c>
      <c r="B1590" s="7" t="str">
        <f>VLOOKUP(VALUE(A1590), 'DICIONÁRIO UF'!$A:$B, 2, FALSE)</f>
        <v>Ceará</v>
      </c>
      <c r="C1590" s="3">
        <v>93020</v>
      </c>
      <c r="D1590" s="5" t="str">
        <f>VLOOKUP(C1590, 'DICIONÁRIO CNAES'!$A:$B, 2, FALSE)</f>
        <v>Atividades de recreação e lazer</v>
      </c>
      <c r="E1590" s="4">
        <v>2117.40296201</v>
      </c>
      <c r="F1590" s="4">
        <v>2378529.5508969999</v>
      </c>
    </row>
    <row r="1591" spans="1:6" x14ac:dyDescent="0.3">
      <c r="A1591" s="3" t="s">
        <v>13</v>
      </c>
      <c r="B1591" s="7" t="str">
        <f>VLOOKUP(VALUE(A1591), 'DICIONÁRIO UF'!$A:$B, 2, FALSE)</f>
        <v>Ceará</v>
      </c>
      <c r="C1591" s="3">
        <v>94010</v>
      </c>
      <c r="D1591" s="5" t="str">
        <f>VLOOKUP(C1591, 'DICIONÁRIO CNAES'!$A:$B, 2, FALSE)</f>
        <v>Atividades de organizações associativas patronais, empresariais e profissionais</v>
      </c>
      <c r="E1591" s="4">
        <v>880.63442626999995</v>
      </c>
      <c r="F1591" s="4">
        <v>1248916.8787</v>
      </c>
    </row>
    <row r="1592" spans="1:6" x14ac:dyDescent="0.3">
      <c r="A1592" s="3" t="s">
        <v>13</v>
      </c>
      <c r="B1592" s="7" t="str">
        <f>VLOOKUP(VALUE(A1592), 'DICIONÁRIO UF'!$A:$B, 2, FALSE)</f>
        <v>Ceará</v>
      </c>
      <c r="C1592" s="3">
        <v>94020</v>
      </c>
      <c r="D1592" s="5" t="str">
        <f>VLOOKUP(C1592, 'DICIONÁRIO CNAES'!$A:$B, 2, FALSE)</f>
        <v>Atividades de organizações sindicais</v>
      </c>
      <c r="E1592" s="4">
        <v>2981.30942039</v>
      </c>
      <c r="F1592" s="4">
        <v>2522333.18257285</v>
      </c>
    </row>
    <row r="1593" spans="1:6" x14ac:dyDescent="0.3">
      <c r="A1593" s="3" t="s">
        <v>13</v>
      </c>
      <c r="B1593" s="7" t="str">
        <f>VLOOKUP(VALUE(A1593), 'DICIONÁRIO UF'!$A:$B, 2, FALSE)</f>
        <v>Ceará</v>
      </c>
      <c r="C1593" s="3">
        <v>94091</v>
      </c>
      <c r="D1593" s="5" t="str">
        <f>VLOOKUP(C1593, 'DICIONÁRIO CNAES'!$A:$B, 2, FALSE)</f>
        <v>Atividades de organizações religiosas e filosóficas</v>
      </c>
      <c r="E1593" s="4">
        <v>6196.7519113199996</v>
      </c>
      <c r="F1593" s="4">
        <v>13862465.803329</v>
      </c>
    </row>
    <row r="1594" spans="1:6" x14ac:dyDescent="0.3">
      <c r="A1594" s="3" t="s">
        <v>13</v>
      </c>
      <c r="B1594" s="7" t="str">
        <f>VLOOKUP(VALUE(A1594), 'DICIONÁRIO UF'!$A:$B, 2, FALSE)</f>
        <v>Ceará</v>
      </c>
      <c r="C1594" s="3">
        <v>94099</v>
      </c>
      <c r="D1594" s="5" t="str">
        <f>VLOOKUP(C1594, 'DICIONÁRIO CNAES'!$A:$B, 2, FALSE)</f>
        <v xml:space="preserve">Outras atividades associativas não especificadas anteriormente </v>
      </c>
      <c r="E1594" s="4">
        <v>3310.57339004</v>
      </c>
      <c r="F1594" s="4">
        <v>6305198.4478089996</v>
      </c>
    </row>
    <row r="1595" spans="1:6" x14ac:dyDescent="0.3">
      <c r="A1595" s="3" t="s">
        <v>13</v>
      </c>
      <c r="B1595" s="7" t="str">
        <f>VLOOKUP(VALUE(A1595), 'DICIONÁRIO UF'!$A:$B, 2, FALSE)</f>
        <v>Ceará</v>
      </c>
      <c r="C1595" s="3">
        <v>95010</v>
      </c>
      <c r="D1595" s="5" t="str">
        <f>VLOOKUP(C1595, 'DICIONÁRIO CNAES'!$A:$B, 2, FALSE)</f>
        <v>Reparação e manutenção de equipamentos de informática e comunicação</v>
      </c>
      <c r="E1595" s="4">
        <v>8770.8566855699992</v>
      </c>
      <c r="F1595" s="4">
        <v>17169367.005160499</v>
      </c>
    </row>
    <row r="1596" spans="1:6" x14ac:dyDescent="0.3">
      <c r="A1596" s="3" t="s">
        <v>13</v>
      </c>
      <c r="B1596" s="7" t="str">
        <f>VLOOKUP(VALUE(A1596), 'DICIONÁRIO UF'!$A:$B, 2, FALSE)</f>
        <v>Ceará</v>
      </c>
      <c r="C1596" s="3">
        <v>95030</v>
      </c>
      <c r="D1596" s="5" t="str">
        <f>VLOOKUP(C1596, 'DICIONÁRIO CNAES'!$A:$B, 2, FALSE)</f>
        <v>Reparação e manutenção de objetos e equipamentos pessoais e domésticos</v>
      </c>
      <c r="E1596" s="4">
        <v>24345.608158759998</v>
      </c>
      <c r="F1596" s="4">
        <v>24486345.160085998</v>
      </c>
    </row>
    <row r="1597" spans="1:6" x14ac:dyDescent="0.3">
      <c r="A1597" s="3" t="s">
        <v>13</v>
      </c>
      <c r="B1597" s="7" t="str">
        <f>VLOOKUP(VALUE(A1597), 'DICIONÁRIO UF'!$A:$B, 2, FALSE)</f>
        <v>Ceará</v>
      </c>
      <c r="C1597" s="3">
        <v>96010</v>
      </c>
      <c r="D1597" s="5" t="str">
        <f>VLOOKUP(C1597, 'DICIONÁRIO CNAES'!$A:$B, 2, FALSE)</f>
        <v>Lavanderias, tinturarias e toalheiros</v>
      </c>
      <c r="E1597" s="4">
        <v>3181.1629996800002</v>
      </c>
      <c r="F1597" s="4">
        <v>3389605.7202400002</v>
      </c>
    </row>
    <row r="1598" spans="1:6" x14ac:dyDescent="0.3">
      <c r="A1598" s="3" t="s">
        <v>13</v>
      </c>
      <c r="B1598" s="7" t="str">
        <f>VLOOKUP(VALUE(A1598), 'DICIONÁRIO UF'!$A:$B, 2, FALSE)</f>
        <v>Ceará</v>
      </c>
      <c r="C1598" s="3">
        <v>96020</v>
      </c>
      <c r="D1598" s="5" t="str">
        <f>VLOOKUP(C1598, 'DICIONÁRIO CNAES'!$A:$B, 2, FALSE)</f>
        <v>Cabeleireiros e outras atividades de tratamento de beleza</v>
      </c>
      <c r="E1598" s="4">
        <v>85570.232536840005</v>
      </c>
      <c r="F1598" s="4">
        <v>100133613.6010025</v>
      </c>
    </row>
    <row r="1599" spans="1:6" x14ac:dyDescent="0.3">
      <c r="A1599" s="3" t="s">
        <v>13</v>
      </c>
      <c r="B1599" s="7" t="str">
        <f>VLOOKUP(VALUE(A1599), 'DICIONÁRIO UF'!$A:$B, 2, FALSE)</f>
        <v>Ceará</v>
      </c>
      <c r="C1599" s="3">
        <v>96030</v>
      </c>
      <c r="D1599" s="5" t="str">
        <f>VLOOKUP(C1599, 'DICIONÁRIO CNAES'!$A:$B, 2, FALSE)</f>
        <v xml:space="preserve">Atividades funerárias e serviços relacionados </v>
      </c>
      <c r="E1599" s="4">
        <v>5527.5050028400001</v>
      </c>
      <c r="F1599" s="4">
        <v>10804646.930400399</v>
      </c>
    </row>
    <row r="1600" spans="1:6" x14ac:dyDescent="0.3">
      <c r="A1600" s="3" t="s">
        <v>13</v>
      </c>
      <c r="B1600" s="7" t="str">
        <f>VLOOKUP(VALUE(A1600), 'DICIONÁRIO UF'!$A:$B, 2, FALSE)</f>
        <v>Ceará</v>
      </c>
      <c r="C1600" s="3">
        <v>96090</v>
      </c>
      <c r="D1600" s="5" t="str">
        <f>VLOOKUP(C1600, 'DICIONÁRIO CNAES'!$A:$B, 2, FALSE)</f>
        <v>Outras atividades de serviços pessoais</v>
      </c>
      <c r="E1600" s="4">
        <v>10752.297376410001</v>
      </c>
      <c r="F1600" s="4">
        <v>13098314.6692944</v>
      </c>
    </row>
    <row r="1601" spans="1:6" x14ac:dyDescent="0.3">
      <c r="A1601" s="3" t="s">
        <v>13</v>
      </c>
      <c r="B1601" s="7" t="str">
        <f>VLOOKUP(VALUE(A1601), 'DICIONÁRIO UF'!$A:$B, 2, FALSE)</f>
        <v>Ceará</v>
      </c>
      <c r="C1601" s="3">
        <v>97000</v>
      </c>
      <c r="D1601" s="5" t="str">
        <f>VLOOKUP(C1601, 'DICIONÁRIO CNAES'!$A:$B, 2, FALSE)</f>
        <v>Serviços domésticos</v>
      </c>
      <c r="E1601" s="4">
        <v>219451.38295363</v>
      </c>
      <c r="F1601" s="4">
        <v>139755119.66259211</v>
      </c>
    </row>
    <row r="1602" spans="1:6" x14ac:dyDescent="0.3">
      <c r="A1602" s="3" t="s">
        <v>14</v>
      </c>
      <c r="B1602" s="7" t="str">
        <f>VLOOKUP(VALUE(A1602), 'DICIONÁRIO UF'!$A:$B, 2, FALSE)</f>
        <v>Rio Grande do Norte</v>
      </c>
      <c r="C1602" s="3">
        <v>0</v>
      </c>
      <c r="D1602" s="5" t="str">
        <f>VLOOKUP(C1602, 'DICIONÁRIO CNAES'!$A:$B, 2, FALSE)</f>
        <v xml:space="preserve">Atividades mal definidas </v>
      </c>
      <c r="E1602" s="4">
        <v>751.56714087</v>
      </c>
      <c r="F1602" s="4">
        <v>375783.570435</v>
      </c>
    </row>
    <row r="1603" spans="1:6" x14ac:dyDescent="0.3">
      <c r="A1603" s="3" t="s">
        <v>14</v>
      </c>
      <c r="B1603" s="7" t="str">
        <f>VLOOKUP(VALUE(A1603), 'DICIONÁRIO UF'!$A:$B, 2, FALSE)</f>
        <v>Rio Grande do Norte</v>
      </c>
      <c r="C1603" s="3">
        <v>1102</v>
      </c>
      <c r="D1603" s="5" t="str">
        <f>VLOOKUP(C1603, 'DICIONÁRIO CNAES'!$A:$B, 2, FALSE)</f>
        <v>Cultivo de milho</v>
      </c>
      <c r="E1603" s="4">
        <v>7859.2354279600004</v>
      </c>
      <c r="F1603" s="4">
        <v>3818366.72101362</v>
      </c>
    </row>
    <row r="1604" spans="1:6" x14ac:dyDescent="0.3">
      <c r="A1604" s="3" t="s">
        <v>14</v>
      </c>
      <c r="B1604" s="7" t="str">
        <f>VLOOKUP(VALUE(A1604), 'DICIONÁRIO UF'!$A:$B, 2, FALSE)</f>
        <v>Rio Grande do Norte</v>
      </c>
      <c r="C1604" s="3">
        <v>1105</v>
      </c>
      <c r="D1604" s="5" t="str">
        <f>VLOOKUP(C1604, 'DICIONÁRIO CNAES'!$A:$B, 2, FALSE)</f>
        <v>Cultivo de cana-de-açúcar</v>
      </c>
      <c r="E1604" s="4">
        <v>10662.71523949</v>
      </c>
      <c r="F1604" s="4">
        <v>19095365.384992801</v>
      </c>
    </row>
    <row r="1605" spans="1:6" x14ac:dyDescent="0.3">
      <c r="A1605" s="3" t="s">
        <v>14</v>
      </c>
      <c r="B1605" s="7" t="str">
        <f>VLOOKUP(VALUE(A1605), 'DICIONÁRIO UF'!$A:$B, 2, FALSE)</f>
        <v>Rio Grande do Norte</v>
      </c>
      <c r="C1605" s="3">
        <v>1108</v>
      </c>
      <c r="D1605" s="5" t="str">
        <f>VLOOKUP(C1605, 'DICIONÁRIO CNAES'!$A:$B, 2, FALSE)</f>
        <v>Cultivo de mandioca</v>
      </c>
      <c r="E1605" s="4">
        <v>9878.686341229999</v>
      </c>
      <c r="F1605" s="4">
        <v>2938266.7563225999</v>
      </c>
    </row>
    <row r="1606" spans="1:6" x14ac:dyDescent="0.3">
      <c r="A1606" s="3" t="s">
        <v>14</v>
      </c>
      <c r="B1606" s="7" t="str">
        <f>VLOOKUP(VALUE(A1606), 'DICIONÁRIO UF'!$A:$B, 2, FALSE)</f>
        <v>Rio Grande do Norte</v>
      </c>
      <c r="C1606" s="3">
        <v>1109</v>
      </c>
      <c r="D1606" s="5" t="str">
        <f>VLOOKUP(C1606, 'DICIONÁRIO CNAES'!$A:$B, 2, FALSE)</f>
        <v>Cultivo de outras lavouras temporárias não especificadas anteriormente</v>
      </c>
      <c r="E1606" s="4">
        <v>29379.60643716</v>
      </c>
      <c r="F1606" s="4">
        <v>18249555.741409101</v>
      </c>
    </row>
    <row r="1607" spans="1:6" x14ac:dyDescent="0.3">
      <c r="A1607" s="3" t="s">
        <v>14</v>
      </c>
      <c r="B1607" s="7" t="str">
        <f>VLOOKUP(VALUE(A1607), 'DICIONÁRIO UF'!$A:$B, 2, FALSE)</f>
        <v>Rio Grande do Norte</v>
      </c>
      <c r="C1607" s="3">
        <v>1110</v>
      </c>
      <c r="D1607" s="5" t="str">
        <f>VLOOKUP(C1607, 'DICIONÁRIO CNAES'!$A:$B, 2, FALSE)</f>
        <v>Horticultura</v>
      </c>
      <c r="E1607" s="4">
        <v>2686.3104890700001</v>
      </c>
      <c r="F1607" s="4">
        <v>1806866.2989930001</v>
      </c>
    </row>
    <row r="1608" spans="1:6" x14ac:dyDescent="0.3">
      <c r="A1608" s="3" t="s">
        <v>14</v>
      </c>
      <c r="B1608" s="7" t="str">
        <f>VLOOKUP(VALUE(A1608), 'DICIONÁRIO UF'!$A:$B, 2, FALSE)</f>
        <v>Rio Grande do Norte</v>
      </c>
      <c r="C1608" s="3">
        <v>1112</v>
      </c>
      <c r="D1608" s="5" t="str">
        <f>VLOOKUP(C1608, 'DICIONÁRIO CNAES'!$A:$B, 2, FALSE)</f>
        <v>Cultivo de frutas cítricas</v>
      </c>
      <c r="E1608" s="4">
        <v>554.02115432999994</v>
      </c>
      <c r="F1608" s="4">
        <v>609423.26976299996</v>
      </c>
    </row>
    <row r="1609" spans="1:6" x14ac:dyDescent="0.3">
      <c r="A1609" s="3" t="s">
        <v>14</v>
      </c>
      <c r="B1609" s="7" t="str">
        <f>VLOOKUP(VALUE(A1609), 'DICIONÁRIO UF'!$A:$B, 2, FALSE)</f>
        <v>Rio Grande do Norte</v>
      </c>
      <c r="C1609" s="3">
        <v>1116</v>
      </c>
      <c r="D1609" s="5" t="str">
        <f>VLOOKUP(C1609, 'DICIONÁRIO CNAES'!$A:$B, 2, FALSE)</f>
        <v>Cultivo de banana</v>
      </c>
      <c r="E1609" s="4">
        <v>7317.74823853</v>
      </c>
      <c r="F1609" s="4">
        <v>6706032.7847760003</v>
      </c>
    </row>
    <row r="1610" spans="1:6" x14ac:dyDescent="0.3">
      <c r="A1610" s="3" t="s">
        <v>14</v>
      </c>
      <c r="B1610" s="7" t="str">
        <f>VLOOKUP(VALUE(A1610), 'DICIONÁRIO UF'!$A:$B, 2, FALSE)</f>
        <v>Rio Grande do Norte</v>
      </c>
      <c r="C1610" s="3">
        <v>1117</v>
      </c>
      <c r="D1610" s="5" t="str">
        <f>VLOOKUP(C1610, 'DICIONÁRIO CNAES'!$A:$B, 2, FALSE)</f>
        <v>Cultivo de outras plantas e frutas de lavoura permanente não especificadas anteriormente</v>
      </c>
      <c r="E1610" s="4">
        <v>8900.4301882800009</v>
      </c>
      <c r="F1610" s="4">
        <v>6504555.1916495003</v>
      </c>
    </row>
    <row r="1611" spans="1:6" x14ac:dyDescent="0.3">
      <c r="A1611" s="3" t="s">
        <v>14</v>
      </c>
      <c r="B1611" s="7" t="str">
        <f>VLOOKUP(VALUE(A1611), 'DICIONÁRIO UF'!$A:$B, 2, FALSE)</f>
        <v>Rio Grande do Norte</v>
      </c>
      <c r="C1611" s="3">
        <v>1119</v>
      </c>
      <c r="D1611" s="5" t="str">
        <f>VLOOKUP(C1611, 'DICIONÁRIO CNAES'!$A:$B, 2, FALSE)</f>
        <v>Lavoura não especificada</v>
      </c>
      <c r="E1611" s="4">
        <v>2165.8149999100001</v>
      </c>
      <c r="F1611" s="4">
        <v>736493.21635190002</v>
      </c>
    </row>
    <row r="1612" spans="1:6" x14ac:dyDescent="0.3">
      <c r="A1612" s="3" t="s">
        <v>14</v>
      </c>
      <c r="B1612" s="7" t="str">
        <f>VLOOKUP(VALUE(A1612), 'DICIONÁRIO UF'!$A:$B, 2, FALSE)</f>
        <v>Rio Grande do Norte</v>
      </c>
      <c r="C1612" s="3">
        <v>1201</v>
      </c>
      <c r="D1612" s="5" t="str">
        <f>VLOOKUP(C1612, 'DICIONÁRIO CNAES'!$A:$B, 2, FALSE)</f>
        <v>Criação de bovinos</v>
      </c>
      <c r="E1612" s="4">
        <v>18937.961496150001</v>
      </c>
      <c r="F1612" s="4">
        <v>14012966.81561505</v>
      </c>
    </row>
    <row r="1613" spans="1:6" x14ac:dyDescent="0.3">
      <c r="A1613" s="3" t="s">
        <v>14</v>
      </c>
      <c r="B1613" s="7" t="str">
        <f>VLOOKUP(VALUE(A1613), 'DICIONÁRIO UF'!$A:$B, 2, FALSE)</f>
        <v>Rio Grande do Norte</v>
      </c>
      <c r="C1613" s="3">
        <v>1202</v>
      </c>
      <c r="D1613" s="5" t="str">
        <f>VLOOKUP(C1613, 'DICIONÁRIO CNAES'!$A:$B, 2, FALSE)</f>
        <v>Criação de outros animais de grande porte não especificados anteriormente</v>
      </c>
      <c r="E1613" s="4">
        <v>905.50079564999999</v>
      </c>
      <c r="F1613" s="4">
        <v>181100.15912999999</v>
      </c>
    </row>
    <row r="1614" spans="1:6" x14ac:dyDescent="0.3">
      <c r="A1614" s="3" t="s">
        <v>14</v>
      </c>
      <c r="B1614" s="7" t="str">
        <f>VLOOKUP(VALUE(A1614), 'DICIONÁRIO UF'!$A:$B, 2, FALSE)</f>
        <v>Rio Grande do Norte</v>
      </c>
      <c r="C1614" s="3">
        <v>1203</v>
      </c>
      <c r="D1614" s="5" t="str">
        <f>VLOOKUP(C1614, 'DICIONÁRIO CNAES'!$A:$B, 2, FALSE)</f>
        <v>Criação de caprinos e ovinos</v>
      </c>
      <c r="E1614" s="4">
        <v>1352.47319279</v>
      </c>
      <c r="F1614" s="4">
        <v>376545.52235099999</v>
      </c>
    </row>
    <row r="1615" spans="1:6" x14ac:dyDescent="0.3">
      <c r="A1615" s="3" t="s">
        <v>14</v>
      </c>
      <c r="B1615" s="7" t="str">
        <f>VLOOKUP(VALUE(A1615), 'DICIONÁRIO UF'!$A:$B, 2, FALSE)</f>
        <v>Rio Grande do Norte</v>
      </c>
      <c r="C1615" s="3">
        <v>1204</v>
      </c>
      <c r="D1615" s="5" t="str">
        <f>VLOOKUP(C1615, 'DICIONÁRIO CNAES'!$A:$B, 2, FALSE)</f>
        <v>Criação de suínos</v>
      </c>
      <c r="E1615" s="4">
        <v>160.37920457999999</v>
      </c>
      <c r="F1615" s="4">
        <v>176417.125038</v>
      </c>
    </row>
    <row r="1616" spans="1:6" x14ac:dyDescent="0.3">
      <c r="A1616" s="3" t="s">
        <v>14</v>
      </c>
      <c r="B1616" s="7" t="str">
        <f>VLOOKUP(VALUE(A1616), 'DICIONÁRIO UF'!$A:$B, 2, FALSE)</f>
        <v>Rio Grande do Norte</v>
      </c>
      <c r="C1616" s="3">
        <v>1205</v>
      </c>
      <c r="D1616" s="5" t="str">
        <f>VLOOKUP(C1616, 'DICIONÁRIO CNAES'!$A:$B, 2, FALSE)</f>
        <v>Criação de aves</v>
      </c>
      <c r="E1616" s="4">
        <v>5600.9772983100002</v>
      </c>
      <c r="F1616" s="4">
        <v>4153624.142769</v>
      </c>
    </row>
    <row r="1617" spans="1:6" x14ac:dyDescent="0.3">
      <c r="A1617" s="3" t="s">
        <v>14</v>
      </c>
      <c r="B1617" s="7" t="str">
        <f>VLOOKUP(VALUE(A1617), 'DICIONÁRIO UF'!$A:$B, 2, FALSE)</f>
        <v>Rio Grande do Norte</v>
      </c>
      <c r="C1617" s="3">
        <v>1401</v>
      </c>
      <c r="D1617" s="5" t="str">
        <f>VLOOKUP(C1617, 'DICIONÁRIO CNAES'!$A:$B, 2, FALSE)</f>
        <v>Atividades de apoio à agricultura e pós-colheita</v>
      </c>
      <c r="E1617" s="4">
        <v>1175.0578850899999</v>
      </c>
      <c r="F1617" s="4">
        <v>357785.49508199998</v>
      </c>
    </row>
    <row r="1618" spans="1:6" x14ac:dyDescent="0.3">
      <c r="A1618" s="3" t="s">
        <v>14</v>
      </c>
      <c r="B1618" s="7" t="str">
        <f>VLOOKUP(VALUE(A1618), 'DICIONÁRIO UF'!$A:$B, 2, FALSE)</f>
        <v>Rio Grande do Norte</v>
      </c>
      <c r="C1618" s="3">
        <v>2000</v>
      </c>
      <c r="D1618" s="5" t="str">
        <f>VLOOKUP(C1618, 'DICIONÁRIO CNAES'!$A:$B, 2, FALSE)</f>
        <v xml:space="preserve">Produção florestal </v>
      </c>
      <c r="E1618" s="4">
        <v>876.34757064000007</v>
      </c>
      <c r="F1618" s="4">
        <v>526184.25143900001</v>
      </c>
    </row>
    <row r="1619" spans="1:6" x14ac:dyDescent="0.3">
      <c r="A1619" s="3" t="s">
        <v>14</v>
      </c>
      <c r="B1619" s="7" t="str">
        <f>VLOOKUP(VALUE(A1619), 'DICIONÁRIO UF'!$A:$B, 2, FALSE)</f>
        <v>Rio Grande do Norte</v>
      </c>
      <c r="C1619" s="3">
        <v>3001</v>
      </c>
      <c r="D1619" s="5" t="str">
        <f>VLOOKUP(C1619, 'DICIONÁRIO CNAES'!$A:$B, 2, FALSE)</f>
        <v>Pesca</v>
      </c>
      <c r="E1619" s="4">
        <v>17370.196766090001</v>
      </c>
      <c r="F1619" s="4">
        <v>11307628.326127499</v>
      </c>
    </row>
    <row r="1620" spans="1:6" x14ac:dyDescent="0.3">
      <c r="A1620" s="3" t="s">
        <v>14</v>
      </c>
      <c r="B1620" s="7" t="str">
        <f>VLOOKUP(VALUE(A1620), 'DICIONÁRIO UF'!$A:$B, 2, FALSE)</f>
        <v>Rio Grande do Norte</v>
      </c>
      <c r="C1620" s="3">
        <v>3002</v>
      </c>
      <c r="D1620" s="5" t="str">
        <f>VLOOKUP(C1620, 'DICIONÁRIO CNAES'!$A:$B, 2, FALSE)</f>
        <v>Aqüicultura</v>
      </c>
      <c r="E1620" s="4">
        <v>4593.2738660699997</v>
      </c>
      <c r="F1620" s="4">
        <v>6366418.3439130001</v>
      </c>
    </row>
    <row r="1621" spans="1:6" x14ac:dyDescent="0.3">
      <c r="A1621" s="3" t="s">
        <v>14</v>
      </c>
      <c r="B1621" s="7" t="str">
        <f>VLOOKUP(VALUE(A1621), 'DICIONÁRIO UF'!$A:$B, 2, FALSE)</f>
        <v>Rio Grande do Norte</v>
      </c>
      <c r="C1621" s="3">
        <v>6000</v>
      </c>
      <c r="D1621" s="5" t="str">
        <f>VLOOKUP(C1621, 'DICIONÁRIO CNAES'!$A:$B, 2, FALSE)</f>
        <v xml:space="preserve">Extração de petróleo e gás natural </v>
      </c>
      <c r="E1621" s="4">
        <v>7938.9209798299999</v>
      </c>
      <c r="F1621" s="4">
        <v>95259055.601916</v>
      </c>
    </row>
    <row r="1622" spans="1:6" x14ac:dyDescent="0.3">
      <c r="A1622" s="3" t="s">
        <v>14</v>
      </c>
      <c r="B1622" s="7" t="str">
        <f>VLOOKUP(VALUE(A1622), 'DICIONÁRIO UF'!$A:$B, 2, FALSE)</f>
        <v>Rio Grande do Norte</v>
      </c>
      <c r="C1622" s="3">
        <v>7002</v>
      </c>
      <c r="D1622" s="5" t="str">
        <f>VLOOKUP(C1622, 'DICIONÁRIO CNAES'!$A:$B, 2, FALSE)</f>
        <v xml:space="preserve">Extração de minerais metálicos não especificados anteriormente </v>
      </c>
      <c r="E1622" s="4">
        <v>496.27801171999999</v>
      </c>
      <c r="F1622" s="4">
        <v>545905.81289199996</v>
      </c>
    </row>
    <row r="1623" spans="1:6" x14ac:dyDescent="0.3">
      <c r="A1623" s="3" t="s">
        <v>14</v>
      </c>
      <c r="B1623" s="7" t="str">
        <f>VLOOKUP(VALUE(A1623), 'DICIONÁRIO UF'!$A:$B, 2, FALSE)</f>
        <v>Rio Grande do Norte</v>
      </c>
      <c r="C1623" s="3">
        <v>8001</v>
      </c>
      <c r="D1623" s="5" t="str">
        <f>VLOOKUP(C1623, 'DICIONÁRIO CNAES'!$A:$B, 2, FALSE)</f>
        <v>Extração de pedras, areia e argila</v>
      </c>
      <c r="E1623" s="4">
        <v>3894.7883854699999</v>
      </c>
      <c r="F1623" s="4">
        <v>4061632.5054474999</v>
      </c>
    </row>
    <row r="1624" spans="1:6" x14ac:dyDescent="0.3">
      <c r="A1624" s="3" t="s">
        <v>14</v>
      </c>
      <c r="B1624" s="7" t="str">
        <f>VLOOKUP(VALUE(A1624), 'DICIONÁRIO UF'!$A:$B, 2, FALSE)</f>
        <v>Rio Grande do Norte</v>
      </c>
      <c r="C1624" s="3">
        <v>8009</v>
      </c>
      <c r="D1624" s="5" t="str">
        <f>VLOOKUP(C1624, 'DICIONÁRIO CNAES'!$A:$B, 2, FALSE)</f>
        <v xml:space="preserve">Extração de minerais não metálicos não especificados anteriormente </v>
      </c>
      <c r="E1624" s="4">
        <v>3012.91540274</v>
      </c>
      <c r="F1624" s="4">
        <v>11017563.7857696</v>
      </c>
    </row>
    <row r="1625" spans="1:6" x14ac:dyDescent="0.3">
      <c r="A1625" s="3" t="s">
        <v>14</v>
      </c>
      <c r="B1625" s="7" t="str">
        <f>VLOOKUP(VALUE(A1625), 'DICIONÁRIO UF'!$A:$B, 2, FALSE)</f>
        <v>Rio Grande do Norte</v>
      </c>
      <c r="C1625" s="3">
        <v>10010</v>
      </c>
      <c r="D1625" s="5" t="str">
        <f>VLOOKUP(C1625, 'DICIONÁRIO CNAES'!$A:$B, 2, FALSE)</f>
        <v xml:space="preserve">Abate e fabricação de produtos de carne e pescado </v>
      </c>
      <c r="E1625" s="4">
        <v>1000.1258885</v>
      </c>
      <c r="F1625" s="4">
        <v>2537784.4101419998</v>
      </c>
    </row>
    <row r="1626" spans="1:6" x14ac:dyDescent="0.3">
      <c r="A1626" s="3" t="s">
        <v>14</v>
      </c>
      <c r="B1626" s="7" t="str">
        <f>VLOOKUP(VALUE(A1626), 'DICIONÁRIO UF'!$A:$B, 2, FALSE)</f>
        <v>Rio Grande do Norte</v>
      </c>
      <c r="C1626" s="3">
        <v>10021</v>
      </c>
      <c r="D1626" s="5" t="str">
        <f>VLOOKUP(C1626, 'DICIONÁRIO CNAES'!$A:$B, 2, FALSE)</f>
        <v>Fabricação de conservas de frutas, legumes e outros vegetais</v>
      </c>
      <c r="E1626" s="4">
        <v>345.12095913000002</v>
      </c>
      <c r="F1626" s="4">
        <v>379633.05504299997</v>
      </c>
    </row>
    <row r="1627" spans="1:6" x14ac:dyDescent="0.3">
      <c r="A1627" s="3" t="s">
        <v>14</v>
      </c>
      <c r="B1627" s="7" t="str">
        <f>VLOOKUP(VALUE(A1627), 'DICIONÁRIO UF'!$A:$B, 2, FALSE)</f>
        <v>Rio Grande do Norte</v>
      </c>
      <c r="C1627" s="3">
        <v>10030</v>
      </c>
      <c r="D1627" s="5" t="str">
        <f>VLOOKUP(C1627, 'DICIONÁRIO CNAES'!$A:$B, 2, FALSE)</f>
        <v>Laticínios</v>
      </c>
      <c r="E1627" s="4">
        <v>1658.4783095499999</v>
      </c>
      <c r="F1627" s="4">
        <v>2111335.5721454001</v>
      </c>
    </row>
    <row r="1628" spans="1:6" x14ac:dyDescent="0.3">
      <c r="A1628" s="3" t="s">
        <v>14</v>
      </c>
      <c r="B1628" s="7" t="str">
        <f>VLOOKUP(VALUE(A1628), 'DICIONÁRIO UF'!$A:$B, 2, FALSE)</f>
        <v>Rio Grande do Norte</v>
      </c>
      <c r="C1628" s="3">
        <v>10091</v>
      </c>
      <c r="D1628" s="5" t="str">
        <f>VLOOKUP(C1628, 'DICIONÁRIO CNAES'!$A:$B, 2, FALSE)</f>
        <v>Moagem, fabricação de produtos amiláceos e de alimentos para animais</v>
      </c>
      <c r="E1628" s="4">
        <v>2643.8469310599999</v>
      </c>
      <c r="F1628" s="4">
        <v>2500849.8259518002</v>
      </c>
    </row>
    <row r="1629" spans="1:6" x14ac:dyDescent="0.3">
      <c r="A1629" s="3" t="s">
        <v>14</v>
      </c>
      <c r="B1629" s="7" t="str">
        <f>VLOOKUP(VALUE(A1629), 'DICIONÁRIO UF'!$A:$B, 2, FALSE)</f>
        <v>Rio Grande do Norte</v>
      </c>
      <c r="C1629" s="3">
        <v>10092</v>
      </c>
      <c r="D1629" s="5" t="str">
        <f>VLOOKUP(C1629, 'DICIONÁRIO CNAES'!$A:$B, 2, FALSE)</f>
        <v>Fabricação e refino do açúcar</v>
      </c>
      <c r="E1629" s="4">
        <v>228.37730804</v>
      </c>
      <c r="F1629" s="4">
        <v>251215.038844</v>
      </c>
    </row>
    <row r="1630" spans="1:6" x14ac:dyDescent="0.3">
      <c r="A1630" s="3" t="s">
        <v>14</v>
      </c>
      <c r="B1630" s="7" t="str">
        <f>VLOOKUP(VALUE(A1630), 'DICIONÁRIO UF'!$A:$B, 2, FALSE)</f>
        <v>Rio Grande do Norte</v>
      </c>
      <c r="C1630" s="3">
        <v>10093</v>
      </c>
      <c r="D1630" s="5" t="str">
        <f>VLOOKUP(C1630, 'DICIONÁRIO CNAES'!$A:$B, 2, FALSE)</f>
        <v>Torrefação e moagem de café</v>
      </c>
      <c r="E1630" s="4">
        <v>195.50564975</v>
      </c>
      <c r="F1630" s="4">
        <v>215056.214725</v>
      </c>
    </row>
    <row r="1631" spans="1:6" x14ac:dyDescent="0.3">
      <c r="A1631" s="3" t="s">
        <v>14</v>
      </c>
      <c r="B1631" s="7" t="str">
        <f>VLOOKUP(VALUE(A1631), 'DICIONÁRIO UF'!$A:$B, 2, FALSE)</f>
        <v>Rio Grande do Norte</v>
      </c>
      <c r="C1631" s="3">
        <v>10099</v>
      </c>
      <c r="D1631" s="5" t="str">
        <f>VLOOKUP(C1631, 'DICIONÁRIO CNAES'!$A:$B, 2, FALSE)</f>
        <v>Fabricação de outros produtos alimentícios</v>
      </c>
      <c r="E1631" s="4">
        <v>1016.90079028</v>
      </c>
      <c r="F1631" s="4">
        <v>3841570.7221860001</v>
      </c>
    </row>
    <row r="1632" spans="1:6" x14ac:dyDescent="0.3">
      <c r="A1632" s="3" t="s">
        <v>14</v>
      </c>
      <c r="B1632" s="7" t="str">
        <f>VLOOKUP(VALUE(A1632), 'DICIONÁRIO UF'!$A:$B, 2, FALSE)</f>
        <v>Rio Grande do Norte</v>
      </c>
      <c r="C1632" s="3">
        <v>11000</v>
      </c>
      <c r="D1632" s="5" t="str">
        <f>VLOOKUP(C1632, 'DICIONÁRIO CNAES'!$A:$B, 2, FALSE)</f>
        <v>Fabricação de bebidas</v>
      </c>
      <c r="E1632" s="4">
        <v>1322.3211298000001</v>
      </c>
      <c r="F1632" s="4">
        <v>1454553.24278</v>
      </c>
    </row>
    <row r="1633" spans="1:6" x14ac:dyDescent="0.3">
      <c r="A1633" s="3" t="s">
        <v>14</v>
      </c>
      <c r="B1633" s="7" t="str">
        <f>VLOOKUP(VALUE(A1633), 'DICIONÁRIO UF'!$A:$B, 2, FALSE)</f>
        <v>Rio Grande do Norte</v>
      </c>
      <c r="C1633" s="3">
        <v>13001</v>
      </c>
      <c r="D1633" s="5" t="str">
        <f>VLOOKUP(C1633, 'DICIONÁRIO CNAES'!$A:$B, 2, FALSE)</f>
        <v>Preparação de fibras, fiação e tecelagem</v>
      </c>
      <c r="E1633" s="4">
        <v>9766.3643287199993</v>
      </c>
      <c r="F1633" s="4">
        <v>20428884.212334499</v>
      </c>
    </row>
    <row r="1634" spans="1:6" x14ac:dyDescent="0.3">
      <c r="A1634" s="3" t="s">
        <v>14</v>
      </c>
      <c r="B1634" s="7" t="str">
        <f>VLOOKUP(VALUE(A1634), 'DICIONÁRIO UF'!$A:$B, 2, FALSE)</f>
        <v>Rio Grande do Norte</v>
      </c>
      <c r="C1634" s="3">
        <v>13002</v>
      </c>
      <c r="D1634" s="5" t="str">
        <f>VLOOKUP(C1634, 'DICIONÁRIO CNAES'!$A:$B, 2, FALSE)</f>
        <v>Fabricação de artefatos têxteis, exceto vestuário</v>
      </c>
      <c r="E1634" s="4">
        <v>5040.2121266800004</v>
      </c>
      <c r="F1634" s="4">
        <v>2865866.9086420001</v>
      </c>
    </row>
    <row r="1635" spans="1:6" x14ac:dyDescent="0.3">
      <c r="A1635" s="3" t="s">
        <v>14</v>
      </c>
      <c r="B1635" s="7" t="str">
        <f>VLOOKUP(VALUE(A1635), 'DICIONÁRIO UF'!$A:$B, 2, FALSE)</f>
        <v>Rio Grande do Norte</v>
      </c>
      <c r="C1635" s="3">
        <v>14001</v>
      </c>
      <c r="D1635" s="5" t="str">
        <f>VLOOKUP(C1635, 'DICIONÁRIO CNAES'!$A:$B, 2, FALSE)</f>
        <v>Confecção de artigos do vestuário e acessórios, exceto sob medida</v>
      </c>
      <c r="E1635" s="4">
        <v>23260.264659159999</v>
      </c>
      <c r="F1635" s="4">
        <v>27825658.64420753</v>
      </c>
    </row>
    <row r="1636" spans="1:6" x14ac:dyDescent="0.3">
      <c r="A1636" s="3" t="s">
        <v>14</v>
      </c>
      <c r="B1636" s="7" t="str">
        <f>VLOOKUP(VALUE(A1636), 'DICIONÁRIO UF'!$A:$B, 2, FALSE)</f>
        <v>Rio Grande do Norte</v>
      </c>
      <c r="C1636" s="3">
        <v>14002</v>
      </c>
      <c r="D1636" s="5" t="str">
        <f>VLOOKUP(C1636, 'DICIONÁRIO CNAES'!$A:$B, 2, FALSE)</f>
        <v>Confecção, sob medida, de artigos do vestuário</v>
      </c>
      <c r="E1636" s="4">
        <v>9140.5229497700002</v>
      </c>
      <c r="F1636" s="4">
        <v>7568159.9625974996</v>
      </c>
    </row>
    <row r="1637" spans="1:6" x14ac:dyDescent="0.3">
      <c r="A1637" s="3" t="s">
        <v>14</v>
      </c>
      <c r="B1637" s="7" t="str">
        <f>VLOOKUP(VALUE(A1637), 'DICIONÁRIO UF'!$A:$B, 2, FALSE)</f>
        <v>Rio Grande do Norte</v>
      </c>
      <c r="C1637" s="3">
        <v>15012</v>
      </c>
      <c r="D1637" s="5" t="str">
        <f>VLOOKUP(C1637, 'DICIONÁRIO CNAES'!$A:$B, 2, FALSE)</f>
        <v>Fabricação de artigos de viagem e de artefatos diversos de couro</v>
      </c>
      <c r="E1637" s="4">
        <v>442.87441484999999</v>
      </c>
      <c r="F1637" s="4">
        <v>708599.06376000005</v>
      </c>
    </row>
    <row r="1638" spans="1:6" x14ac:dyDescent="0.3">
      <c r="A1638" s="3" t="s">
        <v>14</v>
      </c>
      <c r="B1638" s="7" t="str">
        <f>VLOOKUP(VALUE(A1638), 'DICIONÁRIO UF'!$A:$B, 2, FALSE)</f>
        <v>Rio Grande do Norte</v>
      </c>
      <c r="C1638" s="3">
        <v>16002</v>
      </c>
      <c r="D1638" s="5" t="str">
        <f>VLOOKUP(C1638, 'DICIONÁRIO CNAES'!$A:$B, 2, FALSE)</f>
        <v>Fabricação de produtos de madeira, cortiça e material trançado, exceto móveis</v>
      </c>
      <c r="E1638" s="4">
        <v>694.37620979999997</v>
      </c>
      <c r="F1638" s="4">
        <v>487437.5258995</v>
      </c>
    </row>
    <row r="1639" spans="1:6" x14ac:dyDescent="0.3">
      <c r="A1639" s="3" t="s">
        <v>14</v>
      </c>
      <c r="B1639" s="7" t="str">
        <f>VLOOKUP(VALUE(A1639), 'DICIONÁRIO UF'!$A:$B, 2, FALSE)</f>
        <v>Rio Grande do Norte</v>
      </c>
      <c r="C1639" s="3">
        <v>17002</v>
      </c>
      <c r="D1639" s="5" t="str">
        <f>VLOOKUP(C1639, 'DICIONÁRIO CNAES'!$A:$B, 2, FALSE)</f>
        <v>Fabricação de embalagens e de produtos diversos de papel, cartolina, papel-cartão e papelão ondulado</v>
      </c>
      <c r="E1639" s="4">
        <v>717.95257358999993</v>
      </c>
      <c r="F1639" s="4">
        <v>407989.09174100001</v>
      </c>
    </row>
    <row r="1640" spans="1:6" x14ac:dyDescent="0.3">
      <c r="A1640" s="3" t="s">
        <v>14</v>
      </c>
      <c r="B1640" s="7" t="str">
        <f>VLOOKUP(VALUE(A1640), 'DICIONÁRIO UF'!$A:$B, 2, FALSE)</f>
        <v>Rio Grande do Norte</v>
      </c>
      <c r="C1640" s="3">
        <v>18000</v>
      </c>
      <c r="D1640" s="5" t="str">
        <f>VLOOKUP(C1640, 'DICIONÁRIO CNAES'!$A:$B, 2, FALSE)</f>
        <v>Impressão e reprodução de gravações</v>
      </c>
      <c r="E1640" s="4">
        <v>3060.0503755499999</v>
      </c>
      <c r="F1640" s="4">
        <v>6000925.6111960001</v>
      </c>
    </row>
    <row r="1641" spans="1:6" x14ac:dyDescent="0.3">
      <c r="A1641" s="3" t="s">
        <v>14</v>
      </c>
      <c r="B1641" s="7" t="str">
        <f>VLOOKUP(VALUE(A1641), 'DICIONÁRIO UF'!$A:$B, 2, FALSE)</f>
        <v>Rio Grande do Norte</v>
      </c>
      <c r="C1641" s="3">
        <v>19020</v>
      </c>
      <c r="D1641" s="5" t="str">
        <f>VLOOKUP(C1641, 'DICIONÁRIO CNAES'!$A:$B, 2, FALSE)</f>
        <v>Fabricação de produtos derivados do petróleo</v>
      </c>
      <c r="E1641" s="4">
        <v>186.49146832</v>
      </c>
      <c r="F1641" s="4">
        <v>932457.34159999993</v>
      </c>
    </row>
    <row r="1642" spans="1:6" x14ac:dyDescent="0.3">
      <c r="A1642" s="3" t="s">
        <v>14</v>
      </c>
      <c r="B1642" s="7" t="str">
        <f>VLOOKUP(VALUE(A1642), 'DICIONÁRIO UF'!$A:$B, 2, FALSE)</f>
        <v>Rio Grande do Norte</v>
      </c>
      <c r="C1642" s="3">
        <v>19030</v>
      </c>
      <c r="D1642" s="5" t="str">
        <f>VLOOKUP(C1642, 'DICIONÁRIO CNAES'!$A:$B, 2, FALSE)</f>
        <v>Produção de biocombustíveis</v>
      </c>
      <c r="E1642" s="4">
        <v>384.99706620000001</v>
      </c>
      <c r="F1642" s="4">
        <v>173248.67978999999</v>
      </c>
    </row>
    <row r="1643" spans="1:6" x14ac:dyDescent="0.3">
      <c r="A1643" s="3" t="s">
        <v>14</v>
      </c>
      <c r="B1643" s="7" t="str">
        <f>VLOOKUP(VALUE(A1643), 'DICIONÁRIO UF'!$A:$B, 2, FALSE)</f>
        <v>Rio Grande do Norte</v>
      </c>
      <c r="C1643" s="3">
        <v>20020</v>
      </c>
      <c r="D1643" s="5" t="str">
        <f>VLOOKUP(C1643, 'DICIONÁRIO CNAES'!$A:$B, 2, FALSE)</f>
        <v>Fabricação de sabões, detergentes, produtos de limpeza, cosméticos, produtos de perfumaria e de higiene pessoal</v>
      </c>
      <c r="E1643" s="4">
        <v>276.10738708000002</v>
      </c>
      <c r="F1643" s="4">
        <v>303718.125788</v>
      </c>
    </row>
    <row r="1644" spans="1:6" x14ac:dyDescent="0.3">
      <c r="A1644" s="3" t="s">
        <v>14</v>
      </c>
      <c r="B1644" s="7" t="str">
        <f>VLOOKUP(VALUE(A1644), 'DICIONÁRIO UF'!$A:$B, 2, FALSE)</f>
        <v>Rio Grande do Norte</v>
      </c>
      <c r="C1644" s="3">
        <v>20090</v>
      </c>
      <c r="D1644" s="5" t="str">
        <f>VLOOKUP(C1644, 'DICIONÁRIO CNAES'!$A:$B, 2, FALSE)</f>
        <v>Fabricação de outros produtos químicos não especificados anteriormente</v>
      </c>
      <c r="E1644" s="4">
        <v>369.97712200000001</v>
      </c>
      <c r="F1644" s="4">
        <v>1849885.61</v>
      </c>
    </row>
    <row r="1645" spans="1:6" x14ac:dyDescent="0.3">
      <c r="A1645" s="3" t="s">
        <v>14</v>
      </c>
      <c r="B1645" s="7" t="str">
        <f>VLOOKUP(VALUE(A1645), 'DICIONÁRIO UF'!$A:$B, 2, FALSE)</f>
        <v>Rio Grande do Norte</v>
      </c>
      <c r="C1645" s="3">
        <v>22020</v>
      </c>
      <c r="D1645" s="5" t="str">
        <f>VLOOKUP(C1645, 'DICIONÁRIO CNAES'!$A:$B, 2, FALSE)</f>
        <v>Fabricação de produtos de material plástico</v>
      </c>
      <c r="E1645" s="4">
        <v>791.01969082999994</v>
      </c>
      <c r="F1645" s="4">
        <v>870121.65991299995</v>
      </c>
    </row>
    <row r="1646" spans="1:6" x14ac:dyDescent="0.3">
      <c r="A1646" s="3" t="s">
        <v>14</v>
      </c>
      <c r="B1646" s="7" t="str">
        <f>VLOOKUP(VALUE(A1646), 'DICIONÁRIO UF'!$A:$B, 2, FALSE)</f>
        <v>Rio Grande do Norte</v>
      </c>
      <c r="C1646" s="3">
        <v>23010</v>
      </c>
      <c r="D1646" s="5" t="str">
        <f>VLOOKUP(C1646, 'DICIONÁRIO CNAES'!$A:$B, 2, FALSE)</f>
        <v>Fabricação de vidro e produtos de vidro</v>
      </c>
      <c r="E1646" s="4">
        <v>379.78000449000001</v>
      </c>
      <c r="F1646" s="4">
        <v>417758.00493900001</v>
      </c>
    </row>
    <row r="1647" spans="1:6" x14ac:dyDescent="0.3">
      <c r="A1647" s="3" t="s">
        <v>14</v>
      </c>
      <c r="B1647" s="7" t="str">
        <f>VLOOKUP(VALUE(A1647), 'DICIONÁRIO UF'!$A:$B, 2, FALSE)</f>
        <v>Rio Grande do Norte</v>
      </c>
      <c r="C1647" s="3">
        <v>23091</v>
      </c>
      <c r="D1647" s="5" t="str">
        <f>VLOOKUP(C1647, 'DICIONÁRIO CNAES'!$A:$B, 2, FALSE)</f>
        <v>Fabricação de produtos cerâmicos</v>
      </c>
      <c r="E1647" s="4">
        <v>6960.88129828</v>
      </c>
      <c r="F1647" s="4">
        <v>7507574.1983699994</v>
      </c>
    </row>
    <row r="1648" spans="1:6" x14ac:dyDescent="0.3">
      <c r="A1648" s="3" t="s">
        <v>14</v>
      </c>
      <c r="B1648" s="7" t="str">
        <f>VLOOKUP(VALUE(A1648), 'DICIONÁRIO UF'!$A:$B, 2, FALSE)</f>
        <v>Rio Grande do Norte</v>
      </c>
      <c r="C1648" s="3">
        <v>23099</v>
      </c>
      <c r="D1648" s="5" t="str">
        <f>VLOOKUP(C1648, 'DICIONÁRIO CNAES'!$A:$B, 2, FALSE)</f>
        <v>Fabricação de outros produtos de minerais não-metálicos não especificados anteriormente</v>
      </c>
      <c r="E1648" s="4">
        <v>3240.2298268499999</v>
      </c>
      <c r="F1648" s="4">
        <v>3320808.5296840002</v>
      </c>
    </row>
    <row r="1649" spans="1:6" x14ac:dyDescent="0.3">
      <c r="A1649" s="3" t="s">
        <v>14</v>
      </c>
      <c r="B1649" s="7" t="str">
        <f>VLOOKUP(VALUE(A1649), 'DICIONÁRIO UF'!$A:$B, 2, FALSE)</f>
        <v>Rio Grande do Norte</v>
      </c>
      <c r="C1649" s="3">
        <v>25001</v>
      </c>
      <c r="D1649" s="5" t="str">
        <f>VLOOKUP(C1649, 'DICIONÁRIO CNAES'!$A:$B, 2, FALSE)</f>
        <v>Fabricação de produtos de metal, exceto máquinas e equipamentos</v>
      </c>
      <c r="E1649" s="4">
        <v>1389.52702191</v>
      </c>
      <c r="F1649" s="4">
        <v>2992896.1380750001</v>
      </c>
    </row>
    <row r="1650" spans="1:6" x14ac:dyDescent="0.3">
      <c r="A1650" s="3" t="s">
        <v>14</v>
      </c>
      <c r="B1650" s="7" t="str">
        <f>VLOOKUP(VALUE(A1650), 'DICIONÁRIO UF'!$A:$B, 2, FALSE)</f>
        <v>Rio Grande do Norte</v>
      </c>
      <c r="C1650" s="3">
        <v>25002</v>
      </c>
      <c r="D1650" s="5" t="str">
        <f>VLOOKUP(C1650, 'DICIONÁRIO CNAES'!$A:$B, 2, FALSE)</f>
        <v>Forjaria, estamparia, metalurgia do pó e serviços de tratamento de metais</v>
      </c>
      <c r="E1650" s="4">
        <v>2893.5423453100002</v>
      </c>
      <c r="F1650" s="4">
        <v>4155198.1706139999</v>
      </c>
    </row>
    <row r="1651" spans="1:6" x14ac:dyDescent="0.3">
      <c r="A1651" s="3" t="s">
        <v>14</v>
      </c>
      <c r="B1651" s="7" t="str">
        <f>VLOOKUP(VALUE(A1651), 'DICIONÁRIO UF'!$A:$B, 2, FALSE)</f>
        <v>Rio Grande do Norte</v>
      </c>
      <c r="C1651" s="3">
        <v>31000</v>
      </c>
      <c r="D1651" s="5" t="str">
        <f>VLOOKUP(C1651, 'DICIONÁRIO CNAES'!$A:$B, 2, FALSE)</f>
        <v>Fabricação de móveis</v>
      </c>
      <c r="E1651" s="4">
        <v>6278.6410125900002</v>
      </c>
      <c r="F1651" s="4">
        <v>8500703.018310599</v>
      </c>
    </row>
    <row r="1652" spans="1:6" x14ac:dyDescent="0.3">
      <c r="A1652" s="3" t="s">
        <v>14</v>
      </c>
      <c r="B1652" s="7" t="str">
        <f>VLOOKUP(VALUE(A1652), 'DICIONÁRIO UF'!$A:$B, 2, FALSE)</f>
        <v>Rio Grande do Norte</v>
      </c>
      <c r="C1652" s="3">
        <v>32009</v>
      </c>
      <c r="D1652" s="5" t="str">
        <f>VLOOKUP(C1652, 'DICIONÁRIO CNAES'!$A:$B, 2, FALSE)</f>
        <v>Fabricação de produtos diversos</v>
      </c>
      <c r="E1652" s="4">
        <v>2181.6556764699999</v>
      </c>
      <c r="F1652" s="4">
        <v>2164738.3502580002</v>
      </c>
    </row>
    <row r="1653" spans="1:6" x14ac:dyDescent="0.3">
      <c r="A1653" s="3" t="s">
        <v>14</v>
      </c>
      <c r="B1653" s="7" t="str">
        <f>VLOOKUP(VALUE(A1653), 'DICIONÁRIO UF'!$A:$B, 2, FALSE)</f>
        <v>Rio Grande do Norte</v>
      </c>
      <c r="C1653" s="3">
        <v>33001</v>
      </c>
      <c r="D1653" s="5" t="str">
        <f>VLOOKUP(C1653, 'DICIONÁRIO CNAES'!$A:$B, 2, FALSE)</f>
        <v>Manutenção e reparação de máquinas e equipamentos</v>
      </c>
      <c r="E1653" s="4">
        <v>230.20676180000001</v>
      </c>
      <c r="F1653" s="4">
        <v>759682.31394000002</v>
      </c>
    </row>
    <row r="1654" spans="1:6" x14ac:dyDescent="0.3">
      <c r="A1654" s="3" t="s">
        <v>14</v>
      </c>
      <c r="B1654" s="7" t="str">
        <f>VLOOKUP(VALUE(A1654), 'DICIONÁRIO UF'!$A:$B, 2, FALSE)</f>
        <v>Rio Grande do Norte</v>
      </c>
      <c r="C1654" s="3">
        <v>33002</v>
      </c>
      <c r="D1654" s="5" t="str">
        <f>VLOOKUP(C1654, 'DICIONÁRIO CNAES'!$A:$B, 2, FALSE)</f>
        <v>Instalação de máquinas e equipamentos</v>
      </c>
      <c r="E1654" s="4">
        <v>485.24949363000002</v>
      </c>
      <c r="F1654" s="4">
        <v>533774.44299300003</v>
      </c>
    </row>
    <row r="1655" spans="1:6" x14ac:dyDescent="0.3">
      <c r="A1655" s="3" t="s">
        <v>14</v>
      </c>
      <c r="B1655" s="7" t="str">
        <f>VLOOKUP(VALUE(A1655), 'DICIONÁRIO UF'!$A:$B, 2, FALSE)</f>
        <v>Rio Grande do Norte</v>
      </c>
      <c r="C1655" s="3">
        <v>35010</v>
      </c>
      <c r="D1655" s="5" t="str">
        <f>VLOOKUP(C1655, 'DICIONÁRIO CNAES'!$A:$B, 2, FALSE)</f>
        <v>Geração, transmissão e distribuição de energia elétrica</v>
      </c>
      <c r="E1655" s="4">
        <v>4719.1569515600004</v>
      </c>
      <c r="F1655" s="4">
        <v>12789442.980930001</v>
      </c>
    </row>
    <row r="1656" spans="1:6" x14ac:dyDescent="0.3">
      <c r="A1656" s="3" t="s">
        <v>14</v>
      </c>
      <c r="B1656" s="7" t="str">
        <f>VLOOKUP(VALUE(A1656), 'DICIONÁRIO UF'!$A:$B, 2, FALSE)</f>
        <v>Rio Grande do Norte</v>
      </c>
      <c r="C1656" s="3">
        <v>36000</v>
      </c>
      <c r="D1656" s="5" t="str">
        <f>VLOOKUP(C1656, 'DICIONÁRIO CNAES'!$A:$B, 2, FALSE)</f>
        <v>Captação, tratamento e distribuição de água</v>
      </c>
      <c r="E1656" s="4">
        <v>2516.1280093099999</v>
      </c>
      <c r="F1656" s="4">
        <v>5053317.9167449996</v>
      </c>
    </row>
    <row r="1657" spans="1:6" x14ac:dyDescent="0.3">
      <c r="A1657" s="3" t="s">
        <v>14</v>
      </c>
      <c r="B1657" s="7" t="str">
        <f>VLOOKUP(VALUE(A1657), 'DICIONÁRIO UF'!$A:$B, 2, FALSE)</f>
        <v>Rio Grande do Norte</v>
      </c>
      <c r="C1657" s="3">
        <v>37000</v>
      </c>
      <c r="D1657" s="5" t="str">
        <f>VLOOKUP(C1657, 'DICIONÁRIO CNAES'!$A:$B, 2, FALSE)</f>
        <v>Esgoto e atividades relacionadas</v>
      </c>
      <c r="E1657" s="4">
        <v>813.52773878999994</v>
      </c>
      <c r="F1657" s="4">
        <v>1789761.0253379999</v>
      </c>
    </row>
    <row r="1658" spans="1:6" x14ac:dyDescent="0.3">
      <c r="A1658" s="3" t="s">
        <v>14</v>
      </c>
      <c r="B1658" s="7" t="str">
        <f>VLOOKUP(VALUE(A1658), 'DICIONÁRIO UF'!$A:$B, 2, FALSE)</f>
        <v>Rio Grande do Norte</v>
      </c>
      <c r="C1658" s="3">
        <v>38000</v>
      </c>
      <c r="D1658" s="5" t="str">
        <f>VLOOKUP(C1658, 'DICIONÁRIO CNAES'!$A:$B, 2, FALSE)</f>
        <v>Coleta, tratamento e disposição de resíduos; recuperação de materiais</v>
      </c>
      <c r="E1658" s="4">
        <v>4926.29415883</v>
      </c>
      <c r="F1658" s="4">
        <v>15293267.5674919</v>
      </c>
    </row>
    <row r="1659" spans="1:6" x14ac:dyDescent="0.3">
      <c r="A1659" s="3" t="s">
        <v>14</v>
      </c>
      <c r="B1659" s="7" t="str">
        <f>VLOOKUP(VALUE(A1659), 'DICIONÁRIO UF'!$A:$B, 2, FALSE)</f>
        <v>Rio Grande do Norte</v>
      </c>
      <c r="C1659" s="3">
        <v>41000</v>
      </c>
      <c r="D1659" s="5" t="str">
        <f>VLOOKUP(C1659, 'DICIONÁRIO CNAES'!$A:$B, 2, FALSE)</f>
        <v>Construção de edifícios</v>
      </c>
      <c r="E1659" s="4">
        <v>61927.045589519999</v>
      </c>
      <c r="F1659" s="4">
        <v>70947705.565231636</v>
      </c>
    </row>
    <row r="1660" spans="1:6" x14ac:dyDescent="0.3">
      <c r="A1660" s="3" t="s">
        <v>14</v>
      </c>
      <c r="B1660" s="7" t="str">
        <f>VLOOKUP(VALUE(A1660), 'DICIONÁRIO UF'!$A:$B, 2, FALSE)</f>
        <v>Rio Grande do Norte</v>
      </c>
      <c r="C1660" s="3">
        <v>42000</v>
      </c>
      <c r="D1660" s="5" t="str">
        <f>VLOOKUP(C1660, 'DICIONÁRIO CNAES'!$A:$B, 2, FALSE)</f>
        <v>Construção de obras de infra-estrutura</v>
      </c>
      <c r="E1660" s="4">
        <v>8532.6651343100002</v>
      </c>
      <c r="F1660" s="4">
        <v>13602225.9732685</v>
      </c>
    </row>
    <row r="1661" spans="1:6" x14ac:dyDescent="0.3">
      <c r="A1661" s="3" t="s">
        <v>14</v>
      </c>
      <c r="B1661" s="7" t="str">
        <f>VLOOKUP(VALUE(A1661), 'DICIONÁRIO UF'!$A:$B, 2, FALSE)</f>
        <v>Rio Grande do Norte</v>
      </c>
      <c r="C1661" s="3">
        <v>43000</v>
      </c>
      <c r="D1661" s="5" t="str">
        <f>VLOOKUP(C1661, 'DICIONÁRIO CNAES'!$A:$B, 2, FALSE)</f>
        <v>Serviços especializados para construção</v>
      </c>
      <c r="E1661" s="4">
        <v>23318.636702740001</v>
      </c>
      <c r="F1661" s="4">
        <v>32288298.234471701</v>
      </c>
    </row>
    <row r="1662" spans="1:6" x14ac:dyDescent="0.3">
      <c r="A1662" s="3" t="s">
        <v>14</v>
      </c>
      <c r="B1662" s="7" t="str">
        <f>VLOOKUP(VALUE(A1662), 'DICIONÁRIO UF'!$A:$B, 2, FALSE)</f>
        <v>Rio Grande do Norte</v>
      </c>
      <c r="C1662" s="3">
        <v>45010</v>
      </c>
      <c r="D1662" s="5" t="str">
        <f>VLOOKUP(C1662, 'DICIONÁRIO CNAES'!$A:$B, 2, FALSE)</f>
        <v>Comércio de veículos automotores</v>
      </c>
      <c r="E1662" s="4">
        <v>4634.6267327300002</v>
      </c>
      <c r="F1662" s="4">
        <v>7141430.1378494697</v>
      </c>
    </row>
    <row r="1663" spans="1:6" x14ac:dyDescent="0.3">
      <c r="A1663" s="3" t="s">
        <v>14</v>
      </c>
      <c r="B1663" s="7" t="str">
        <f>VLOOKUP(VALUE(A1663), 'DICIONÁRIO UF'!$A:$B, 2, FALSE)</f>
        <v>Rio Grande do Norte</v>
      </c>
      <c r="C1663" s="3">
        <v>45020</v>
      </c>
      <c r="D1663" s="5" t="str">
        <f>VLOOKUP(C1663, 'DICIONÁRIO CNAES'!$A:$B, 2, FALSE)</f>
        <v>Manutenção e reparação de veículos automotores</v>
      </c>
      <c r="E1663" s="4">
        <v>15387.422203829999</v>
      </c>
      <c r="F1663" s="4">
        <v>20882858.189934</v>
      </c>
    </row>
    <row r="1664" spans="1:6" x14ac:dyDescent="0.3">
      <c r="A1664" s="3" t="s">
        <v>14</v>
      </c>
      <c r="B1664" s="7" t="str">
        <f>VLOOKUP(VALUE(A1664), 'DICIONÁRIO UF'!$A:$B, 2, FALSE)</f>
        <v>Rio Grande do Norte</v>
      </c>
      <c r="C1664" s="3">
        <v>45030</v>
      </c>
      <c r="D1664" s="5" t="str">
        <f>VLOOKUP(C1664, 'DICIONÁRIO CNAES'!$A:$B, 2, FALSE)</f>
        <v>Comércio de peças e acessórios para veículos automotores</v>
      </c>
      <c r="E1664" s="4">
        <v>3159.2775283800001</v>
      </c>
      <c r="F1664" s="4">
        <v>5145904.4283710001</v>
      </c>
    </row>
    <row r="1665" spans="1:6" x14ac:dyDescent="0.3">
      <c r="A1665" s="3" t="s">
        <v>14</v>
      </c>
      <c r="B1665" s="7" t="str">
        <f>VLOOKUP(VALUE(A1665), 'DICIONÁRIO UF'!$A:$B, 2, FALSE)</f>
        <v>Rio Grande do Norte</v>
      </c>
      <c r="C1665" s="3">
        <v>45040</v>
      </c>
      <c r="D1665" s="5" t="str">
        <f>VLOOKUP(C1665, 'DICIONÁRIO CNAES'!$A:$B, 2, FALSE)</f>
        <v>Comércio, manutenção e reparação de motocicletas, peças e acessórios</v>
      </c>
      <c r="E1665" s="4">
        <v>3659.6970529800001</v>
      </c>
      <c r="F1665" s="4">
        <v>5819036.71887</v>
      </c>
    </row>
    <row r="1666" spans="1:6" x14ac:dyDescent="0.3">
      <c r="A1666" s="3" t="s">
        <v>14</v>
      </c>
      <c r="B1666" s="7" t="str">
        <f>VLOOKUP(VALUE(A1666), 'DICIONÁRIO UF'!$A:$B, 2, FALSE)</f>
        <v>Rio Grande do Norte</v>
      </c>
      <c r="C1666" s="3">
        <v>48010</v>
      </c>
      <c r="D1666" s="5" t="str">
        <f>VLOOKUP(C1666, 'DICIONÁRIO CNAES'!$A:$B, 2, FALSE)</f>
        <v>Representantes comerciais e agentes do comércio, exceto de veículos automotores e motocicletas</v>
      </c>
      <c r="E1666" s="4">
        <v>1804.02072402</v>
      </c>
      <c r="F1666" s="4">
        <v>5357339.8904879997</v>
      </c>
    </row>
    <row r="1667" spans="1:6" x14ac:dyDescent="0.3">
      <c r="A1667" s="3" t="s">
        <v>14</v>
      </c>
      <c r="B1667" s="7" t="str">
        <f>VLOOKUP(VALUE(A1667), 'DICIONÁRIO UF'!$A:$B, 2, FALSE)</f>
        <v>Rio Grande do Norte</v>
      </c>
      <c r="C1667" s="3">
        <v>48020</v>
      </c>
      <c r="D1667" s="5" t="str">
        <f>VLOOKUP(C1667, 'DICIONÁRIO CNAES'!$A:$B, 2, FALSE)</f>
        <v>Comércio de matérias-primas agrícolas e animais vivos</v>
      </c>
      <c r="E1667" s="4">
        <v>4788.6436136100001</v>
      </c>
      <c r="F1667" s="4">
        <v>4756450.1594869997</v>
      </c>
    </row>
    <row r="1668" spans="1:6" x14ac:dyDescent="0.3">
      <c r="A1668" s="3" t="s">
        <v>14</v>
      </c>
      <c r="B1668" s="7" t="str">
        <f>VLOOKUP(VALUE(A1668), 'DICIONÁRIO UF'!$A:$B, 2, FALSE)</f>
        <v>Rio Grande do Norte</v>
      </c>
      <c r="C1668" s="3">
        <v>48030</v>
      </c>
      <c r="D1668" s="5" t="str">
        <f>VLOOKUP(C1668, 'DICIONÁRIO CNAES'!$A:$B, 2, FALSE)</f>
        <v>Comércio de produtos alimentícios, bebidas e fumo</v>
      </c>
      <c r="E1668" s="4">
        <v>76892.46007442</v>
      </c>
      <c r="F1668" s="4">
        <v>136898555.2710079</v>
      </c>
    </row>
    <row r="1669" spans="1:6" x14ac:dyDescent="0.3">
      <c r="A1669" s="3" t="s">
        <v>14</v>
      </c>
      <c r="B1669" s="7" t="str">
        <f>VLOOKUP(VALUE(A1669), 'DICIONÁRIO UF'!$A:$B, 2, FALSE)</f>
        <v>Rio Grande do Norte</v>
      </c>
      <c r="C1669" s="3">
        <v>48041</v>
      </c>
      <c r="D1669" s="5" t="str">
        <f>VLOOKUP(C1669, 'DICIONÁRIO CNAES'!$A:$B, 2, FALSE)</f>
        <v>Comércio de tecidos, artefatos de tecidos e armarinho</v>
      </c>
      <c r="E1669" s="4">
        <v>4498.2541638399998</v>
      </c>
      <c r="F1669" s="4">
        <v>5921483.547615</v>
      </c>
    </row>
    <row r="1670" spans="1:6" x14ac:dyDescent="0.3">
      <c r="A1670" s="3" t="s">
        <v>14</v>
      </c>
      <c r="B1670" s="7" t="str">
        <f>VLOOKUP(VALUE(A1670), 'DICIONÁRIO UF'!$A:$B, 2, FALSE)</f>
        <v>Rio Grande do Norte</v>
      </c>
      <c r="C1670" s="3">
        <v>48042</v>
      </c>
      <c r="D1670" s="5" t="str">
        <f>VLOOKUP(C1670, 'DICIONÁRIO CNAES'!$A:$B, 2, FALSE)</f>
        <v>Comércio de artigos do vestuário, complementos, calçados e artigos de viagem</v>
      </c>
      <c r="E1670" s="4">
        <v>27016.905280440002</v>
      </c>
      <c r="F1670" s="4">
        <v>42423494.254263602</v>
      </c>
    </row>
    <row r="1671" spans="1:6" x14ac:dyDescent="0.3">
      <c r="A1671" s="3" t="s">
        <v>14</v>
      </c>
      <c r="B1671" s="7" t="str">
        <f>VLOOKUP(VALUE(A1671), 'DICIONÁRIO UF'!$A:$B, 2, FALSE)</f>
        <v>Rio Grande do Norte</v>
      </c>
      <c r="C1671" s="3">
        <v>48050</v>
      </c>
      <c r="D1671" s="5" t="str">
        <f>VLOOKUP(C1671, 'DICIONÁRIO CNAES'!$A:$B, 2, FALSE)</f>
        <v>Comércio de madeira, material de construção, ferragens e ferramentas</v>
      </c>
      <c r="E1671" s="4">
        <v>19744.821328639999</v>
      </c>
      <c r="F1671" s="4">
        <v>28001377.229765601</v>
      </c>
    </row>
    <row r="1672" spans="1:6" x14ac:dyDescent="0.3">
      <c r="A1672" s="3" t="s">
        <v>14</v>
      </c>
      <c r="B1672" s="7" t="str">
        <f>VLOOKUP(VALUE(A1672), 'DICIONÁRIO UF'!$A:$B, 2, FALSE)</f>
        <v>Rio Grande do Norte</v>
      </c>
      <c r="C1672" s="3">
        <v>48060</v>
      </c>
      <c r="D1672" s="5" t="str">
        <f>VLOOKUP(C1672, 'DICIONÁRIO CNAES'!$A:$B, 2, FALSE)</f>
        <v>Comércio de combustíveis para veículos automotores</v>
      </c>
      <c r="E1672" s="4">
        <v>2276.0586250400002</v>
      </c>
      <c r="F1672" s="4">
        <v>2782831.3583399998</v>
      </c>
    </row>
    <row r="1673" spans="1:6" x14ac:dyDescent="0.3">
      <c r="A1673" s="3" t="s">
        <v>14</v>
      </c>
      <c r="B1673" s="7" t="str">
        <f>VLOOKUP(VALUE(A1673), 'DICIONÁRIO UF'!$A:$B, 2, FALSE)</f>
        <v>Rio Grande do Norte</v>
      </c>
      <c r="C1673" s="3">
        <v>48071</v>
      </c>
      <c r="D1673" s="5" t="str">
        <f>VLOOKUP(C1673, 'DICIONÁRIO CNAES'!$A:$B, 2, FALSE)</f>
        <v>Comércio de produtos farmaceuticos, médicos, ortopédicos, odontológicos e de cosméticos e perfumaria</v>
      </c>
      <c r="E1673" s="4">
        <v>20728.506272800001</v>
      </c>
      <c r="F1673" s="4">
        <v>26270407.662841398</v>
      </c>
    </row>
    <row r="1674" spans="1:6" x14ac:dyDescent="0.3">
      <c r="A1674" s="3" t="s">
        <v>14</v>
      </c>
      <c r="B1674" s="7" t="str">
        <f>VLOOKUP(VALUE(A1674), 'DICIONÁRIO UF'!$A:$B, 2, FALSE)</f>
        <v>Rio Grande do Norte</v>
      </c>
      <c r="C1674" s="3">
        <v>48072</v>
      </c>
      <c r="D1674" s="5" t="str">
        <f>VLOOKUP(C1674, 'DICIONÁRIO CNAES'!$A:$B, 2, FALSE)</f>
        <v>Comércio de artigos de escritório e de papelaria; livros, jornais e outras publicações</v>
      </c>
      <c r="E1674" s="4">
        <v>2592.7828300800002</v>
      </c>
      <c r="F1674" s="4">
        <v>4271865.2958190003</v>
      </c>
    </row>
    <row r="1675" spans="1:6" x14ac:dyDescent="0.3">
      <c r="A1675" s="3" t="s">
        <v>14</v>
      </c>
      <c r="B1675" s="7" t="str">
        <f>VLOOKUP(VALUE(A1675), 'DICIONÁRIO UF'!$A:$B, 2, FALSE)</f>
        <v>Rio Grande do Norte</v>
      </c>
      <c r="C1675" s="3">
        <v>48073</v>
      </c>
      <c r="D1675" s="5" t="str">
        <f>VLOOKUP(C1675, 'DICIONÁRIO CNAES'!$A:$B, 2, FALSE)</f>
        <v>Comércio de eletrodomésticos, móveis e outros artigos de residência</v>
      </c>
      <c r="E1675" s="4">
        <v>8946.1826755000002</v>
      </c>
      <c r="F1675" s="4">
        <v>18093856.682464499</v>
      </c>
    </row>
    <row r="1676" spans="1:6" x14ac:dyDescent="0.3">
      <c r="A1676" s="3" t="s">
        <v>14</v>
      </c>
      <c r="B1676" s="7" t="str">
        <f>VLOOKUP(VALUE(A1676), 'DICIONÁRIO UF'!$A:$B, 2, FALSE)</f>
        <v>Rio Grande do Norte</v>
      </c>
      <c r="C1676" s="3">
        <v>48074</v>
      </c>
      <c r="D1676" s="5" t="str">
        <f>VLOOKUP(C1676, 'DICIONÁRIO CNAES'!$A:$B, 2, FALSE)</f>
        <v>Comércio de equipamentos e produtos de tecnologias de informação e comunicação</v>
      </c>
      <c r="E1676" s="4">
        <v>4313.2491985400002</v>
      </c>
      <c r="F1676" s="4">
        <v>4898134.7475910001</v>
      </c>
    </row>
    <row r="1677" spans="1:6" x14ac:dyDescent="0.3">
      <c r="A1677" s="3" t="s">
        <v>14</v>
      </c>
      <c r="B1677" s="7" t="str">
        <f>VLOOKUP(VALUE(A1677), 'DICIONÁRIO UF'!$A:$B, 2, FALSE)</f>
        <v>Rio Grande do Norte</v>
      </c>
      <c r="C1677" s="3">
        <v>48075</v>
      </c>
      <c r="D1677" s="5" t="str">
        <f>VLOOKUP(C1677, 'DICIONÁRIO CNAES'!$A:$B, 2, FALSE)</f>
        <v xml:space="preserve">Comércio de máquinas, aparelhos e equipamentos, exceto eletrodomésticos </v>
      </c>
      <c r="E1677" s="4">
        <v>1349.8462773000001</v>
      </c>
      <c r="F1677" s="4">
        <v>4948464.5043320004</v>
      </c>
    </row>
    <row r="1678" spans="1:6" x14ac:dyDescent="0.3">
      <c r="A1678" s="3" t="s">
        <v>14</v>
      </c>
      <c r="B1678" s="7" t="str">
        <f>VLOOKUP(VALUE(A1678), 'DICIONÁRIO UF'!$A:$B, 2, FALSE)</f>
        <v>Rio Grande do Norte</v>
      </c>
      <c r="C1678" s="3">
        <v>48076</v>
      </c>
      <c r="D1678" s="5" t="str">
        <f>VLOOKUP(C1678, 'DICIONÁRIO CNAES'!$A:$B, 2, FALSE)</f>
        <v>Comércio de combustíveis sólidos, líquidos e gasosos, exceto para veículos automotores</v>
      </c>
      <c r="E1678" s="4">
        <v>760.74311861000001</v>
      </c>
      <c r="F1678" s="4">
        <v>1071268.4835389999</v>
      </c>
    </row>
    <row r="1679" spans="1:6" x14ac:dyDescent="0.3">
      <c r="A1679" s="3" t="s">
        <v>14</v>
      </c>
      <c r="B1679" s="7" t="str">
        <f>VLOOKUP(VALUE(A1679), 'DICIONÁRIO UF'!$A:$B, 2, FALSE)</f>
        <v>Rio Grande do Norte</v>
      </c>
      <c r="C1679" s="3">
        <v>48078</v>
      </c>
      <c r="D1679" s="5" t="str">
        <f>VLOOKUP(C1679, 'DICIONÁRIO CNAES'!$A:$B, 2, FALSE)</f>
        <v>Comercio de residuos e sucatas</v>
      </c>
      <c r="E1679" s="4">
        <v>2176.1832735799999</v>
      </c>
      <c r="F1679" s="4">
        <v>1838855.3679</v>
      </c>
    </row>
    <row r="1680" spans="1:6" x14ac:dyDescent="0.3">
      <c r="A1680" s="3" t="s">
        <v>14</v>
      </c>
      <c r="B1680" s="7" t="str">
        <f>VLOOKUP(VALUE(A1680), 'DICIONÁRIO UF'!$A:$B, 2, FALSE)</f>
        <v>Rio Grande do Norte</v>
      </c>
      <c r="C1680" s="3">
        <v>48079</v>
      </c>
      <c r="D1680" s="5" t="str">
        <f>VLOOKUP(C1680, 'DICIONÁRIO CNAES'!$A:$B, 2, FALSE)</f>
        <v>Comércio de produtos novos não especificados anteriormente</v>
      </c>
      <c r="E1680" s="4">
        <v>10703.81227606</v>
      </c>
      <c r="F1680" s="4">
        <v>13934609.742095649</v>
      </c>
    </row>
    <row r="1681" spans="1:6" x14ac:dyDescent="0.3">
      <c r="A1681" s="3" t="s">
        <v>14</v>
      </c>
      <c r="B1681" s="7" t="str">
        <f>VLOOKUP(VALUE(A1681), 'DICIONÁRIO UF'!$A:$B, 2, FALSE)</f>
        <v>Rio Grande do Norte</v>
      </c>
      <c r="C1681" s="3">
        <v>48080</v>
      </c>
      <c r="D1681" s="5" t="str">
        <f>VLOOKUP(C1681, 'DICIONÁRIO CNAES'!$A:$B, 2, FALSE)</f>
        <v>Supermercado e hipermercado</v>
      </c>
      <c r="E1681" s="4">
        <v>33717.431319299998</v>
      </c>
      <c r="F1681" s="4">
        <v>43574015.244245127</v>
      </c>
    </row>
    <row r="1682" spans="1:6" x14ac:dyDescent="0.3">
      <c r="A1682" s="3" t="s">
        <v>14</v>
      </c>
      <c r="B1682" s="7" t="str">
        <f>VLOOKUP(VALUE(A1682), 'DICIONÁRIO UF'!$A:$B, 2, FALSE)</f>
        <v>Rio Grande do Norte</v>
      </c>
      <c r="C1682" s="3">
        <v>48090</v>
      </c>
      <c r="D1682" s="5" t="str">
        <f>VLOOKUP(C1682, 'DICIONÁRIO CNAES'!$A:$B, 2, FALSE)</f>
        <v>Lojas de departamento e outros comércios não especializados, sem predominância de produtos alimentícios</v>
      </c>
      <c r="E1682" s="4">
        <v>3196.4173202400002</v>
      </c>
      <c r="F1682" s="4">
        <v>4101605.9290384999</v>
      </c>
    </row>
    <row r="1683" spans="1:6" x14ac:dyDescent="0.3">
      <c r="A1683" s="3" t="s">
        <v>14</v>
      </c>
      <c r="B1683" s="7" t="str">
        <f>VLOOKUP(VALUE(A1683), 'DICIONÁRIO UF'!$A:$B, 2, FALSE)</f>
        <v>Rio Grande do Norte</v>
      </c>
      <c r="C1683" s="3">
        <v>48100</v>
      </c>
      <c r="D1683" s="5" t="str">
        <f>VLOOKUP(C1683, 'DICIONÁRIO CNAES'!$A:$B, 2, FALSE)</f>
        <v>Comércio ambulante e feiras</v>
      </c>
      <c r="E1683" s="4">
        <v>20097.602543739999</v>
      </c>
      <c r="F1683" s="4">
        <v>17590169.1704784</v>
      </c>
    </row>
    <row r="1684" spans="1:6" x14ac:dyDescent="0.3">
      <c r="A1684" s="3" t="s">
        <v>14</v>
      </c>
      <c r="B1684" s="7" t="str">
        <f>VLOOKUP(VALUE(A1684), 'DICIONÁRIO UF'!$A:$B, 2, FALSE)</f>
        <v>Rio Grande do Norte</v>
      </c>
      <c r="C1684" s="3">
        <v>49010</v>
      </c>
      <c r="D1684" s="5" t="str">
        <f>VLOOKUP(C1684, 'DICIONÁRIO CNAES'!$A:$B, 2, FALSE)</f>
        <v>Transporte ferroviário e metroferroviário</v>
      </c>
      <c r="E1684" s="4">
        <v>183.73317326</v>
      </c>
      <c r="F1684" s="4">
        <v>293973.07721600001</v>
      </c>
    </row>
    <row r="1685" spans="1:6" x14ac:dyDescent="0.3">
      <c r="A1685" s="3" t="s">
        <v>14</v>
      </c>
      <c r="B1685" s="7" t="str">
        <f>VLOOKUP(VALUE(A1685), 'DICIONÁRIO UF'!$A:$B, 2, FALSE)</f>
        <v>Rio Grande do Norte</v>
      </c>
      <c r="C1685" s="3">
        <v>49030</v>
      </c>
      <c r="D1685" s="5" t="str">
        <f>VLOOKUP(C1685, 'DICIONÁRIO CNAES'!$A:$B, 2, FALSE)</f>
        <v>Transporte rodoviário de passageiros</v>
      </c>
      <c r="E1685" s="4">
        <v>24569.131340700002</v>
      </c>
      <c r="F1685" s="4">
        <v>46803303.115215302</v>
      </c>
    </row>
    <row r="1686" spans="1:6" x14ac:dyDescent="0.3">
      <c r="A1686" s="3" t="s">
        <v>14</v>
      </c>
      <c r="B1686" s="7" t="str">
        <f>VLOOKUP(VALUE(A1686), 'DICIONÁRIO UF'!$A:$B, 2, FALSE)</f>
        <v>Rio Grande do Norte</v>
      </c>
      <c r="C1686" s="3">
        <v>49040</v>
      </c>
      <c r="D1686" s="5" t="str">
        <f>VLOOKUP(C1686, 'DICIONÁRIO CNAES'!$A:$B, 2, FALSE)</f>
        <v>Transporte rodoviário de carga</v>
      </c>
      <c r="E1686" s="4">
        <v>11739.77632318</v>
      </c>
      <c r="F1686" s="4">
        <v>20131025.304487959</v>
      </c>
    </row>
    <row r="1687" spans="1:6" x14ac:dyDescent="0.3">
      <c r="A1687" s="3" t="s">
        <v>14</v>
      </c>
      <c r="B1687" s="7" t="str">
        <f>VLOOKUP(VALUE(A1687), 'DICIONÁRIO UF'!$A:$B, 2, FALSE)</f>
        <v>Rio Grande do Norte</v>
      </c>
      <c r="C1687" s="3">
        <v>50000</v>
      </c>
      <c r="D1687" s="5" t="str">
        <f>VLOOKUP(C1687, 'DICIONÁRIO CNAES'!$A:$B, 2, FALSE)</f>
        <v>Transporte Aquaviário</v>
      </c>
      <c r="E1687" s="4">
        <v>443.87184180999998</v>
      </c>
      <c r="F1687" s="4">
        <v>1331615.5254299999</v>
      </c>
    </row>
    <row r="1688" spans="1:6" x14ac:dyDescent="0.3">
      <c r="A1688" s="3" t="s">
        <v>14</v>
      </c>
      <c r="B1688" s="7" t="str">
        <f>VLOOKUP(VALUE(A1688), 'DICIONÁRIO UF'!$A:$B, 2, FALSE)</f>
        <v>Rio Grande do Norte</v>
      </c>
      <c r="C1688" s="3">
        <v>52010</v>
      </c>
      <c r="D1688" s="5" t="str">
        <f>VLOOKUP(C1688, 'DICIONÁRIO CNAES'!$A:$B, 2, FALSE)</f>
        <v>Armazenamento, carga e descarga</v>
      </c>
      <c r="E1688" s="4">
        <v>1056.6510120099999</v>
      </c>
      <c r="F1688" s="4">
        <v>603039.47124500002</v>
      </c>
    </row>
    <row r="1689" spans="1:6" x14ac:dyDescent="0.3">
      <c r="A1689" s="3" t="s">
        <v>14</v>
      </c>
      <c r="B1689" s="7" t="str">
        <f>VLOOKUP(VALUE(A1689), 'DICIONÁRIO UF'!$A:$B, 2, FALSE)</f>
        <v>Rio Grande do Norte</v>
      </c>
      <c r="C1689" s="3">
        <v>52020</v>
      </c>
      <c r="D1689" s="5" t="str">
        <f>VLOOKUP(C1689, 'DICIONÁRIO CNAES'!$A:$B, 2, FALSE)</f>
        <v xml:space="preserve">Atividades auxiliares dos transportes e atividades relacionadas à organização do transporte de carga </v>
      </c>
      <c r="E1689" s="4">
        <v>894.99770401000001</v>
      </c>
      <c r="F1689" s="4">
        <v>4516587.3074229993</v>
      </c>
    </row>
    <row r="1690" spans="1:6" x14ac:dyDescent="0.3">
      <c r="A1690" s="3" t="s">
        <v>14</v>
      </c>
      <c r="B1690" s="7" t="str">
        <f>VLOOKUP(VALUE(A1690), 'DICIONÁRIO UF'!$A:$B, 2, FALSE)</f>
        <v>Rio Grande do Norte</v>
      </c>
      <c r="C1690" s="3">
        <v>53001</v>
      </c>
      <c r="D1690" s="5" t="str">
        <f>VLOOKUP(C1690, 'DICIONÁRIO CNAES'!$A:$B, 2, FALSE)</f>
        <v>Atividades de Correio</v>
      </c>
      <c r="E1690" s="4">
        <v>1886.92683779</v>
      </c>
      <c r="F1690" s="4">
        <v>4466012.7937489999</v>
      </c>
    </row>
    <row r="1691" spans="1:6" x14ac:dyDescent="0.3">
      <c r="A1691" s="3" t="s">
        <v>14</v>
      </c>
      <c r="B1691" s="7" t="str">
        <f>VLOOKUP(VALUE(A1691), 'DICIONÁRIO UF'!$A:$B, 2, FALSE)</f>
        <v>Rio Grande do Norte</v>
      </c>
      <c r="C1691" s="3">
        <v>53002</v>
      </c>
      <c r="D1691" s="5" t="str">
        <f>VLOOKUP(C1691, 'DICIONÁRIO CNAES'!$A:$B, 2, FALSE)</f>
        <v>Atividades de malote e de entrega</v>
      </c>
      <c r="E1691" s="4">
        <v>4852.0895484800003</v>
      </c>
      <c r="F1691" s="4">
        <v>6508489.3504919996</v>
      </c>
    </row>
    <row r="1692" spans="1:6" x14ac:dyDescent="0.3">
      <c r="A1692" s="3" t="s">
        <v>14</v>
      </c>
      <c r="B1692" s="7" t="str">
        <f>VLOOKUP(VALUE(A1692), 'DICIONÁRIO UF'!$A:$B, 2, FALSE)</f>
        <v>Rio Grande do Norte</v>
      </c>
      <c r="C1692" s="3">
        <v>55000</v>
      </c>
      <c r="D1692" s="5" t="str">
        <f>VLOOKUP(C1692, 'DICIONÁRIO CNAES'!$A:$B, 2, FALSE)</f>
        <v>Alojamento</v>
      </c>
      <c r="E1692" s="4">
        <v>9703.9388420199994</v>
      </c>
      <c r="F1692" s="4">
        <v>15691282.9350415</v>
      </c>
    </row>
    <row r="1693" spans="1:6" x14ac:dyDescent="0.3">
      <c r="A1693" s="3" t="s">
        <v>14</v>
      </c>
      <c r="B1693" s="7" t="str">
        <f>VLOOKUP(VALUE(A1693), 'DICIONÁRIO UF'!$A:$B, 2, FALSE)</f>
        <v>Rio Grande do Norte</v>
      </c>
      <c r="C1693" s="3">
        <v>56011</v>
      </c>
      <c r="D1693" s="5" t="str">
        <f>VLOOKUP(C1693, 'DICIONÁRIO CNAES'!$A:$B, 2, FALSE)</f>
        <v>Restaurantes e outros estabelecimentos de serviços de alimentação e bebidas</v>
      </c>
      <c r="E1693" s="4">
        <v>57391.854214810002</v>
      </c>
      <c r="F1693" s="4">
        <v>85261771.172820777</v>
      </c>
    </row>
    <row r="1694" spans="1:6" x14ac:dyDescent="0.3">
      <c r="A1694" s="3" t="s">
        <v>14</v>
      </c>
      <c r="B1694" s="7" t="str">
        <f>VLOOKUP(VALUE(A1694), 'DICIONÁRIO UF'!$A:$B, 2, FALSE)</f>
        <v>Rio Grande do Norte</v>
      </c>
      <c r="C1694" s="3">
        <v>56012</v>
      </c>
      <c r="D1694" s="5" t="str">
        <f>VLOOKUP(C1694, 'DICIONÁRIO CNAES'!$A:$B, 2, FALSE)</f>
        <v>Serviços de catering, bufê e outros serviços de comida preparada</v>
      </c>
      <c r="E1694" s="4">
        <v>14791.597677809999</v>
      </c>
      <c r="F1694" s="4">
        <v>15420775.8845315</v>
      </c>
    </row>
    <row r="1695" spans="1:6" x14ac:dyDescent="0.3">
      <c r="A1695" s="3" t="s">
        <v>14</v>
      </c>
      <c r="B1695" s="7" t="str">
        <f>VLOOKUP(VALUE(A1695), 'DICIONÁRIO UF'!$A:$B, 2, FALSE)</f>
        <v>Rio Grande do Norte</v>
      </c>
      <c r="C1695" s="3">
        <v>56020</v>
      </c>
      <c r="D1695" s="5" t="str">
        <f>VLOOKUP(C1695, 'DICIONÁRIO CNAES'!$A:$B, 2, FALSE)</f>
        <v>Serviços ambulantes de alimentação</v>
      </c>
      <c r="E1695" s="4">
        <v>8695.5335632099996</v>
      </c>
      <c r="F1695" s="4">
        <v>7150329.628424</v>
      </c>
    </row>
    <row r="1696" spans="1:6" x14ac:dyDescent="0.3">
      <c r="A1696" s="3" t="s">
        <v>14</v>
      </c>
      <c r="B1696" s="7" t="str">
        <f>VLOOKUP(VALUE(A1696), 'DICIONÁRIO UF'!$A:$B, 2, FALSE)</f>
        <v>Rio Grande do Norte</v>
      </c>
      <c r="C1696" s="3">
        <v>59000</v>
      </c>
      <c r="D1696" s="5" t="str">
        <f>VLOOKUP(C1696, 'DICIONÁRIO CNAES'!$A:$B, 2, FALSE)</f>
        <v>Atividades cinematográficas, produção de vídeos e de programas de televisão, gravação de som e de música</v>
      </c>
      <c r="E1696" s="4">
        <v>684.35377384999993</v>
      </c>
      <c r="F1696" s="4">
        <v>1194865.7342600001</v>
      </c>
    </row>
    <row r="1697" spans="1:6" x14ac:dyDescent="0.3">
      <c r="A1697" s="3" t="s">
        <v>14</v>
      </c>
      <c r="B1697" s="7" t="str">
        <f>VLOOKUP(VALUE(A1697), 'DICIONÁRIO UF'!$A:$B, 2, FALSE)</f>
        <v>Rio Grande do Norte</v>
      </c>
      <c r="C1697" s="3">
        <v>60001</v>
      </c>
      <c r="D1697" s="5" t="str">
        <f>VLOOKUP(C1697, 'DICIONÁRIO CNAES'!$A:$B, 2, FALSE)</f>
        <v>Atividades de rádio</v>
      </c>
      <c r="E1697" s="4">
        <v>710.04578663000007</v>
      </c>
      <c r="F1697" s="4">
        <v>684372.52946200001</v>
      </c>
    </row>
    <row r="1698" spans="1:6" x14ac:dyDescent="0.3">
      <c r="A1698" s="3" t="s">
        <v>14</v>
      </c>
      <c r="B1698" s="7" t="str">
        <f>VLOOKUP(VALUE(A1698), 'DICIONÁRIO UF'!$A:$B, 2, FALSE)</f>
        <v>Rio Grande do Norte</v>
      </c>
      <c r="C1698" s="3">
        <v>60002</v>
      </c>
      <c r="D1698" s="5" t="str">
        <f>VLOOKUP(C1698, 'DICIONÁRIO CNAES'!$A:$B, 2, FALSE)</f>
        <v>Atividades de televisão</v>
      </c>
      <c r="E1698" s="4">
        <v>1132.69217007</v>
      </c>
      <c r="F1698" s="4">
        <v>1699038.255105</v>
      </c>
    </row>
    <row r="1699" spans="1:6" x14ac:dyDescent="0.3">
      <c r="A1699" s="3" t="s">
        <v>14</v>
      </c>
      <c r="B1699" s="7" t="str">
        <f>VLOOKUP(VALUE(A1699), 'DICIONÁRIO UF'!$A:$B, 2, FALSE)</f>
        <v>Rio Grande do Norte</v>
      </c>
      <c r="C1699" s="3">
        <v>61000</v>
      </c>
      <c r="D1699" s="5" t="str">
        <f>VLOOKUP(C1699, 'DICIONÁRIO CNAES'!$A:$B, 2, FALSE)</f>
        <v>Telecomunicações</v>
      </c>
      <c r="E1699" s="4">
        <v>5925.6256973299996</v>
      </c>
      <c r="F1699" s="4">
        <v>8447350.6956390198</v>
      </c>
    </row>
    <row r="1700" spans="1:6" x14ac:dyDescent="0.3">
      <c r="A1700" s="3" t="s">
        <v>14</v>
      </c>
      <c r="B1700" s="7" t="str">
        <f>VLOOKUP(VALUE(A1700), 'DICIONÁRIO UF'!$A:$B, 2, FALSE)</f>
        <v>Rio Grande do Norte</v>
      </c>
      <c r="C1700" s="3">
        <v>62000</v>
      </c>
      <c r="D1700" s="5" t="str">
        <f>VLOOKUP(C1700, 'DICIONÁRIO CNAES'!$A:$B, 2, FALSE)</f>
        <v>Atividades dos serviços de tecnologia da informação</v>
      </c>
      <c r="E1700" s="4">
        <v>2192.8598958100001</v>
      </c>
      <c r="F1700" s="4">
        <v>11285639.160883499</v>
      </c>
    </row>
    <row r="1701" spans="1:6" x14ac:dyDescent="0.3">
      <c r="A1701" s="3" t="s">
        <v>14</v>
      </c>
      <c r="B1701" s="7" t="str">
        <f>VLOOKUP(VALUE(A1701), 'DICIONÁRIO UF'!$A:$B, 2, FALSE)</f>
        <v>Rio Grande do Norte</v>
      </c>
      <c r="C1701" s="3">
        <v>64000</v>
      </c>
      <c r="D1701" s="5" t="str">
        <f>VLOOKUP(C1701, 'DICIONÁRIO CNAES'!$A:$B, 2, FALSE)</f>
        <v>Serviços financeiros</v>
      </c>
      <c r="E1701" s="4">
        <v>5560.0883580600002</v>
      </c>
      <c r="F1701" s="4">
        <v>71581045.090789795</v>
      </c>
    </row>
    <row r="1702" spans="1:6" x14ac:dyDescent="0.3">
      <c r="A1702" s="3" t="s">
        <v>14</v>
      </c>
      <c r="B1702" s="7" t="str">
        <f>VLOOKUP(VALUE(A1702), 'DICIONÁRIO UF'!$A:$B, 2, FALSE)</f>
        <v>Rio Grande do Norte</v>
      </c>
      <c r="C1702" s="3">
        <v>65000</v>
      </c>
      <c r="D1702" s="5" t="str">
        <f>VLOOKUP(C1702, 'DICIONÁRIO CNAES'!$A:$B, 2, FALSE)</f>
        <v>Seguros e previdência privada</v>
      </c>
      <c r="E1702" s="4">
        <v>1754.7767850600001</v>
      </c>
      <c r="F1702" s="4">
        <v>3163457.9139299998</v>
      </c>
    </row>
    <row r="1703" spans="1:6" x14ac:dyDescent="0.3">
      <c r="A1703" s="3" t="s">
        <v>14</v>
      </c>
      <c r="B1703" s="7" t="str">
        <f>VLOOKUP(VALUE(A1703), 'DICIONÁRIO UF'!$A:$B, 2, FALSE)</f>
        <v>Rio Grande do Norte</v>
      </c>
      <c r="C1703" s="3">
        <v>66001</v>
      </c>
      <c r="D1703" s="5" t="str">
        <f>VLOOKUP(C1703, 'DICIONÁRIO CNAES'!$A:$B, 2, FALSE)</f>
        <v>Atividades auxiliares dos serviços financeiros</v>
      </c>
      <c r="E1703" s="4">
        <v>139.41527539000001</v>
      </c>
      <c r="F1703" s="4">
        <v>487953.463865</v>
      </c>
    </row>
    <row r="1704" spans="1:6" x14ac:dyDescent="0.3">
      <c r="A1704" s="3" t="s">
        <v>14</v>
      </c>
      <c r="B1704" s="7" t="str">
        <f>VLOOKUP(VALUE(A1704), 'DICIONÁRIO UF'!$A:$B, 2, FALSE)</f>
        <v>Rio Grande do Norte</v>
      </c>
      <c r="C1704" s="3">
        <v>66002</v>
      </c>
      <c r="D1704" s="5" t="str">
        <f>VLOOKUP(C1704, 'DICIONÁRIO CNAES'!$A:$B, 2, FALSE)</f>
        <v>Atividades auxiliares dos seguros, da previdência complementar e dos planos de saúde</v>
      </c>
      <c r="E1704" s="4">
        <v>1127.7099201000001</v>
      </c>
      <c r="F1704" s="4">
        <v>1240480.9121099999</v>
      </c>
    </row>
    <row r="1705" spans="1:6" x14ac:dyDescent="0.3">
      <c r="A1705" s="3" t="s">
        <v>14</v>
      </c>
      <c r="B1705" s="7" t="str">
        <f>VLOOKUP(VALUE(A1705), 'DICIONÁRIO UF'!$A:$B, 2, FALSE)</f>
        <v>Rio Grande do Norte</v>
      </c>
      <c r="C1705" s="3">
        <v>68000</v>
      </c>
      <c r="D1705" s="5" t="str">
        <f>VLOOKUP(C1705, 'DICIONÁRIO CNAES'!$A:$B, 2, FALSE)</f>
        <v>Atividades imobiliárias</v>
      </c>
      <c r="E1705" s="4">
        <v>2389.6862081600002</v>
      </c>
      <c r="F1705" s="4">
        <v>17687081.878187001</v>
      </c>
    </row>
    <row r="1706" spans="1:6" x14ac:dyDescent="0.3">
      <c r="A1706" s="3" t="s">
        <v>14</v>
      </c>
      <c r="B1706" s="7" t="str">
        <f>VLOOKUP(VALUE(A1706), 'DICIONÁRIO UF'!$A:$B, 2, FALSE)</f>
        <v>Rio Grande do Norte</v>
      </c>
      <c r="C1706" s="3">
        <v>69000</v>
      </c>
      <c r="D1706" s="5" t="str">
        <f>VLOOKUP(C1706, 'DICIONÁRIO CNAES'!$A:$B, 2, FALSE)</f>
        <v xml:space="preserve">Atividades jurídicas, de contabilidade e de auditoria </v>
      </c>
      <c r="E1706" s="4">
        <v>14380.906478819999</v>
      </c>
      <c r="F1706" s="4">
        <v>50872012.243307002</v>
      </c>
    </row>
    <row r="1707" spans="1:6" x14ac:dyDescent="0.3">
      <c r="A1707" s="3" t="s">
        <v>14</v>
      </c>
      <c r="B1707" s="7" t="str">
        <f>VLOOKUP(VALUE(A1707), 'DICIONÁRIO UF'!$A:$B, 2, FALSE)</f>
        <v>Rio Grande do Norte</v>
      </c>
      <c r="C1707" s="3">
        <v>70000</v>
      </c>
      <c r="D1707" s="5" t="str">
        <f>VLOOKUP(C1707, 'DICIONÁRIO CNAES'!$A:$B, 2, FALSE)</f>
        <v>Atividades de consultoria em gestão empresarial</v>
      </c>
      <c r="E1707" s="4">
        <v>2008.4243324700001</v>
      </c>
      <c r="F1707" s="4">
        <v>30964549.227258001</v>
      </c>
    </row>
    <row r="1708" spans="1:6" x14ac:dyDescent="0.3">
      <c r="A1708" s="3" t="s">
        <v>14</v>
      </c>
      <c r="B1708" s="7" t="str">
        <f>VLOOKUP(VALUE(A1708), 'DICIONÁRIO UF'!$A:$B, 2, FALSE)</f>
        <v>Rio Grande do Norte</v>
      </c>
      <c r="C1708" s="3">
        <v>71000</v>
      </c>
      <c r="D1708" s="5" t="str">
        <f>VLOOKUP(C1708, 'DICIONÁRIO CNAES'!$A:$B, 2, FALSE)</f>
        <v>Serviços de arquitetura e engenharia e atividades técnicas relacionadas; Testes e análises técnicas</v>
      </c>
      <c r="E1708" s="4">
        <v>3957.8380474599999</v>
      </c>
      <c r="F1708" s="4">
        <v>9544449.4007210005</v>
      </c>
    </row>
    <row r="1709" spans="1:6" x14ac:dyDescent="0.3">
      <c r="A1709" s="3" t="s">
        <v>14</v>
      </c>
      <c r="B1709" s="7" t="str">
        <f>VLOOKUP(VALUE(A1709), 'DICIONÁRIO UF'!$A:$B, 2, FALSE)</f>
        <v>Rio Grande do Norte</v>
      </c>
      <c r="C1709" s="3">
        <v>73010</v>
      </c>
      <c r="D1709" s="5" t="str">
        <f>VLOOKUP(C1709, 'DICIONÁRIO CNAES'!$A:$B, 2, FALSE)</f>
        <v>Publicidade</v>
      </c>
      <c r="E1709" s="4">
        <v>2238.5523012399999</v>
      </c>
      <c r="F1709" s="4">
        <v>12666775.046731999</v>
      </c>
    </row>
    <row r="1710" spans="1:6" x14ac:dyDescent="0.3">
      <c r="A1710" s="3" t="s">
        <v>14</v>
      </c>
      <c r="B1710" s="7" t="str">
        <f>VLOOKUP(VALUE(A1710), 'DICIONÁRIO UF'!$A:$B, 2, FALSE)</f>
        <v>Rio Grande do Norte</v>
      </c>
      <c r="C1710" s="3">
        <v>74000</v>
      </c>
      <c r="D1710" s="5" t="str">
        <f>VLOOKUP(C1710, 'DICIONÁRIO CNAES'!$A:$B, 2, FALSE)</f>
        <v>Outras atividades profissionais, científicas e técnicas não especificadas anteriormente</v>
      </c>
      <c r="E1710" s="4">
        <v>4923.3680216399998</v>
      </c>
      <c r="F1710" s="4">
        <v>15527347.111796999</v>
      </c>
    </row>
    <row r="1711" spans="1:6" x14ac:dyDescent="0.3">
      <c r="A1711" s="3" t="s">
        <v>14</v>
      </c>
      <c r="B1711" s="7" t="str">
        <f>VLOOKUP(VALUE(A1711), 'DICIONÁRIO UF'!$A:$B, 2, FALSE)</f>
        <v>Rio Grande do Norte</v>
      </c>
      <c r="C1711" s="3">
        <v>75000</v>
      </c>
      <c r="D1711" s="5" t="str">
        <f>VLOOKUP(C1711, 'DICIONÁRIO CNAES'!$A:$B, 2, FALSE)</f>
        <v>Atividades veterinárias</v>
      </c>
      <c r="E1711" s="4">
        <v>1727.6260268399999</v>
      </c>
      <c r="F1711" s="4">
        <v>2498766.3903310001</v>
      </c>
    </row>
    <row r="1712" spans="1:6" x14ac:dyDescent="0.3">
      <c r="A1712" s="3" t="s">
        <v>14</v>
      </c>
      <c r="B1712" s="7" t="str">
        <f>VLOOKUP(VALUE(A1712), 'DICIONÁRIO UF'!$A:$B, 2, FALSE)</f>
        <v>Rio Grande do Norte</v>
      </c>
      <c r="C1712" s="3">
        <v>77020</v>
      </c>
      <c r="D1712" s="5" t="str">
        <f>VLOOKUP(C1712, 'DICIONÁRIO CNAES'!$A:$B, 2, FALSE)</f>
        <v>Aluguel de meios de transportes, maquinas e equipamentos sem operador e gestão de ativos intangíveis não financeiros</v>
      </c>
      <c r="E1712" s="4">
        <v>1092.5282684700001</v>
      </c>
      <c r="F1712" s="4">
        <v>2891580.3645500001</v>
      </c>
    </row>
    <row r="1713" spans="1:6" x14ac:dyDescent="0.3">
      <c r="A1713" s="3" t="s">
        <v>14</v>
      </c>
      <c r="B1713" s="7" t="str">
        <f>VLOOKUP(VALUE(A1713), 'DICIONÁRIO UF'!$A:$B, 2, FALSE)</f>
        <v>Rio Grande do Norte</v>
      </c>
      <c r="C1713" s="3">
        <v>78000</v>
      </c>
      <c r="D1713" s="5" t="str">
        <f>VLOOKUP(C1713, 'DICIONÁRIO CNAES'!$A:$B, 2, FALSE)</f>
        <v>Seleção, agenciamento e locação de mão-de-obra</v>
      </c>
      <c r="E1713" s="4">
        <v>16586.303318359998</v>
      </c>
      <c r="F1713" s="4">
        <v>23665927.250721499</v>
      </c>
    </row>
    <row r="1714" spans="1:6" x14ac:dyDescent="0.3">
      <c r="A1714" s="3" t="s">
        <v>14</v>
      </c>
      <c r="B1714" s="7" t="str">
        <f>VLOOKUP(VALUE(A1714), 'DICIONÁRIO UF'!$A:$B, 2, FALSE)</f>
        <v>Rio Grande do Norte</v>
      </c>
      <c r="C1714" s="3">
        <v>79000</v>
      </c>
      <c r="D1714" s="5" t="str">
        <f>VLOOKUP(C1714, 'DICIONÁRIO CNAES'!$A:$B, 2, FALSE)</f>
        <v>Agências de viagens, operadores turísticos e serviços de reservas</v>
      </c>
      <c r="E1714" s="4">
        <v>6646.4537849300004</v>
      </c>
      <c r="F1714" s="4">
        <v>13066420.068037</v>
      </c>
    </row>
    <row r="1715" spans="1:6" x14ac:dyDescent="0.3">
      <c r="A1715" s="3" t="s">
        <v>14</v>
      </c>
      <c r="B1715" s="7" t="str">
        <f>VLOOKUP(VALUE(A1715), 'DICIONÁRIO UF'!$A:$B, 2, FALSE)</f>
        <v>Rio Grande do Norte</v>
      </c>
      <c r="C1715" s="3">
        <v>80000</v>
      </c>
      <c r="D1715" s="5" t="str">
        <f>VLOOKUP(C1715, 'DICIONÁRIO CNAES'!$A:$B, 2, FALSE)</f>
        <v>Atividades de vigilância, segurança, transporte de valores e investigação</v>
      </c>
      <c r="E1715" s="4">
        <v>12287.17565427</v>
      </c>
      <c r="F1715" s="4">
        <v>16607528.125971271</v>
      </c>
    </row>
    <row r="1716" spans="1:6" x14ac:dyDescent="0.3">
      <c r="A1716" s="3" t="s">
        <v>14</v>
      </c>
      <c r="B1716" s="7" t="str">
        <f>VLOOKUP(VALUE(A1716), 'DICIONÁRIO UF'!$A:$B, 2, FALSE)</f>
        <v>Rio Grande do Norte</v>
      </c>
      <c r="C1716" s="3">
        <v>81011</v>
      </c>
      <c r="D1716" s="5" t="str">
        <f>VLOOKUP(C1716, 'DICIONÁRIO CNAES'!$A:$B, 2, FALSE)</f>
        <v>Serviços de limpeza e de apoio a edifícios, exceto condomínios prediais</v>
      </c>
      <c r="E1716" s="4">
        <v>14805.50425274</v>
      </c>
      <c r="F1716" s="4">
        <v>15510318.002365001</v>
      </c>
    </row>
    <row r="1717" spans="1:6" x14ac:dyDescent="0.3">
      <c r="A1717" s="3" t="s">
        <v>14</v>
      </c>
      <c r="B1717" s="7" t="str">
        <f>VLOOKUP(VALUE(A1717), 'DICIONÁRIO UF'!$A:$B, 2, FALSE)</f>
        <v>Rio Grande do Norte</v>
      </c>
      <c r="C1717" s="3">
        <v>81012</v>
      </c>
      <c r="D1717" s="5" t="str">
        <f>VLOOKUP(C1717, 'DICIONÁRIO CNAES'!$A:$B, 2, FALSE)</f>
        <v>Condomínios prediais</v>
      </c>
      <c r="E1717" s="4">
        <v>5339.9707450999986</v>
      </c>
      <c r="F1717" s="4">
        <v>6555897.7083556503</v>
      </c>
    </row>
    <row r="1718" spans="1:6" x14ac:dyDescent="0.3">
      <c r="A1718" s="3" t="s">
        <v>14</v>
      </c>
      <c r="B1718" s="7" t="str">
        <f>VLOOKUP(VALUE(A1718), 'DICIONÁRIO UF'!$A:$B, 2, FALSE)</f>
        <v>Rio Grande do Norte</v>
      </c>
      <c r="C1718" s="3">
        <v>81020</v>
      </c>
      <c r="D1718" s="5" t="str">
        <f>VLOOKUP(C1718, 'DICIONÁRIO CNAES'!$A:$B, 2, FALSE)</f>
        <v>Atividades paisagísticas</v>
      </c>
      <c r="E1718" s="4">
        <v>286.65537002999997</v>
      </c>
      <c r="F1718" s="4">
        <v>128994.91651349999</v>
      </c>
    </row>
    <row r="1719" spans="1:6" x14ac:dyDescent="0.3">
      <c r="A1719" s="3" t="s">
        <v>14</v>
      </c>
      <c r="B1719" s="7" t="str">
        <f>VLOOKUP(VALUE(A1719), 'DICIONÁRIO UF'!$A:$B, 2, FALSE)</f>
        <v>Rio Grande do Norte</v>
      </c>
      <c r="C1719" s="3">
        <v>82001</v>
      </c>
      <c r="D1719" s="5" t="str">
        <f>VLOOKUP(C1719, 'DICIONÁRIO CNAES'!$A:$B, 2, FALSE)</f>
        <v>Serviços de escritório e apoio administrativo</v>
      </c>
      <c r="E1719" s="4">
        <v>4562.8074266599997</v>
      </c>
      <c r="F1719" s="4">
        <v>1702535.479024</v>
      </c>
    </row>
    <row r="1720" spans="1:6" x14ac:dyDescent="0.3">
      <c r="A1720" s="3" t="s">
        <v>14</v>
      </c>
      <c r="B1720" s="7" t="str">
        <f>VLOOKUP(VALUE(A1720), 'DICIONÁRIO UF'!$A:$B, 2, FALSE)</f>
        <v>Rio Grande do Norte</v>
      </c>
      <c r="C1720" s="3">
        <v>82002</v>
      </c>
      <c r="D1720" s="5" t="str">
        <f>VLOOKUP(C1720, 'DICIONÁRIO CNAES'!$A:$B, 2, FALSE)</f>
        <v>Atividades de teleatendimento</v>
      </c>
      <c r="E1720" s="4">
        <v>11333.86210676</v>
      </c>
      <c r="F1720" s="4">
        <v>14028920.842192501</v>
      </c>
    </row>
    <row r="1721" spans="1:6" x14ac:dyDescent="0.3">
      <c r="A1721" s="3" t="s">
        <v>14</v>
      </c>
      <c r="B1721" s="7" t="str">
        <f>VLOOKUP(VALUE(A1721), 'DICIONÁRIO UF'!$A:$B, 2, FALSE)</f>
        <v>Rio Grande do Norte</v>
      </c>
      <c r="C1721" s="3">
        <v>82003</v>
      </c>
      <c r="D1721" s="5" t="str">
        <f>VLOOKUP(C1721, 'DICIONÁRIO CNAES'!$A:$B, 2, FALSE)</f>
        <v>Atividades de organização de eventos, exceto culturais e esportivos</v>
      </c>
      <c r="E1721" s="4">
        <v>1050.7938747400001</v>
      </c>
      <c r="F1721" s="4">
        <v>630476.32484400005</v>
      </c>
    </row>
    <row r="1722" spans="1:6" x14ac:dyDescent="0.3">
      <c r="A1722" s="3" t="s">
        <v>14</v>
      </c>
      <c r="B1722" s="7" t="str">
        <f>VLOOKUP(VALUE(A1722), 'DICIONÁRIO UF'!$A:$B, 2, FALSE)</f>
        <v>Rio Grande do Norte</v>
      </c>
      <c r="C1722" s="3">
        <v>82009</v>
      </c>
      <c r="D1722" s="5" t="str">
        <f>VLOOKUP(C1722, 'DICIONÁRIO CNAES'!$A:$B, 2, FALSE)</f>
        <v>Outras atividades de serviços prestados principalmente às empresas</v>
      </c>
      <c r="E1722" s="4">
        <v>716.71348301</v>
      </c>
      <c r="F1722" s="4">
        <v>3093215.1405799999</v>
      </c>
    </row>
    <row r="1723" spans="1:6" x14ac:dyDescent="0.3">
      <c r="A1723" s="3" t="s">
        <v>14</v>
      </c>
      <c r="B1723" s="7" t="str">
        <f>VLOOKUP(VALUE(A1723), 'DICIONÁRIO UF'!$A:$B, 2, FALSE)</f>
        <v>Rio Grande do Norte</v>
      </c>
      <c r="C1723" s="3">
        <v>84011</v>
      </c>
      <c r="D1723" s="5" t="str">
        <f>VLOOKUP(C1723, 'DICIONÁRIO CNAES'!$A:$B, 2, FALSE)</f>
        <v>Administração publica e regulação da política econômica e social - Federal</v>
      </c>
      <c r="E1723" s="4">
        <v>2706.3437509999999</v>
      </c>
      <c r="F1723" s="4">
        <v>25150599.983502999</v>
      </c>
    </row>
    <row r="1724" spans="1:6" x14ac:dyDescent="0.3">
      <c r="A1724" s="3" t="s">
        <v>14</v>
      </c>
      <c r="B1724" s="7" t="str">
        <f>VLOOKUP(VALUE(A1724), 'DICIONÁRIO UF'!$A:$B, 2, FALSE)</f>
        <v>Rio Grande do Norte</v>
      </c>
      <c r="C1724" s="3">
        <v>84012</v>
      </c>
      <c r="D1724" s="5" t="str">
        <f>VLOOKUP(C1724, 'DICIONÁRIO CNAES'!$A:$B, 2, FALSE)</f>
        <v>Administração publica e regulação da política econômica e social - Estadual</v>
      </c>
      <c r="E1724" s="4">
        <v>13471.136482690001</v>
      </c>
      <c r="F1724" s="4">
        <v>53542576.683498003</v>
      </c>
    </row>
    <row r="1725" spans="1:6" x14ac:dyDescent="0.3">
      <c r="A1725" s="3" t="s">
        <v>14</v>
      </c>
      <c r="B1725" s="7" t="str">
        <f>VLOOKUP(VALUE(A1725), 'DICIONÁRIO UF'!$A:$B, 2, FALSE)</f>
        <v>Rio Grande do Norte</v>
      </c>
      <c r="C1725" s="3">
        <v>84013</v>
      </c>
      <c r="D1725" s="5" t="str">
        <f>VLOOKUP(C1725, 'DICIONÁRIO CNAES'!$A:$B, 2, FALSE)</f>
        <v>Administração publica e regulação da política econômica e social - Municipal</v>
      </c>
      <c r="E1725" s="4">
        <v>54286.490446409996</v>
      </c>
      <c r="F1725" s="4">
        <v>100988277.6833147</v>
      </c>
    </row>
    <row r="1726" spans="1:6" x14ac:dyDescent="0.3">
      <c r="A1726" s="3" t="s">
        <v>14</v>
      </c>
      <c r="B1726" s="7" t="str">
        <f>VLOOKUP(VALUE(A1726), 'DICIONÁRIO UF'!$A:$B, 2, FALSE)</f>
        <v>Rio Grande do Norte</v>
      </c>
      <c r="C1726" s="3">
        <v>84014</v>
      </c>
      <c r="D1726" s="5" t="str">
        <f>VLOOKUP(C1726, 'DICIONÁRIO CNAES'!$A:$B, 2, FALSE)</f>
        <v>Defesa</v>
      </c>
      <c r="E1726" s="4">
        <v>5586.2292283300003</v>
      </c>
      <c r="F1726" s="4">
        <v>21828451.981233999</v>
      </c>
    </row>
    <row r="1727" spans="1:6" x14ac:dyDescent="0.3">
      <c r="A1727" s="3" t="s">
        <v>14</v>
      </c>
      <c r="B1727" s="7" t="str">
        <f>VLOOKUP(VALUE(A1727), 'DICIONÁRIO UF'!$A:$B, 2, FALSE)</f>
        <v>Rio Grande do Norte</v>
      </c>
      <c r="C1727" s="3">
        <v>84015</v>
      </c>
      <c r="D1727" s="5" t="str">
        <f>VLOOKUP(C1727, 'DICIONÁRIO CNAES'!$A:$B, 2, FALSE)</f>
        <v>Outros serviços coletivos prestados pela administração pública - Federal</v>
      </c>
      <c r="E1727" s="4">
        <v>716.34048789999997</v>
      </c>
      <c r="F1727" s="4">
        <v>17908512.197500002</v>
      </c>
    </row>
    <row r="1728" spans="1:6" x14ac:dyDescent="0.3">
      <c r="A1728" s="3" t="s">
        <v>14</v>
      </c>
      <c r="B1728" s="7" t="str">
        <f>VLOOKUP(VALUE(A1728), 'DICIONÁRIO UF'!$A:$B, 2, FALSE)</f>
        <v>Rio Grande do Norte</v>
      </c>
      <c r="C1728" s="3">
        <v>84016</v>
      </c>
      <c r="D1728" s="5" t="str">
        <f>VLOOKUP(C1728, 'DICIONÁRIO CNAES'!$A:$B, 2, FALSE)</f>
        <v>Outros serviços coletivos prestados pela administração pública - Estadual</v>
      </c>
      <c r="E1728" s="4">
        <v>9370.7851628799999</v>
      </c>
      <c r="F1728" s="4">
        <v>69517940.21061483</v>
      </c>
    </row>
    <row r="1729" spans="1:6" x14ac:dyDescent="0.3">
      <c r="A1729" s="3" t="s">
        <v>14</v>
      </c>
      <c r="B1729" s="7" t="str">
        <f>VLOOKUP(VALUE(A1729), 'DICIONÁRIO UF'!$A:$B, 2, FALSE)</f>
        <v>Rio Grande do Norte</v>
      </c>
      <c r="C1729" s="3">
        <v>84017</v>
      </c>
      <c r="D1729" s="5" t="str">
        <f>VLOOKUP(C1729, 'DICIONÁRIO CNAES'!$A:$B, 2, FALSE)</f>
        <v>Outros serviços coletivos prestados pela administração pública - Municipal</v>
      </c>
      <c r="E1729" s="4">
        <v>4060.4758895</v>
      </c>
      <c r="F1729" s="4">
        <v>11652594.3450156</v>
      </c>
    </row>
    <row r="1730" spans="1:6" x14ac:dyDescent="0.3">
      <c r="A1730" s="3" t="s">
        <v>14</v>
      </c>
      <c r="B1730" s="7" t="str">
        <f>VLOOKUP(VALUE(A1730), 'DICIONÁRIO UF'!$A:$B, 2, FALSE)</f>
        <v>Rio Grande do Norte</v>
      </c>
      <c r="C1730" s="3">
        <v>84020</v>
      </c>
      <c r="D1730" s="5" t="str">
        <f>VLOOKUP(C1730, 'DICIONÁRIO CNAES'!$A:$B, 2, FALSE)</f>
        <v>Seguridade social obrigatória</v>
      </c>
      <c r="E1730" s="4">
        <v>972.14098928999999</v>
      </c>
      <c r="F1730" s="4">
        <v>1166569.1871480001</v>
      </c>
    </row>
    <row r="1731" spans="1:6" x14ac:dyDescent="0.3">
      <c r="A1731" s="3" t="s">
        <v>14</v>
      </c>
      <c r="B1731" s="7" t="str">
        <f>VLOOKUP(VALUE(A1731), 'DICIONÁRIO UF'!$A:$B, 2, FALSE)</f>
        <v>Rio Grande do Norte</v>
      </c>
      <c r="C1731" s="3">
        <v>85011</v>
      </c>
      <c r="D1731" s="5" t="str">
        <f>VLOOKUP(C1731, 'DICIONÁRIO CNAES'!$A:$B, 2, FALSE)</f>
        <v>Creche</v>
      </c>
      <c r="E1731" s="4">
        <v>5270.6542044799999</v>
      </c>
      <c r="F1731" s="4">
        <v>6998941.8031310001</v>
      </c>
    </row>
    <row r="1732" spans="1:6" x14ac:dyDescent="0.3">
      <c r="A1732" s="3" t="s">
        <v>14</v>
      </c>
      <c r="B1732" s="7" t="str">
        <f>VLOOKUP(VALUE(A1732), 'DICIONÁRIO UF'!$A:$B, 2, FALSE)</f>
        <v>Rio Grande do Norte</v>
      </c>
      <c r="C1732" s="3">
        <v>85012</v>
      </c>
      <c r="D1732" s="5" t="str">
        <f>VLOOKUP(C1732, 'DICIONÁRIO CNAES'!$A:$B, 2, FALSE)</f>
        <v>Pré-escola e ensino fundamental</v>
      </c>
      <c r="E1732" s="4">
        <v>57145.034773879997</v>
      </c>
      <c r="F1732" s="4">
        <v>144769570.07161489</v>
      </c>
    </row>
    <row r="1733" spans="1:6" x14ac:dyDescent="0.3">
      <c r="A1733" s="3" t="s">
        <v>14</v>
      </c>
      <c r="B1733" s="7" t="str">
        <f>VLOOKUP(VALUE(A1733), 'DICIONÁRIO UF'!$A:$B, 2, FALSE)</f>
        <v>Rio Grande do Norte</v>
      </c>
      <c r="C1733" s="3">
        <v>85013</v>
      </c>
      <c r="D1733" s="5" t="str">
        <f>VLOOKUP(C1733, 'DICIONÁRIO CNAES'!$A:$B, 2, FALSE)</f>
        <v>Ensino médio</v>
      </c>
      <c r="E1733" s="4">
        <v>20601.53625392</v>
      </c>
      <c r="F1733" s="4">
        <v>110663714.78247219</v>
      </c>
    </row>
    <row r="1734" spans="1:6" x14ac:dyDescent="0.3">
      <c r="A1734" s="3" t="s">
        <v>14</v>
      </c>
      <c r="B1734" s="7" t="str">
        <f>VLOOKUP(VALUE(A1734), 'DICIONÁRIO UF'!$A:$B, 2, FALSE)</f>
        <v>Rio Grande do Norte</v>
      </c>
      <c r="C1734" s="3">
        <v>85014</v>
      </c>
      <c r="D1734" s="5" t="str">
        <f>VLOOKUP(C1734, 'DICIONÁRIO CNAES'!$A:$B, 2, FALSE)</f>
        <v>Educação superior</v>
      </c>
      <c r="E1734" s="4">
        <v>15539.22969385</v>
      </c>
      <c r="F1734" s="4">
        <v>64192620.335769601</v>
      </c>
    </row>
    <row r="1735" spans="1:6" x14ac:dyDescent="0.3">
      <c r="A1735" s="3" t="s">
        <v>14</v>
      </c>
      <c r="B1735" s="7" t="str">
        <f>VLOOKUP(VALUE(A1735), 'DICIONÁRIO UF'!$A:$B, 2, FALSE)</f>
        <v>Rio Grande do Norte</v>
      </c>
      <c r="C1735" s="3">
        <v>85021</v>
      </c>
      <c r="D1735" s="5" t="str">
        <f>VLOOKUP(C1735, 'DICIONÁRIO CNAES'!$A:$B, 2, FALSE)</f>
        <v>Serviços auxiliares à educação</v>
      </c>
      <c r="E1735" s="4">
        <v>202.79711542000001</v>
      </c>
      <c r="F1735" s="4">
        <v>223076.82696199999</v>
      </c>
    </row>
    <row r="1736" spans="1:6" x14ac:dyDescent="0.3">
      <c r="A1736" s="3" t="s">
        <v>14</v>
      </c>
      <c r="B1736" s="7" t="str">
        <f>VLOOKUP(VALUE(A1736), 'DICIONÁRIO UF'!$A:$B, 2, FALSE)</f>
        <v>Rio Grande do Norte</v>
      </c>
      <c r="C1736" s="3">
        <v>85029</v>
      </c>
      <c r="D1736" s="5" t="str">
        <f>VLOOKUP(C1736, 'DICIONÁRIO CNAES'!$A:$B, 2, FALSE)</f>
        <v>Outras atividades de ensino</v>
      </c>
      <c r="E1736" s="4">
        <v>5479.4705849800002</v>
      </c>
      <c r="F1736" s="4">
        <v>9284933.3257778008</v>
      </c>
    </row>
    <row r="1737" spans="1:6" x14ac:dyDescent="0.3">
      <c r="A1737" s="3" t="s">
        <v>14</v>
      </c>
      <c r="B1737" s="7" t="str">
        <f>VLOOKUP(VALUE(A1737), 'DICIONÁRIO UF'!$A:$B, 2, FALSE)</f>
        <v>Rio Grande do Norte</v>
      </c>
      <c r="C1737" s="3">
        <v>86001</v>
      </c>
      <c r="D1737" s="5" t="str">
        <f>VLOOKUP(C1737, 'DICIONÁRIO CNAES'!$A:$B, 2, FALSE)</f>
        <v>Atividades de atendimento hospitalar</v>
      </c>
      <c r="E1737" s="4">
        <v>26098.147014760001</v>
      </c>
      <c r="F1737" s="4">
        <v>94403172.569900393</v>
      </c>
    </row>
    <row r="1738" spans="1:6" x14ac:dyDescent="0.3">
      <c r="A1738" s="3" t="s">
        <v>14</v>
      </c>
      <c r="B1738" s="7" t="str">
        <f>VLOOKUP(VALUE(A1738), 'DICIONÁRIO UF'!$A:$B, 2, FALSE)</f>
        <v>Rio Grande do Norte</v>
      </c>
      <c r="C1738" s="3">
        <v>86002</v>
      </c>
      <c r="D1738" s="5" t="str">
        <f>VLOOKUP(C1738, 'DICIONÁRIO CNAES'!$A:$B, 2, FALSE)</f>
        <v>Atividades de atenção ambulatorial executadas por médicos e odontólogos</v>
      </c>
      <c r="E1738" s="4">
        <v>30196.432579200002</v>
      </c>
      <c r="F1738" s="4">
        <v>70083881.952140704</v>
      </c>
    </row>
    <row r="1739" spans="1:6" x14ac:dyDescent="0.3">
      <c r="A1739" s="3" t="s">
        <v>14</v>
      </c>
      <c r="B1739" s="7" t="str">
        <f>VLOOKUP(VALUE(A1739), 'DICIONÁRIO UF'!$A:$B, 2, FALSE)</f>
        <v>Rio Grande do Norte</v>
      </c>
      <c r="C1739" s="3">
        <v>86003</v>
      </c>
      <c r="D1739" s="5" t="str">
        <f>VLOOKUP(C1739, 'DICIONÁRIO CNAES'!$A:$B, 2, FALSE)</f>
        <v>Atividades de serviços de complementação diagnóstica e terapêutica</v>
      </c>
      <c r="E1739" s="4">
        <v>3954.24850341</v>
      </c>
      <c r="F1739" s="4">
        <v>4042547.5768191</v>
      </c>
    </row>
    <row r="1740" spans="1:6" x14ac:dyDescent="0.3">
      <c r="A1740" s="3" t="s">
        <v>14</v>
      </c>
      <c r="B1740" s="7" t="str">
        <f>VLOOKUP(VALUE(A1740), 'DICIONÁRIO UF'!$A:$B, 2, FALSE)</f>
        <v>Rio Grande do Norte</v>
      </c>
      <c r="C1740" s="3">
        <v>86004</v>
      </c>
      <c r="D1740" s="5" t="str">
        <f>VLOOKUP(C1740, 'DICIONÁRIO CNAES'!$A:$B, 2, FALSE)</f>
        <v>Atividades de profissionais da área de saúde, exceto médicos e odontólogos</v>
      </c>
      <c r="E1740" s="4">
        <v>6970.5618661199996</v>
      </c>
      <c r="F1740" s="4">
        <v>14232884.062982</v>
      </c>
    </row>
    <row r="1741" spans="1:6" x14ac:dyDescent="0.3">
      <c r="A1741" s="3" t="s">
        <v>14</v>
      </c>
      <c r="B1741" s="7" t="str">
        <f>VLOOKUP(VALUE(A1741), 'DICIONÁRIO UF'!$A:$B, 2, FALSE)</f>
        <v>Rio Grande do Norte</v>
      </c>
      <c r="C1741" s="3">
        <v>86009</v>
      </c>
      <c r="D1741" s="5" t="str">
        <f>VLOOKUP(C1741, 'DICIONÁRIO CNAES'!$A:$B, 2, FALSE)</f>
        <v>Atividades de atenção à saúde humana não especificadas anteriormente</v>
      </c>
      <c r="E1741" s="4">
        <v>1647.74964516</v>
      </c>
      <c r="F1741" s="4">
        <v>5486807.0175360003</v>
      </c>
    </row>
    <row r="1742" spans="1:6" x14ac:dyDescent="0.3">
      <c r="A1742" s="3" t="s">
        <v>14</v>
      </c>
      <c r="B1742" s="7" t="str">
        <f>VLOOKUP(VALUE(A1742), 'DICIONÁRIO UF'!$A:$B, 2, FALSE)</f>
        <v>Rio Grande do Norte</v>
      </c>
      <c r="C1742" s="3">
        <v>87000</v>
      </c>
      <c r="D1742" s="5" t="str">
        <f>VLOOKUP(C1742, 'DICIONÁRIO CNAES'!$A:$B, 2, FALSE)</f>
        <v>Atividades de assistência à saude humana integradas com assistencia social, inclusive prestadas em residencias</v>
      </c>
      <c r="E1742" s="4">
        <v>2146.7966838000002</v>
      </c>
      <c r="F1742" s="4">
        <v>2533385.9705750002</v>
      </c>
    </row>
    <row r="1743" spans="1:6" x14ac:dyDescent="0.3">
      <c r="A1743" s="3" t="s">
        <v>14</v>
      </c>
      <c r="B1743" s="7" t="str">
        <f>VLOOKUP(VALUE(A1743), 'DICIONÁRIO UF'!$A:$B, 2, FALSE)</f>
        <v>Rio Grande do Norte</v>
      </c>
      <c r="C1743" s="3">
        <v>90000</v>
      </c>
      <c r="D1743" s="5" t="str">
        <f>VLOOKUP(C1743, 'DICIONÁRIO CNAES'!$A:$B, 2, FALSE)</f>
        <v>Atividades artísticas, criativas e de espetáculos</v>
      </c>
      <c r="E1743" s="4">
        <v>4253.1281061400005</v>
      </c>
      <c r="F1743" s="4">
        <v>6987517.9342820002</v>
      </c>
    </row>
    <row r="1744" spans="1:6" x14ac:dyDescent="0.3">
      <c r="A1744" s="3" t="s">
        <v>14</v>
      </c>
      <c r="B1744" s="7" t="str">
        <f>VLOOKUP(VALUE(A1744), 'DICIONÁRIO UF'!$A:$B, 2, FALSE)</f>
        <v>Rio Grande do Norte</v>
      </c>
      <c r="C1744" s="3">
        <v>91000</v>
      </c>
      <c r="D1744" s="5" t="str">
        <f>VLOOKUP(C1744, 'DICIONÁRIO CNAES'!$A:$B, 2, FALSE)</f>
        <v>Atividades ligadas ao patrimônio cultural e ambiental</v>
      </c>
      <c r="E1744" s="4">
        <v>216.38047666</v>
      </c>
      <c r="F1744" s="4">
        <v>605865.33464799996</v>
      </c>
    </row>
    <row r="1745" spans="1:6" x14ac:dyDescent="0.3">
      <c r="A1745" s="3" t="s">
        <v>14</v>
      </c>
      <c r="B1745" s="7" t="str">
        <f>VLOOKUP(VALUE(A1745), 'DICIONÁRIO UF'!$A:$B, 2, FALSE)</f>
        <v>Rio Grande do Norte</v>
      </c>
      <c r="C1745" s="3">
        <v>92000</v>
      </c>
      <c r="D1745" s="5" t="str">
        <f>VLOOKUP(C1745, 'DICIONÁRIO CNAES'!$A:$B, 2, FALSE)</f>
        <v>Atividades de exploração de jogos de azar e apostas</v>
      </c>
      <c r="E1745" s="4">
        <v>2926.5187501300002</v>
      </c>
      <c r="F1745" s="4">
        <v>1700414.3258130001</v>
      </c>
    </row>
    <row r="1746" spans="1:6" x14ac:dyDescent="0.3">
      <c r="A1746" s="3" t="s">
        <v>14</v>
      </c>
      <c r="B1746" s="7" t="str">
        <f>VLOOKUP(VALUE(A1746), 'DICIONÁRIO UF'!$A:$B, 2, FALSE)</f>
        <v>Rio Grande do Norte</v>
      </c>
      <c r="C1746" s="3">
        <v>93011</v>
      </c>
      <c r="D1746" s="5" t="str">
        <f>VLOOKUP(C1746, 'DICIONÁRIO CNAES'!$A:$B, 2, FALSE)</f>
        <v>Atividades esportivas</v>
      </c>
      <c r="E1746" s="4">
        <v>1307.4637658500001</v>
      </c>
      <c r="F1746" s="4">
        <v>1777583.8186153001</v>
      </c>
    </row>
    <row r="1747" spans="1:6" x14ac:dyDescent="0.3">
      <c r="A1747" s="3" t="s">
        <v>14</v>
      </c>
      <c r="B1747" s="7" t="str">
        <f>VLOOKUP(VALUE(A1747), 'DICIONÁRIO UF'!$A:$B, 2, FALSE)</f>
        <v>Rio Grande do Norte</v>
      </c>
      <c r="C1747" s="3">
        <v>93012</v>
      </c>
      <c r="D1747" s="5" t="str">
        <f>VLOOKUP(C1747, 'DICIONÁRIO CNAES'!$A:$B, 2, FALSE)</f>
        <v>Atividades de condicionamento físico</v>
      </c>
      <c r="E1747" s="4">
        <v>6133.7766940599986</v>
      </c>
      <c r="F1747" s="4">
        <v>8878101.6238912493</v>
      </c>
    </row>
    <row r="1748" spans="1:6" x14ac:dyDescent="0.3">
      <c r="A1748" s="3" t="s">
        <v>14</v>
      </c>
      <c r="B1748" s="7" t="str">
        <f>VLOOKUP(VALUE(A1748), 'DICIONÁRIO UF'!$A:$B, 2, FALSE)</f>
        <v>Rio Grande do Norte</v>
      </c>
      <c r="C1748" s="3">
        <v>94010</v>
      </c>
      <c r="D1748" s="5" t="str">
        <f>VLOOKUP(C1748, 'DICIONÁRIO CNAES'!$A:$B, 2, FALSE)</f>
        <v>Atividades de organizações associativas patronais, empresariais e profissionais</v>
      </c>
      <c r="E1748" s="4">
        <v>531.83583928999997</v>
      </c>
      <c r="F1748" s="4">
        <v>1049101.0906740001</v>
      </c>
    </row>
    <row r="1749" spans="1:6" x14ac:dyDescent="0.3">
      <c r="A1749" s="3" t="s">
        <v>14</v>
      </c>
      <c r="B1749" s="7" t="str">
        <f>VLOOKUP(VALUE(A1749), 'DICIONÁRIO UF'!$A:$B, 2, FALSE)</f>
        <v>Rio Grande do Norte</v>
      </c>
      <c r="C1749" s="3">
        <v>94020</v>
      </c>
      <c r="D1749" s="5" t="str">
        <f>VLOOKUP(C1749, 'DICIONÁRIO CNAES'!$A:$B, 2, FALSE)</f>
        <v>Atividades de organizações sindicais</v>
      </c>
      <c r="E1749" s="4">
        <v>134.15655150000001</v>
      </c>
      <c r="F1749" s="4">
        <v>147572.20665000001</v>
      </c>
    </row>
    <row r="1750" spans="1:6" x14ac:dyDescent="0.3">
      <c r="A1750" s="3" t="s">
        <v>14</v>
      </c>
      <c r="B1750" s="7" t="str">
        <f>VLOOKUP(VALUE(A1750), 'DICIONÁRIO UF'!$A:$B, 2, FALSE)</f>
        <v>Rio Grande do Norte</v>
      </c>
      <c r="C1750" s="3">
        <v>94091</v>
      </c>
      <c r="D1750" s="5" t="str">
        <f>VLOOKUP(C1750, 'DICIONÁRIO CNAES'!$A:$B, 2, FALSE)</f>
        <v>Atividades de organizações religiosas e filosóficas</v>
      </c>
      <c r="E1750" s="4">
        <v>4420.9454634899994</v>
      </c>
      <c r="F1750" s="4">
        <v>4663535.7465300001</v>
      </c>
    </row>
    <row r="1751" spans="1:6" x14ac:dyDescent="0.3">
      <c r="A1751" s="3" t="s">
        <v>14</v>
      </c>
      <c r="B1751" s="7" t="str">
        <f>VLOOKUP(VALUE(A1751), 'DICIONÁRIO UF'!$A:$B, 2, FALSE)</f>
        <v>Rio Grande do Norte</v>
      </c>
      <c r="C1751" s="3">
        <v>94099</v>
      </c>
      <c r="D1751" s="5" t="str">
        <f>VLOOKUP(C1751, 'DICIONÁRIO CNAES'!$A:$B, 2, FALSE)</f>
        <v xml:space="preserve">Outras atividades associativas não especificadas anteriormente </v>
      </c>
      <c r="E1751" s="4">
        <v>549.90063514000008</v>
      </c>
      <c r="F1751" s="4">
        <v>1023045.2868530001</v>
      </c>
    </row>
    <row r="1752" spans="1:6" x14ac:dyDescent="0.3">
      <c r="A1752" s="3" t="s">
        <v>14</v>
      </c>
      <c r="B1752" s="7" t="str">
        <f>VLOOKUP(VALUE(A1752), 'DICIONÁRIO UF'!$A:$B, 2, FALSE)</f>
        <v>Rio Grande do Norte</v>
      </c>
      <c r="C1752" s="3">
        <v>95010</v>
      </c>
      <c r="D1752" s="5" t="str">
        <f>VLOOKUP(C1752, 'DICIONÁRIO CNAES'!$A:$B, 2, FALSE)</f>
        <v>Reparação e manutenção de equipamentos de informática e comunicação</v>
      </c>
      <c r="E1752" s="4">
        <v>1617.9235625599999</v>
      </c>
      <c r="F1752" s="4">
        <v>1416827.4602729999</v>
      </c>
    </row>
    <row r="1753" spans="1:6" x14ac:dyDescent="0.3">
      <c r="A1753" s="3" t="s">
        <v>14</v>
      </c>
      <c r="B1753" s="7" t="str">
        <f>VLOOKUP(VALUE(A1753), 'DICIONÁRIO UF'!$A:$B, 2, FALSE)</f>
        <v>Rio Grande do Norte</v>
      </c>
      <c r="C1753" s="3">
        <v>95030</v>
      </c>
      <c r="D1753" s="5" t="str">
        <f>VLOOKUP(C1753, 'DICIONÁRIO CNAES'!$A:$B, 2, FALSE)</f>
        <v>Reparação e manutenção de objetos e equipamentos pessoais e domésticos</v>
      </c>
      <c r="E1753" s="4">
        <v>7232.8009063999998</v>
      </c>
      <c r="F1753" s="4">
        <v>9887109.3297266997</v>
      </c>
    </row>
    <row r="1754" spans="1:6" x14ac:dyDescent="0.3">
      <c r="A1754" s="3" t="s">
        <v>14</v>
      </c>
      <c r="B1754" s="7" t="str">
        <f>VLOOKUP(VALUE(A1754), 'DICIONÁRIO UF'!$A:$B, 2, FALSE)</f>
        <v>Rio Grande do Norte</v>
      </c>
      <c r="C1754" s="3">
        <v>96010</v>
      </c>
      <c r="D1754" s="5" t="str">
        <f>VLOOKUP(C1754, 'DICIONÁRIO CNAES'!$A:$B, 2, FALSE)</f>
        <v>Lavanderias, tinturarias e toalheiros</v>
      </c>
      <c r="E1754" s="4">
        <v>1776.1071562699999</v>
      </c>
      <c r="F1754" s="4">
        <v>1324493.0248130001</v>
      </c>
    </row>
    <row r="1755" spans="1:6" x14ac:dyDescent="0.3">
      <c r="A1755" s="3" t="s">
        <v>14</v>
      </c>
      <c r="B1755" s="7" t="str">
        <f>VLOOKUP(VALUE(A1755), 'DICIONÁRIO UF'!$A:$B, 2, FALSE)</f>
        <v>Rio Grande do Norte</v>
      </c>
      <c r="C1755" s="3">
        <v>96020</v>
      </c>
      <c r="D1755" s="5" t="str">
        <f>VLOOKUP(C1755, 'DICIONÁRIO CNAES'!$A:$B, 2, FALSE)</f>
        <v>Cabeleireiros e outras atividades de tratamento de beleza</v>
      </c>
      <c r="E1755" s="4">
        <v>32371.531154069999</v>
      </c>
      <c r="F1755" s="4">
        <v>39369933.301089503</v>
      </c>
    </row>
    <row r="1756" spans="1:6" x14ac:dyDescent="0.3">
      <c r="A1756" s="3" t="s">
        <v>14</v>
      </c>
      <c r="B1756" s="7" t="str">
        <f>VLOOKUP(VALUE(A1756), 'DICIONÁRIO UF'!$A:$B, 2, FALSE)</f>
        <v>Rio Grande do Norte</v>
      </c>
      <c r="C1756" s="3">
        <v>96030</v>
      </c>
      <c r="D1756" s="5" t="str">
        <f>VLOOKUP(C1756, 'DICIONÁRIO CNAES'!$A:$B, 2, FALSE)</f>
        <v xml:space="preserve">Atividades funerárias e serviços relacionados </v>
      </c>
      <c r="E1756" s="4">
        <v>2175.8842105399999</v>
      </c>
      <c r="F1756" s="4">
        <v>4404875.870356</v>
      </c>
    </row>
    <row r="1757" spans="1:6" x14ac:dyDescent="0.3">
      <c r="A1757" s="3" t="s">
        <v>14</v>
      </c>
      <c r="B1757" s="7" t="str">
        <f>VLOOKUP(VALUE(A1757), 'DICIONÁRIO UF'!$A:$B, 2, FALSE)</f>
        <v>Rio Grande do Norte</v>
      </c>
      <c r="C1757" s="3">
        <v>96090</v>
      </c>
      <c r="D1757" s="5" t="str">
        <f>VLOOKUP(C1757, 'DICIONÁRIO CNAES'!$A:$B, 2, FALSE)</f>
        <v>Outras atividades de serviços pessoais</v>
      </c>
      <c r="E1757" s="4">
        <v>5553.3713243599996</v>
      </c>
      <c r="F1757" s="4">
        <v>10728006.952957001</v>
      </c>
    </row>
    <row r="1758" spans="1:6" x14ac:dyDescent="0.3">
      <c r="A1758" s="3" t="s">
        <v>14</v>
      </c>
      <c r="B1758" s="7" t="str">
        <f>VLOOKUP(VALUE(A1758), 'DICIONÁRIO UF'!$A:$B, 2, FALSE)</f>
        <v>Rio Grande do Norte</v>
      </c>
      <c r="C1758" s="3">
        <v>97000</v>
      </c>
      <c r="D1758" s="5" t="str">
        <f>VLOOKUP(C1758, 'DICIONÁRIO CNAES'!$A:$B, 2, FALSE)</f>
        <v>Serviços domésticos</v>
      </c>
      <c r="E1758" s="4">
        <v>68498.06971548</v>
      </c>
      <c r="F1758" s="4">
        <v>46271058.706953242</v>
      </c>
    </row>
    <row r="1759" spans="1:6" x14ac:dyDescent="0.3">
      <c r="A1759" s="3" t="s">
        <v>15</v>
      </c>
      <c r="B1759" s="7" t="str">
        <f>VLOOKUP(VALUE(A1759), 'DICIONÁRIO UF'!$A:$B, 2, FALSE)</f>
        <v>Paraíba</v>
      </c>
      <c r="C1759" s="3">
        <v>0</v>
      </c>
      <c r="D1759" s="5" t="str">
        <f>VLOOKUP(C1759, 'DICIONÁRIO CNAES'!$A:$B, 2, FALSE)</f>
        <v xml:space="preserve">Atividades mal definidas </v>
      </c>
      <c r="E1759" s="4">
        <v>123.97094380999999</v>
      </c>
      <c r="F1759" s="4">
        <v>24794.188762000002</v>
      </c>
    </row>
    <row r="1760" spans="1:6" x14ac:dyDescent="0.3">
      <c r="A1760" s="3" t="s">
        <v>15</v>
      </c>
      <c r="B1760" s="7" t="str">
        <f>VLOOKUP(VALUE(A1760), 'DICIONÁRIO UF'!$A:$B, 2, FALSE)</f>
        <v>Paraíba</v>
      </c>
      <c r="C1760" s="3">
        <v>1101</v>
      </c>
      <c r="D1760" s="5" t="str">
        <f>VLOOKUP(C1760, 'DICIONÁRIO CNAES'!$A:$B, 2, FALSE)</f>
        <v>Cultivo de arroz</v>
      </c>
      <c r="E1760" s="4">
        <v>225.66220095</v>
      </c>
      <c r="F1760" s="4">
        <v>248228.421045</v>
      </c>
    </row>
    <row r="1761" spans="1:6" x14ac:dyDescent="0.3">
      <c r="A1761" s="3" t="s">
        <v>15</v>
      </c>
      <c r="B1761" s="7" t="str">
        <f>VLOOKUP(VALUE(A1761), 'DICIONÁRIO UF'!$A:$B, 2, FALSE)</f>
        <v>Paraíba</v>
      </c>
      <c r="C1761" s="3">
        <v>1102</v>
      </c>
      <c r="D1761" s="5" t="str">
        <f>VLOOKUP(C1761, 'DICIONÁRIO CNAES'!$A:$B, 2, FALSE)</f>
        <v>Cultivo de milho</v>
      </c>
      <c r="E1761" s="4">
        <v>26041.543885840001</v>
      </c>
      <c r="F1761" s="4">
        <v>16833954.395512719</v>
      </c>
    </row>
    <row r="1762" spans="1:6" x14ac:dyDescent="0.3">
      <c r="A1762" s="3" t="s">
        <v>15</v>
      </c>
      <c r="B1762" s="7" t="str">
        <f>VLOOKUP(VALUE(A1762), 'DICIONÁRIO UF'!$A:$B, 2, FALSE)</f>
        <v>Paraíba</v>
      </c>
      <c r="C1762" s="3">
        <v>1105</v>
      </c>
      <c r="D1762" s="5" t="str">
        <f>VLOOKUP(C1762, 'DICIONÁRIO CNAES'!$A:$B, 2, FALSE)</f>
        <v>Cultivo de cana-de-açúcar</v>
      </c>
      <c r="E1762" s="4">
        <v>22240.78665419</v>
      </c>
      <c r="F1762" s="4">
        <v>26270820.886984412</v>
      </c>
    </row>
    <row r="1763" spans="1:6" x14ac:dyDescent="0.3">
      <c r="A1763" s="3" t="s">
        <v>15</v>
      </c>
      <c r="B1763" s="7" t="str">
        <f>VLOOKUP(VALUE(A1763), 'DICIONÁRIO UF'!$A:$B, 2, FALSE)</f>
        <v>Paraíba</v>
      </c>
      <c r="C1763" s="3">
        <v>1108</v>
      </c>
      <c r="D1763" s="5" t="str">
        <f>VLOOKUP(C1763, 'DICIONÁRIO CNAES'!$A:$B, 2, FALSE)</f>
        <v>Cultivo de mandioca</v>
      </c>
      <c r="E1763" s="4">
        <v>8434.3419385100005</v>
      </c>
      <c r="F1763" s="4">
        <v>4454531.3699039603</v>
      </c>
    </row>
    <row r="1764" spans="1:6" x14ac:dyDescent="0.3">
      <c r="A1764" s="3" t="s">
        <v>15</v>
      </c>
      <c r="B1764" s="7" t="str">
        <f>VLOOKUP(VALUE(A1764), 'DICIONÁRIO UF'!$A:$B, 2, FALSE)</f>
        <v>Paraíba</v>
      </c>
      <c r="C1764" s="3">
        <v>1109</v>
      </c>
      <c r="D1764" s="5" t="str">
        <f>VLOOKUP(C1764, 'DICIONÁRIO CNAES'!$A:$B, 2, FALSE)</f>
        <v>Cultivo de outras lavouras temporárias não especificadas anteriormente</v>
      </c>
      <c r="E1764" s="4">
        <v>38837.102043079998</v>
      </c>
      <c r="F1764" s="4">
        <v>18509855.364863899</v>
      </c>
    </row>
    <row r="1765" spans="1:6" x14ac:dyDescent="0.3">
      <c r="A1765" s="3" t="s">
        <v>15</v>
      </c>
      <c r="B1765" s="7" t="str">
        <f>VLOOKUP(VALUE(A1765), 'DICIONÁRIO UF'!$A:$B, 2, FALSE)</f>
        <v>Paraíba</v>
      </c>
      <c r="C1765" s="3">
        <v>1110</v>
      </c>
      <c r="D1765" s="5" t="str">
        <f>VLOOKUP(C1765, 'DICIONÁRIO CNAES'!$A:$B, 2, FALSE)</f>
        <v>Horticultura</v>
      </c>
      <c r="E1765" s="4">
        <v>11052.5671939</v>
      </c>
      <c r="F1765" s="4">
        <v>5241025.8899555998</v>
      </c>
    </row>
    <row r="1766" spans="1:6" x14ac:dyDescent="0.3">
      <c r="A1766" s="3" t="s">
        <v>15</v>
      </c>
      <c r="B1766" s="7" t="str">
        <f>VLOOKUP(VALUE(A1766), 'DICIONÁRIO UF'!$A:$B, 2, FALSE)</f>
        <v>Paraíba</v>
      </c>
      <c r="C1766" s="3">
        <v>1112</v>
      </c>
      <c r="D1766" s="5" t="str">
        <f>VLOOKUP(C1766, 'DICIONÁRIO CNAES'!$A:$B, 2, FALSE)</f>
        <v>Cultivo de frutas cítricas</v>
      </c>
      <c r="E1766" s="4">
        <v>909.23347760000001</v>
      </c>
      <c r="F1766" s="4">
        <v>2136698.6723600002</v>
      </c>
    </row>
    <row r="1767" spans="1:6" x14ac:dyDescent="0.3">
      <c r="A1767" s="3" t="s">
        <v>15</v>
      </c>
      <c r="B1767" s="7" t="str">
        <f>VLOOKUP(VALUE(A1767), 'DICIONÁRIO UF'!$A:$B, 2, FALSE)</f>
        <v>Paraíba</v>
      </c>
      <c r="C1767" s="3">
        <v>1115</v>
      </c>
      <c r="D1767" s="5" t="str">
        <f>VLOOKUP(C1767, 'DICIONÁRIO CNAES'!$A:$B, 2, FALSE)</f>
        <v>Cultivo de uva</v>
      </c>
      <c r="E1767" s="4">
        <v>3214.0095065700002</v>
      </c>
      <c r="F1767" s="4">
        <v>1000351.9344035001</v>
      </c>
    </row>
    <row r="1768" spans="1:6" x14ac:dyDescent="0.3">
      <c r="A1768" s="3" t="s">
        <v>15</v>
      </c>
      <c r="B1768" s="7" t="str">
        <f>VLOOKUP(VALUE(A1768), 'DICIONÁRIO UF'!$A:$B, 2, FALSE)</f>
        <v>Paraíba</v>
      </c>
      <c r="C1768" s="3">
        <v>1116</v>
      </c>
      <c r="D1768" s="5" t="str">
        <f>VLOOKUP(C1768, 'DICIONÁRIO CNAES'!$A:$B, 2, FALSE)</f>
        <v>Cultivo de banana</v>
      </c>
      <c r="E1768" s="4">
        <v>1734.8563474499999</v>
      </c>
      <c r="F1768" s="4">
        <v>688411.74574200006</v>
      </c>
    </row>
    <row r="1769" spans="1:6" x14ac:dyDescent="0.3">
      <c r="A1769" s="3" t="s">
        <v>15</v>
      </c>
      <c r="B1769" s="7" t="str">
        <f>VLOOKUP(VALUE(A1769), 'DICIONÁRIO UF'!$A:$B, 2, FALSE)</f>
        <v>Paraíba</v>
      </c>
      <c r="C1769" s="3">
        <v>1117</v>
      </c>
      <c r="D1769" s="5" t="str">
        <f>VLOOKUP(C1769, 'DICIONÁRIO CNAES'!$A:$B, 2, FALSE)</f>
        <v>Cultivo de outras plantas e frutas de lavoura permanente não especificadas anteriormente</v>
      </c>
      <c r="E1769" s="4">
        <v>3592.1554743400002</v>
      </c>
      <c r="F1769" s="4">
        <v>2018225.4217184</v>
      </c>
    </row>
    <row r="1770" spans="1:6" x14ac:dyDescent="0.3">
      <c r="A1770" s="3" t="s">
        <v>15</v>
      </c>
      <c r="B1770" s="7" t="str">
        <f>VLOOKUP(VALUE(A1770), 'DICIONÁRIO UF'!$A:$B, 2, FALSE)</f>
        <v>Paraíba</v>
      </c>
      <c r="C1770" s="3">
        <v>1118</v>
      </c>
      <c r="D1770" s="5" t="str">
        <f>VLOOKUP(C1770, 'DICIONÁRIO CNAES'!$A:$B, 2, FALSE)</f>
        <v>Produção de sementes e mudas certificadas</v>
      </c>
      <c r="E1770" s="4">
        <v>115.18844276</v>
      </c>
      <c r="F1770" s="4">
        <v>69113.065656000006</v>
      </c>
    </row>
    <row r="1771" spans="1:6" x14ac:dyDescent="0.3">
      <c r="A1771" s="3" t="s">
        <v>15</v>
      </c>
      <c r="B1771" s="7" t="str">
        <f>VLOOKUP(VALUE(A1771), 'DICIONÁRIO UF'!$A:$B, 2, FALSE)</f>
        <v>Paraíba</v>
      </c>
      <c r="C1771" s="3">
        <v>1119</v>
      </c>
      <c r="D1771" s="5" t="str">
        <f>VLOOKUP(C1771, 'DICIONÁRIO CNAES'!$A:$B, 2, FALSE)</f>
        <v>Lavoura não especificada</v>
      </c>
      <c r="E1771" s="4">
        <v>2287.79707805</v>
      </c>
      <c r="F1771" s="4">
        <v>2072785.3370449999</v>
      </c>
    </row>
    <row r="1772" spans="1:6" x14ac:dyDescent="0.3">
      <c r="A1772" s="3" t="s">
        <v>15</v>
      </c>
      <c r="B1772" s="7" t="str">
        <f>VLOOKUP(VALUE(A1772), 'DICIONÁRIO UF'!$A:$B, 2, FALSE)</f>
        <v>Paraíba</v>
      </c>
      <c r="C1772" s="3">
        <v>1201</v>
      </c>
      <c r="D1772" s="5" t="str">
        <f>VLOOKUP(C1772, 'DICIONÁRIO CNAES'!$A:$B, 2, FALSE)</f>
        <v>Criação de bovinos</v>
      </c>
      <c r="E1772" s="4">
        <v>30792.409540699999</v>
      </c>
      <c r="F1772" s="4">
        <v>26284047.463554841</v>
      </c>
    </row>
    <row r="1773" spans="1:6" x14ac:dyDescent="0.3">
      <c r="A1773" s="3" t="s">
        <v>15</v>
      </c>
      <c r="B1773" s="7" t="str">
        <f>VLOOKUP(VALUE(A1773), 'DICIONÁRIO UF'!$A:$B, 2, FALSE)</f>
        <v>Paraíba</v>
      </c>
      <c r="C1773" s="3">
        <v>1202</v>
      </c>
      <c r="D1773" s="5" t="str">
        <f>VLOOKUP(C1773, 'DICIONÁRIO CNAES'!$A:$B, 2, FALSE)</f>
        <v>Criação de outros animais de grande porte não especificados anteriormente</v>
      </c>
      <c r="E1773" s="4">
        <v>2846.11266071</v>
      </c>
      <c r="F1773" s="4">
        <v>1972101.8782279999</v>
      </c>
    </row>
    <row r="1774" spans="1:6" x14ac:dyDescent="0.3">
      <c r="A1774" s="3" t="s">
        <v>15</v>
      </c>
      <c r="B1774" s="7" t="str">
        <f>VLOOKUP(VALUE(A1774), 'DICIONÁRIO UF'!$A:$B, 2, FALSE)</f>
        <v>Paraíba</v>
      </c>
      <c r="C1774" s="3">
        <v>1203</v>
      </c>
      <c r="D1774" s="5" t="str">
        <f>VLOOKUP(C1774, 'DICIONÁRIO CNAES'!$A:$B, 2, FALSE)</f>
        <v>Criação de caprinos e ovinos</v>
      </c>
      <c r="E1774" s="4">
        <v>7599.6105285900003</v>
      </c>
      <c r="F1774" s="4">
        <v>4609175.3884194</v>
      </c>
    </row>
    <row r="1775" spans="1:6" x14ac:dyDescent="0.3">
      <c r="A1775" s="3" t="s">
        <v>15</v>
      </c>
      <c r="B1775" s="7" t="str">
        <f>VLOOKUP(VALUE(A1775), 'DICIONÁRIO UF'!$A:$B, 2, FALSE)</f>
        <v>Paraíba</v>
      </c>
      <c r="C1775" s="3">
        <v>1204</v>
      </c>
      <c r="D1775" s="5" t="str">
        <f>VLOOKUP(C1775, 'DICIONÁRIO CNAES'!$A:$B, 2, FALSE)</f>
        <v>Criação de suínos</v>
      </c>
      <c r="E1775" s="4">
        <v>445.01831213000003</v>
      </c>
      <c r="F1775" s="4">
        <v>95870.0041948</v>
      </c>
    </row>
    <row r="1776" spans="1:6" x14ac:dyDescent="0.3">
      <c r="A1776" s="3" t="s">
        <v>15</v>
      </c>
      <c r="B1776" s="7" t="str">
        <f>VLOOKUP(VALUE(A1776), 'DICIONÁRIO UF'!$A:$B, 2, FALSE)</f>
        <v>Paraíba</v>
      </c>
      <c r="C1776" s="3">
        <v>1205</v>
      </c>
      <c r="D1776" s="5" t="str">
        <f>VLOOKUP(C1776, 'DICIONÁRIO CNAES'!$A:$B, 2, FALSE)</f>
        <v>Criação de aves</v>
      </c>
      <c r="E1776" s="4">
        <v>6233.2602341700003</v>
      </c>
      <c r="F1776" s="4">
        <v>4024595.2119375998</v>
      </c>
    </row>
    <row r="1777" spans="1:6" x14ac:dyDescent="0.3">
      <c r="A1777" s="3" t="s">
        <v>15</v>
      </c>
      <c r="B1777" s="7" t="str">
        <f>VLOOKUP(VALUE(A1777), 'DICIONÁRIO UF'!$A:$B, 2, FALSE)</f>
        <v>Paraíba</v>
      </c>
      <c r="C1777" s="3">
        <v>1209</v>
      </c>
      <c r="D1777" s="5" t="str">
        <f>VLOOKUP(C1777, 'DICIONÁRIO CNAES'!$A:$B, 2, FALSE)</f>
        <v>Pecuária não especificada</v>
      </c>
      <c r="E1777" s="4">
        <v>166.31494237999999</v>
      </c>
      <c r="F1777" s="4">
        <v>166314.94237999999</v>
      </c>
    </row>
    <row r="1778" spans="1:6" x14ac:dyDescent="0.3">
      <c r="A1778" s="3" t="s">
        <v>15</v>
      </c>
      <c r="B1778" s="7" t="str">
        <f>VLOOKUP(VALUE(A1778), 'DICIONÁRIO UF'!$A:$B, 2, FALSE)</f>
        <v>Paraíba</v>
      </c>
      <c r="C1778" s="3">
        <v>1401</v>
      </c>
      <c r="D1778" s="5" t="str">
        <f>VLOOKUP(C1778, 'DICIONÁRIO CNAES'!$A:$B, 2, FALSE)</f>
        <v>Atividades de apoio à agricultura e pós-colheita</v>
      </c>
      <c r="E1778" s="4">
        <v>4599.5666945100002</v>
      </c>
      <c r="F1778" s="4">
        <v>2164402.4602018599</v>
      </c>
    </row>
    <row r="1779" spans="1:6" x14ac:dyDescent="0.3">
      <c r="A1779" s="3" t="s">
        <v>15</v>
      </c>
      <c r="B1779" s="7" t="str">
        <f>VLOOKUP(VALUE(A1779), 'DICIONÁRIO UF'!$A:$B, 2, FALSE)</f>
        <v>Paraíba</v>
      </c>
      <c r="C1779" s="3">
        <v>1402</v>
      </c>
      <c r="D1779" s="5" t="str">
        <f>VLOOKUP(C1779, 'DICIONÁRIO CNAES'!$A:$B, 2, FALSE)</f>
        <v xml:space="preserve">Atividades de apoio à pecuária </v>
      </c>
      <c r="E1779" s="4">
        <v>94.811300110000005</v>
      </c>
      <c r="F1779" s="4">
        <v>151698.08017599999</v>
      </c>
    </row>
    <row r="1780" spans="1:6" x14ac:dyDescent="0.3">
      <c r="A1780" s="3" t="s">
        <v>15</v>
      </c>
      <c r="B1780" s="7" t="str">
        <f>VLOOKUP(VALUE(A1780), 'DICIONÁRIO UF'!$A:$B, 2, FALSE)</f>
        <v>Paraíba</v>
      </c>
      <c r="C1780" s="3">
        <v>2000</v>
      </c>
      <c r="D1780" s="5" t="str">
        <f>VLOOKUP(C1780, 'DICIONÁRIO CNAES'!$A:$B, 2, FALSE)</f>
        <v xml:space="preserve">Produção florestal </v>
      </c>
      <c r="E1780" s="4">
        <v>2580.7424670800001</v>
      </c>
      <c r="F1780" s="4">
        <v>902552.48966840003</v>
      </c>
    </row>
    <row r="1781" spans="1:6" x14ac:dyDescent="0.3">
      <c r="A1781" s="3" t="s">
        <v>15</v>
      </c>
      <c r="B1781" s="7" t="str">
        <f>VLOOKUP(VALUE(A1781), 'DICIONÁRIO UF'!$A:$B, 2, FALSE)</f>
        <v>Paraíba</v>
      </c>
      <c r="C1781" s="3">
        <v>3001</v>
      </c>
      <c r="D1781" s="5" t="str">
        <f>VLOOKUP(C1781, 'DICIONÁRIO CNAES'!$A:$B, 2, FALSE)</f>
        <v>Pesca</v>
      </c>
      <c r="E1781" s="4">
        <v>10389.677080179999</v>
      </c>
      <c r="F1781" s="4">
        <v>4309878.5072445003</v>
      </c>
    </row>
    <row r="1782" spans="1:6" x14ac:dyDescent="0.3">
      <c r="A1782" s="3" t="s">
        <v>15</v>
      </c>
      <c r="B1782" s="7" t="str">
        <f>VLOOKUP(VALUE(A1782), 'DICIONÁRIO UF'!$A:$B, 2, FALSE)</f>
        <v>Paraíba</v>
      </c>
      <c r="C1782" s="3">
        <v>3002</v>
      </c>
      <c r="D1782" s="5" t="str">
        <f>VLOOKUP(C1782, 'DICIONÁRIO CNAES'!$A:$B, 2, FALSE)</f>
        <v>Aqüicultura</v>
      </c>
      <c r="E1782" s="4">
        <v>3146.2906388400002</v>
      </c>
      <c r="F1782" s="4">
        <v>5567136.4063424999</v>
      </c>
    </row>
    <row r="1783" spans="1:6" x14ac:dyDescent="0.3">
      <c r="A1783" s="3" t="s">
        <v>15</v>
      </c>
      <c r="B1783" s="7" t="str">
        <f>VLOOKUP(VALUE(A1783), 'DICIONÁRIO UF'!$A:$B, 2, FALSE)</f>
        <v>Paraíba</v>
      </c>
      <c r="C1783" s="3">
        <v>7001</v>
      </c>
      <c r="D1783" s="5" t="str">
        <f>VLOOKUP(C1783, 'DICIONÁRIO CNAES'!$A:$B, 2, FALSE)</f>
        <v>Extração de minérios de metais preciosos</v>
      </c>
      <c r="E1783" s="4">
        <v>447.26521754999999</v>
      </c>
      <c r="F1783" s="4">
        <v>491991.739305</v>
      </c>
    </row>
    <row r="1784" spans="1:6" x14ac:dyDescent="0.3">
      <c r="A1784" s="3" t="s">
        <v>15</v>
      </c>
      <c r="B1784" s="7" t="str">
        <f>VLOOKUP(VALUE(A1784), 'DICIONÁRIO UF'!$A:$B, 2, FALSE)</f>
        <v>Paraíba</v>
      </c>
      <c r="C1784" s="3">
        <v>7002</v>
      </c>
      <c r="D1784" s="5" t="str">
        <f>VLOOKUP(C1784, 'DICIONÁRIO CNAES'!$A:$B, 2, FALSE)</f>
        <v xml:space="preserve">Extração de minerais metálicos não especificados anteriormente </v>
      </c>
      <c r="E1784" s="4">
        <v>2738.5552615000001</v>
      </c>
      <c r="F1784" s="4">
        <v>5575511.1978949998</v>
      </c>
    </row>
    <row r="1785" spans="1:6" x14ac:dyDescent="0.3">
      <c r="A1785" s="3" t="s">
        <v>15</v>
      </c>
      <c r="B1785" s="7" t="str">
        <f>VLOOKUP(VALUE(A1785), 'DICIONÁRIO UF'!$A:$B, 2, FALSE)</f>
        <v>Paraíba</v>
      </c>
      <c r="C1785" s="3">
        <v>8001</v>
      </c>
      <c r="D1785" s="5" t="str">
        <f>VLOOKUP(C1785, 'DICIONÁRIO CNAES'!$A:$B, 2, FALSE)</f>
        <v>Extração de pedras, areia e argila</v>
      </c>
      <c r="E1785" s="4">
        <v>3152.8623119399999</v>
      </c>
      <c r="F1785" s="4">
        <v>3767612.2678332999</v>
      </c>
    </row>
    <row r="1786" spans="1:6" x14ac:dyDescent="0.3">
      <c r="A1786" s="3" t="s">
        <v>15</v>
      </c>
      <c r="B1786" s="7" t="str">
        <f>VLOOKUP(VALUE(A1786), 'DICIONÁRIO UF'!$A:$B, 2, FALSE)</f>
        <v>Paraíba</v>
      </c>
      <c r="C1786" s="3">
        <v>8002</v>
      </c>
      <c r="D1786" s="5" t="str">
        <f>VLOOKUP(C1786, 'DICIONÁRIO CNAES'!$A:$B, 2, FALSE)</f>
        <v>Extração de gemas (pedras preciosas e semi-preciosas)</v>
      </c>
      <c r="E1786" s="4">
        <v>349.87837493000001</v>
      </c>
      <c r="F1786" s="4">
        <v>1399513.49972</v>
      </c>
    </row>
    <row r="1787" spans="1:6" x14ac:dyDescent="0.3">
      <c r="A1787" s="3" t="s">
        <v>15</v>
      </c>
      <c r="B1787" s="7" t="str">
        <f>VLOOKUP(VALUE(A1787), 'DICIONÁRIO UF'!$A:$B, 2, FALSE)</f>
        <v>Paraíba</v>
      </c>
      <c r="C1787" s="3">
        <v>10010</v>
      </c>
      <c r="D1787" s="5" t="str">
        <f>VLOOKUP(C1787, 'DICIONÁRIO CNAES'!$A:$B, 2, FALSE)</f>
        <v xml:space="preserve">Abate e fabricação de produtos de carne e pescado </v>
      </c>
      <c r="E1787" s="4">
        <v>1392.6680499500001</v>
      </c>
      <c r="F1787" s="4">
        <v>1531934.854945</v>
      </c>
    </row>
    <row r="1788" spans="1:6" x14ac:dyDescent="0.3">
      <c r="A1788" s="3" t="s">
        <v>15</v>
      </c>
      <c r="B1788" s="7" t="str">
        <f>VLOOKUP(VALUE(A1788), 'DICIONÁRIO UF'!$A:$B, 2, FALSE)</f>
        <v>Paraíba</v>
      </c>
      <c r="C1788" s="3">
        <v>10021</v>
      </c>
      <c r="D1788" s="5" t="str">
        <f>VLOOKUP(C1788, 'DICIONÁRIO CNAES'!$A:$B, 2, FALSE)</f>
        <v>Fabricação de conservas de frutas, legumes e outros vegetais</v>
      </c>
      <c r="E1788" s="4">
        <v>2566.01127292</v>
      </c>
      <c r="F1788" s="4">
        <v>3554704.1379249999</v>
      </c>
    </row>
    <row r="1789" spans="1:6" x14ac:dyDescent="0.3">
      <c r="A1789" s="3" t="s">
        <v>15</v>
      </c>
      <c r="B1789" s="7" t="str">
        <f>VLOOKUP(VALUE(A1789), 'DICIONÁRIO UF'!$A:$B, 2, FALSE)</f>
        <v>Paraíba</v>
      </c>
      <c r="C1789" s="3">
        <v>10030</v>
      </c>
      <c r="D1789" s="5" t="str">
        <f>VLOOKUP(C1789, 'DICIONÁRIO CNAES'!$A:$B, 2, FALSE)</f>
        <v>Laticínios</v>
      </c>
      <c r="E1789" s="4">
        <v>8362.7571195500004</v>
      </c>
      <c r="F1789" s="4">
        <v>2578771.1740481998</v>
      </c>
    </row>
    <row r="1790" spans="1:6" x14ac:dyDescent="0.3">
      <c r="A1790" s="3" t="s">
        <v>15</v>
      </c>
      <c r="B1790" s="7" t="str">
        <f>VLOOKUP(VALUE(A1790), 'DICIONÁRIO UF'!$A:$B, 2, FALSE)</f>
        <v>Paraíba</v>
      </c>
      <c r="C1790" s="3">
        <v>10091</v>
      </c>
      <c r="D1790" s="5" t="str">
        <f>VLOOKUP(C1790, 'DICIONÁRIO CNAES'!$A:$B, 2, FALSE)</f>
        <v>Moagem, fabricação de produtos amiláceos e de alimentos para animais</v>
      </c>
      <c r="E1790" s="4">
        <v>800.64706638000007</v>
      </c>
      <c r="F1790" s="4">
        <v>664679.66191199992</v>
      </c>
    </row>
    <row r="1791" spans="1:6" x14ac:dyDescent="0.3">
      <c r="A1791" s="3" t="s">
        <v>15</v>
      </c>
      <c r="B1791" s="7" t="str">
        <f>VLOOKUP(VALUE(A1791), 'DICIONÁRIO UF'!$A:$B, 2, FALSE)</f>
        <v>Paraíba</v>
      </c>
      <c r="C1791" s="3">
        <v>10092</v>
      </c>
      <c r="D1791" s="5" t="str">
        <f>VLOOKUP(C1791, 'DICIONÁRIO CNAES'!$A:$B, 2, FALSE)</f>
        <v>Fabricação e refino do açúcar</v>
      </c>
      <c r="E1791" s="4">
        <v>1910.24768313</v>
      </c>
      <c r="F1791" s="4">
        <v>2118718.0984425</v>
      </c>
    </row>
    <row r="1792" spans="1:6" x14ac:dyDescent="0.3">
      <c r="A1792" s="3" t="s">
        <v>15</v>
      </c>
      <c r="B1792" s="7" t="str">
        <f>VLOOKUP(VALUE(A1792), 'DICIONÁRIO UF'!$A:$B, 2, FALSE)</f>
        <v>Paraíba</v>
      </c>
      <c r="C1792" s="3">
        <v>10093</v>
      </c>
      <c r="D1792" s="5" t="str">
        <f>VLOOKUP(C1792, 'DICIONÁRIO CNAES'!$A:$B, 2, FALSE)</f>
        <v>Torrefação e moagem de café</v>
      </c>
      <c r="E1792" s="4">
        <v>610.72666045000005</v>
      </c>
      <c r="F1792" s="4">
        <v>977162.65672000009</v>
      </c>
    </row>
    <row r="1793" spans="1:6" x14ac:dyDescent="0.3">
      <c r="A1793" s="3" t="s">
        <v>15</v>
      </c>
      <c r="B1793" s="7" t="str">
        <f>VLOOKUP(VALUE(A1793), 'DICIONÁRIO UF'!$A:$B, 2, FALSE)</f>
        <v>Paraíba</v>
      </c>
      <c r="C1793" s="3">
        <v>10099</v>
      </c>
      <c r="D1793" s="5" t="str">
        <f>VLOOKUP(C1793, 'DICIONÁRIO CNAES'!$A:$B, 2, FALSE)</f>
        <v>Fabricação de outros produtos alimentícios</v>
      </c>
      <c r="E1793" s="4">
        <v>5277.1188150400003</v>
      </c>
      <c r="F1793" s="4">
        <v>8240228.4333787998</v>
      </c>
    </row>
    <row r="1794" spans="1:6" x14ac:dyDescent="0.3">
      <c r="A1794" s="3" t="s">
        <v>15</v>
      </c>
      <c r="B1794" s="7" t="str">
        <f>VLOOKUP(VALUE(A1794), 'DICIONÁRIO UF'!$A:$B, 2, FALSE)</f>
        <v>Paraíba</v>
      </c>
      <c r="C1794" s="3">
        <v>11000</v>
      </c>
      <c r="D1794" s="5" t="str">
        <f>VLOOKUP(C1794, 'DICIONÁRIO CNAES'!$A:$B, 2, FALSE)</f>
        <v>Fabricação de bebidas</v>
      </c>
      <c r="E1794" s="4">
        <v>1304.4375283899999</v>
      </c>
      <c r="F1794" s="4">
        <v>1215471.8654459999</v>
      </c>
    </row>
    <row r="1795" spans="1:6" x14ac:dyDescent="0.3">
      <c r="A1795" s="3" t="s">
        <v>15</v>
      </c>
      <c r="B1795" s="7" t="str">
        <f>VLOOKUP(VALUE(A1795), 'DICIONÁRIO UF'!$A:$B, 2, FALSE)</f>
        <v>Paraíba</v>
      </c>
      <c r="C1795" s="3">
        <v>13001</v>
      </c>
      <c r="D1795" s="5" t="str">
        <f>VLOOKUP(C1795, 'DICIONÁRIO CNAES'!$A:$B, 2, FALSE)</f>
        <v>Preparação de fibras, fiação e tecelagem</v>
      </c>
      <c r="E1795" s="4">
        <v>3341.3945007699999</v>
      </c>
      <c r="F1795" s="4">
        <v>3373656.5318450001</v>
      </c>
    </row>
    <row r="1796" spans="1:6" x14ac:dyDescent="0.3">
      <c r="A1796" s="3" t="s">
        <v>15</v>
      </c>
      <c r="B1796" s="7" t="str">
        <f>VLOOKUP(VALUE(A1796), 'DICIONÁRIO UF'!$A:$B, 2, FALSE)</f>
        <v>Paraíba</v>
      </c>
      <c r="C1796" s="3">
        <v>13002</v>
      </c>
      <c r="D1796" s="5" t="str">
        <f>VLOOKUP(C1796, 'DICIONÁRIO CNAES'!$A:$B, 2, FALSE)</f>
        <v>Fabricação de artefatos têxteis, exceto vestuário</v>
      </c>
      <c r="E1796" s="4">
        <v>15210.247477270001</v>
      </c>
      <c r="F1796" s="4">
        <v>6486831.7793153003</v>
      </c>
    </row>
    <row r="1797" spans="1:6" x14ac:dyDescent="0.3">
      <c r="A1797" s="3" t="s">
        <v>15</v>
      </c>
      <c r="B1797" s="7" t="str">
        <f>VLOOKUP(VALUE(A1797), 'DICIONÁRIO UF'!$A:$B, 2, FALSE)</f>
        <v>Paraíba</v>
      </c>
      <c r="C1797" s="3">
        <v>14001</v>
      </c>
      <c r="D1797" s="5" t="str">
        <f>VLOOKUP(C1797, 'DICIONÁRIO CNAES'!$A:$B, 2, FALSE)</f>
        <v>Confecção de artigos do vestuário e acessórios, exceto sob medida</v>
      </c>
      <c r="E1797" s="4">
        <v>5123.0469301000003</v>
      </c>
      <c r="F1797" s="4">
        <v>3938543.93195192</v>
      </c>
    </row>
    <row r="1798" spans="1:6" x14ac:dyDescent="0.3">
      <c r="A1798" s="3" t="s">
        <v>15</v>
      </c>
      <c r="B1798" s="7" t="str">
        <f>VLOOKUP(VALUE(A1798), 'DICIONÁRIO UF'!$A:$B, 2, FALSE)</f>
        <v>Paraíba</v>
      </c>
      <c r="C1798" s="3">
        <v>14002</v>
      </c>
      <c r="D1798" s="5" t="str">
        <f>VLOOKUP(C1798, 'DICIONÁRIO CNAES'!$A:$B, 2, FALSE)</f>
        <v>Confecção, sob medida, de artigos do vestuário</v>
      </c>
      <c r="E1798" s="4">
        <v>9176.2990938099992</v>
      </c>
      <c r="F1798" s="4">
        <v>9897474.5275654998</v>
      </c>
    </row>
    <row r="1799" spans="1:6" x14ac:dyDescent="0.3">
      <c r="A1799" s="3" t="s">
        <v>15</v>
      </c>
      <c r="B1799" s="7" t="str">
        <f>VLOOKUP(VALUE(A1799), 'DICIONÁRIO UF'!$A:$B, 2, FALSE)</f>
        <v>Paraíba</v>
      </c>
      <c r="C1799" s="3">
        <v>15011</v>
      </c>
      <c r="D1799" s="5" t="str">
        <f>VLOOKUP(C1799, 'DICIONÁRIO CNAES'!$A:$B, 2, FALSE)</f>
        <v>Curtimento e outras preparações de couro</v>
      </c>
      <c r="E1799" s="4">
        <v>346.98431703</v>
      </c>
      <c r="F1799" s="4">
        <v>416381.180436</v>
      </c>
    </row>
    <row r="1800" spans="1:6" x14ac:dyDescent="0.3">
      <c r="A1800" s="3" t="s">
        <v>15</v>
      </c>
      <c r="B1800" s="7" t="str">
        <f>VLOOKUP(VALUE(A1800), 'DICIONÁRIO UF'!$A:$B, 2, FALSE)</f>
        <v>Paraíba</v>
      </c>
      <c r="C1800" s="3">
        <v>15012</v>
      </c>
      <c r="D1800" s="5" t="str">
        <f>VLOOKUP(C1800, 'DICIONÁRIO CNAES'!$A:$B, 2, FALSE)</f>
        <v>Fabricação de artigos de viagem e de artefatos diversos de couro</v>
      </c>
      <c r="E1800" s="4">
        <v>412.39274489000002</v>
      </c>
      <c r="F1800" s="4">
        <v>114327.61891799999</v>
      </c>
    </row>
    <row r="1801" spans="1:6" x14ac:dyDescent="0.3">
      <c r="A1801" s="3" t="s">
        <v>15</v>
      </c>
      <c r="B1801" s="7" t="str">
        <f>VLOOKUP(VALUE(A1801), 'DICIONÁRIO UF'!$A:$B, 2, FALSE)</f>
        <v>Paraíba</v>
      </c>
      <c r="C1801" s="3">
        <v>15020</v>
      </c>
      <c r="D1801" s="5" t="str">
        <f>VLOOKUP(C1801, 'DICIONÁRIO CNAES'!$A:$B, 2, FALSE)</f>
        <v>Fabricação de calçados e partes para calçados, de qualquer material</v>
      </c>
      <c r="E1801" s="4">
        <v>13056.078201550001</v>
      </c>
      <c r="F1801" s="4">
        <v>19541063.5962485</v>
      </c>
    </row>
    <row r="1802" spans="1:6" x14ac:dyDescent="0.3">
      <c r="A1802" s="3" t="s">
        <v>15</v>
      </c>
      <c r="B1802" s="7" t="str">
        <f>VLOOKUP(VALUE(A1802), 'DICIONÁRIO UF'!$A:$B, 2, FALSE)</f>
        <v>Paraíba</v>
      </c>
      <c r="C1802" s="3">
        <v>16002</v>
      </c>
      <c r="D1802" s="5" t="str">
        <f>VLOOKUP(C1802, 'DICIONÁRIO CNAES'!$A:$B, 2, FALSE)</f>
        <v>Fabricação de produtos de madeira, cortiça e material trançado, exceto móveis</v>
      </c>
      <c r="E1802" s="4">
        <v>2249.8464765799999</v>
      </c>
      <c r="F1802" s="4">
        <v>3914612.9911007602</v>
      </c>
    </row>
    <row r="1803" spans="1:6" x14ac:dyDescent="0.3">
      <c r="A1803" s="3" t="s">
        <v>15</v>
      </c>
      <c r="B1803" s="7" t="str">
        <f>VLOOKUP(VALUE(A1803), 'DICIONÁRIO UF'!$A:$B, 2, FALSE)</f>
        <v>Paraíba</v>
      </c>
      <c r="C1803" s="3">
        <v>17002</v>
      </c>
      <c r="D1803" s="5" t="str">
        <f>VLOOKUP(C1803, 'DICIONÁRIO CNAES'!$A:$B, 2, FALSE)</f>
        <v>Fabricação de embalagens e de produtos diversos de papel, cartolina, papel-cartão e papelão ondulado</v>
      </c>
      <c r="E1803" s="4">
        <v>1067.55401041</v>
      </c>
      <c r="F1803" s="4">
        <v>1303154.3384449999</v>
      </c>
    </row>
    <row r="1804" spans="1:6" x14ac:dyDescent="0.3">
      <c r="A1804" s="3" t="s">
        <v>15</v>
      </c>
      <c r="B1804" s="7" t="str">
        <f>VLOOKUP(VALUE(A1804), 'DICIONÁRIO UF'!$A:$B, 2, FALSE)</f>
        <v>Paraíba</v>
      </c>
      <c r="C1804" s="3">
        <v>18000</v>
      </c>
      <c r="D1804" s="5" t="str">
        <f>VLOOKUP(C1804, 'DICIONÁRIO CNAES'!$A:$B, 2, FALSE)</f>
        <v>Impressão e reprodução de gravações</v>
      </c>
      <c r="E1804" s="4">
        <v>3004.6306965499998</v>
      </c>
      <c r="F1804" s="4">
        <v>9122200.2463169992</v>
      </c>
    </row>
    <row r="1805" spans="1:6" x14ac:dyDescent="0.3">
      <c r="A1805" s="3" t="s">
        <v>15</v>
      </c>
      <c r="B1805" s="7" t="str">
        <f>VLOOKUP(VALUE(A1805), 'DICIONÁRIO UF'!$A:$B, 2, FALSE)</f>
        <v>Paraíba</v>
      </c>
      <c r="C1805" s="3">
        <v>19020</v>
      </c>
      <c r="D1805" s="5" t="str">
        <f>VLOOKUP(C1805, 'DICIONÁRIO CNAES'!$A:$B, 2, FALSE)</f>
        <v>Fabricação de produtos derivados do petróleo</v>
      </c>
      <c r="E1805" s="4">
        <v>196.01345835999999</v>
      </c>
      <c r="F1805" s="4">
        <v>215614.80419600001</v>
      </c>
    </row>
    <row r="1806" spans="1:6" x14ac:dyDescent="0.3">
      <c r="A1806" s="3" t="s">
        <v>15</v>
      </c>
      <c r="B1806" s="7" t="str">
        <f>VLOOKUP(VALUE(A1806), 'DICIONÁRIO UF'!$A:$B, 2, FALSE)</f>
        <v>Paraíba</v>
      </c>
      <c r="C1806" s="3">
        <v>19030</v>
      </c>
      <c r="D1806" s="5" t="str">
        <f>VLOOKUP(C1806, 'DICIONÁRIO CNAES'!$A:$B, 2, FALSE)</f>
        <v>Produção de biocombustíveis</v>
      </c>
      <c r="E1806" s="4">
        <v>1594.45086124</v>
      </c>
      <c r="F1806" s="4">
        <v>3248224.0515794801</v>
      </c>
    </row>
    <row r="1807" spans="1:6" x14ac:dyDescent="0.3">
      <c r="A1807" s="3" t="s">
        <v>15</v>
      </c>
      <c r="B1807" s="7" t="str">
        <f>VLOOKUP(VALUE(A1807), 'DICIONÁRIO UF'!$A:$B, 2, FALSE)</f>
        <v>Paraíba</v>
      </c>
      <c r="C1807" s="3">
        <v>20010</v>
      </c>
      <c r="D1807" s="5" t="str">
        <f>VLOOKUP(C1807, 'DICIONÁRIO CNAES'!$A:$B, 2, FALSE)</f>
        <v>Fabricação de tintas, vernizes, esmaltes, lacas e produtos afins</v>
      </c>
      <c r="E1807" s="4">
        <v>604.66219350999995</v>
      </c>
      <c r="F1807" s="4">
        <v>544123.71632599994</v>
      </c>
    </row>
    <row r="1808" spans="1:6" x14ac:dyDescent="0.3">
      <c r="A1808" s="3" t="s">
        <v>15</v>
      </c>
      <c r="B1808" s="7" t="str">
        <f>VLOOKUP(VALUE(A1808), 'DICIONÁRIO UF'!$A:$B, 2, FALSE)</f>
        <v>Paraíba</v>
      </c>
      <c r="C1808" s="3">
        <v>20020</v>
      </c>
      <c r="D1808" s="5" t="str">
        <f>VLOOKUP(C1808, 'DICIONÁRIO CNAES'!$A:$B, 2, FALSE)</f>
        <v>Fabricação de sabões, detergentes, produtos de limpeza, cosméticos, produtos de perfumaria e de higiene pessoal</v>
      </c>
      <c r="E1808" s="4">
        <v>133.74765306</v>
      </c>
      <c r="F1808" s="4">
        <v>73561.209182999999</v>
      </c>
    </row>
    <row r="1809" spans="1:6" x14ac:dyDescent="0.3">
      <c r="A1809" s="3" t="s">
        <v>15</v>
      </c>
      <c r="B1809" s="7" t="str">
        <f>VLOOKUP(VALUE(A1809), 'DICIONÁRIO UF'!$A:$B, 2, FALSE)</f>
        <v>Paraíba</v>
      </c>
      <c r="C1809" s="3">
        <v>21000</v>
      </c>
      <c r="D1809" s="5" t="str">
        <f>VLOOKUP(C1809, 'DICIONÁRIO CNAES'!$A:$B, 2, FALSE)</f>
        <v>Fabricação de produtos farmoquimicos e farmacêuticos</v>
      </c>
      <c r="E1809" s="4">
        <v>703.38687098000003</v>
      </c>
      <c r="F1809" s="4">
        <v>4577684.7849660004</v>
      </c>
    </row>
    <row r="1810" spans="1:6" x14ac:dyDescent="0.3">
      <c r="A1810" s="3" t="s">
        <v>15</v>
      </c>
      <c r="B1810" s="7" t="str">
        <f>VLOOKUP(VALUE(A1810), 'DICIONÁRIO UF'!$A:$B, 2, FALSE)</f>
        <v>Paraíba</v>
      </c>
      <c r="C1810" s="3">
        <v>22020</v>
      </c>
      <c r="D1810" s="5" t="str">
        <f>VLOOKUP(C1810, 'DICIONÁRIO CNAES'!$A:$B, 2, FALSE)</f>
        <v>Fabricação de produtos de material plástico</v>
      </c>
      <c r="E1810" s="4">
        <v>3258.1399607799999</v>
      </c>
      <c r="F1810" s="4">
        <v>6328760.2799853804</v>
      </c>
    </row>
    <row r="1811" spans="1:6" x14ac:dyDescent="0.3">
      <c r="A1811" s="3" t="s">
        <v>15</v>
      </c>
      <c r="B1811" s="7" t="str">
        <f>VLOOKUP(VALUE(A1811), 'DICIONÁRIO UF'!$A:$B, 2, FALSE)</f>
        <v>Paraíba</v>
      </c>
      <c r="C1811" s="3">
        <v>23010</v>
      </c>
      <c r="D1811" s="5" t="str">
        <f>VLOOKUP(C1811, 'DICIONÁRIO CNAES'!$A:$B, 2, FALSE)</f>
        <v>Fabricação de vidro e produtos de vidro</v>
      </c>
      <c r="E1811" s="4">
        <v>1631.1226749699999</v>
      </c>
      <c r="F1811" s="4">
        <v>4539908.6737503996</v>
      </c>
    </row>
    <row r="1812" spans="1:6" x14ac:dyDescent="0.3">
      <c r="A1812" s="3" t="s">
        <v>15</v>
      </c>
      <c r="B1812" s="7" t="str">
        <f>VLOOKUP(VALUE(A1812), 'DICIONÁRIO UF'!$A:$B, 2, FALSE)</f>
        <v>Paraíba</v>
      </c>
      <c r="C1812" s="3">
        <v>23091</v>
      </c>
      <c r="D1812" s="5" t="str">
        <f>VLOOKUP(C1812, 'DICIONÁRIO CNAES'!$A:$B, 2, FALSE)</f>
        <v>Fabricação de produtos cerâmicos</v>
      </c>
      <c r="E1812" s="4">
        <v>8132.1377092800003</v>
      </c>
      <c r="F1812" s="4">
        <v>8410189.7166308705</v>
      </c>
    </row>
    <row r="1813" spans="1:6" x14ac:dyDescent="0.3">
      <c r="A1813" s="3" t="s">
        <v>15</v>
      </c>
      <c r="B1813" s="7" t="str">
        <f>VLOOKUP(VALUE(A1813), 'DICIONÁRIO UF'!$A:$B, 2, FALSE)</f>
        <v>Paraíba</v>
      </c>
      <c r="C1813" s="3">
        <v>23099</v>
      </c>
      <c r="D1813" s="5" t="str">
        <f>VLOOKUP(C1813, 'DICIONÁRIO CNAES'!$A:$B, 2, FALSE)</f>
        <v>Fabricação de outros produtos de minerais não-metálicos não especificados anteriormente</v>
      </c>
      <c r="E1813" s="4">
        <v>2484.1599533499998</v>
      </c>
      <c r="F1813" s="4">
        <v>3283639.9359754999</v>
      </c>
    </row>
    <row r="1814" spans="1:6" x14ac:dyDescent="0.3">
      <c r="A1814" s="3" t="s">
        <v>15</v>
      </c>
      <c r="B1814" s="7" t="str">
        <f>VLOOKUP(VALUE(A1814), 'DICIONÁRIO UF'!$A:$B, 2, FALSE)</f>
        <v>Paraíba</v>
      </c>
      <c r="C1814" s="3">
        <v>25001</v>
      </c>
      <c r="D1814" s="5" t="str">
        <f>VLOOKUP(C1814, 'DICIONÁRIO CNAES'!$A:$B, 2, FALSE)</f>
        <v>Fabricação de produtos de metal, exceto máquinas e equipamentos</v>
      </c>
      <c r="E1814" s="4">
        <v>6397.6119933399996</v>
      </c>
      <c r="F1814" s="4">
        <v>8011134.5044945003</v>
      </c>
    </row>
    <row r="1815" spans="1:6" x14ac:dyDescent="0.3">
      <c r="A1815" s="3" t="s">
        <v>15</v>
      </c>
      <c r="B1815" s="7" t="str">
        <f>VLOOKUP(VALUE(A1815), 'DICIONÁRIO UF'!$A:$B, 2, FALSE)</f>
        <v>Paraíba</v>
      </c>
      <c r="C1815" s="3">
        <v>25002</v>
      </c>
      <c r="D1815" s="5" t="str">
        <f>VLOOKUP(C1815, 'DICIONÁRIO CNAES'!$A:$B, 2, FALSE)</f>
        <v>Forjaria, estamparia, metalurgia do pó e serviços de tratamento de metais</v>
      </c>
      <c r="E1815" s="4">
        <v>102.05722218</v>
      </c>
      <c r="F1815" s="4">
        <v>112262.94439800001</v>
      </c>
    </row>
    <row r="1816" spans="1:6" x14ac:dyDescent="0.3">
      <c r="A1816" s="3" t="s">
        <v>15</v>
      </c>
      <c r="B1816" s="7" t="str">
        <f>VLOOKUP(VALUE(A1816), 'DICIONÁRIO UF'!$A:$B, 2, FALSE)</f>
        <v>Paraíba</v>
      </c>
      <c r="C1816" s="3">
        <v>29001</v>
      </c>
      <c r="D1816" s="5" t="str">
        <f>VLOOKUP(C1816, 'DICIONÁRIO CNAES'!$A:$B, 2, FALSE)</f>
        <v>Fabricação e montagem de veículos automotores</v>
      </c>
      <c r="E1816" s="4">
        <v>266.63005005000002</v>
      </c>
      <c r="F1816" s="4">
        <v>1466465.2752749999</v>
      </c>
    </row>
    <row r="1817" spans="1:6" x14ac:dyDescent="0.3">
      <c r="A1817" s="3" t="s">
        <v>15</v>
      </c>
      <c r="B1817" s="7" t="str">
        <f>VLOOKUP(VALUE(A1817), 'DICIONÁRIO UF'!$A:$B, 2, FALSE)</f>
        <v>Paraíba</v>
      </c>
      <c r="C1817" s="3">
        <v>31000</v>
      </c>
      <c r="D1817" s="5" t="str">
        <f>VLOOKUP(C1817, 'DICIONÁRIO CNAES'!$A:$B, 2, FALSE)</f>
        <v>Fabricação de móveis</v>
      </c>
      <c r="E1817" s="4">
        <v>5074.7149734900004</v>
      </c>
      <c r="F1817" s="4">
        <v>5725382.4036370004</v>
      </c>
    </row>
    <row r="1818" spans="1:6" x14ac:dyDescent="0.3">
      <c r="A1818" s="3" t="s">
        <v>15</v>
      </c>
      <c r="B1818" s="7" t="str">
        <f>VLOOKUP(VALUE(A1818), 'DICIONÁRIO UF'!$A:$B, 2, FALSE)</f>
        <v>Paraíba</v>
      </c>
      <c r="C1818" s="3">
        <v>32009</v>
      </c>
      <c r="D1818" s="5" t="str">
        <f>VLOOKUP(C1818, 'DICIONÁRIO CNAES'!$A:$B, 2, FALSE)</f>
        <v>Fabricação de produtos diversos</v>
      </c>
      <c r="E1818" s="4">
        <v>1107.1057518600001</v>
      </c>
      <c r="F1818" s="4">
        <v>1201683.3578145001</v>
      </c>
    </row>
    <row r="1819" spans="1:6" x14ac:dyDescent="0.3">
      <c r="A1819" s="3" t="s">
        <v>15</v>
      </c>
      <c r="B1819" s="7" t="str">
        <f>VLOOKUP(VALUE(A1819), 'DICIONÁRIO UF'!$A:$B, 2, FALSE)</f>
        <v>Paraíba</v>
      </c>
      <c r="C1819" s="3">
        <v>33001</v>
      </c>
      <c r="D1819" s="5" t="str">
        <f>VLOOKUP(C1819, 'DICIONÁRIO CNAES'!$A:$B, 2, FALSE)</f>
        <v>Manutenção e reparação de máquinas e equipamentos</v>
      </c>
      <c r="E1819" s="4">
        <v>1899.30281765</v>
      </c>
      <c r="F1819" s="4">
        <v>5007670.5902610002</v>
      </c>
    </row>
    <row r="1820" spans="1:6" x14ac:dyDescent="0.3">
      <c r="A1820" s="3" t="s">
        <v>15</v>
      </c>
      <c r="B1820" s="7" t="str">
        <f>VLOOKUP(VALUE(A1820), 'DICIONÁRIO UF'!$A:$B, 2, FALSE)</f>
        <v>Paraíba</v>
      </c>
      <c r="C1820" s="3">
        <v>33002</v>
      </c>
      <c r="D1820" s="5" t="str">
        <f>VLOOKUP(C1820, 'DICIONÁRIO CNAES'!$A:$B, 2, FALSE)</f>
        <v>Instalação de máquinas e equipamentos</v>
      </c>
      <c r="E1820" s="4">
        <v>692.38490580999996</v>
      </c>
      <c r="F1820" s="4">
        <v>595299.726073</v>
      </c>
    </row>
    <row r="1821" spans="1:6" x14ac:dyDescent="0.3">
      <c r="A1821" s="3" t="s">
        <v>15</v>
      </c>
      <c r="B1821" s="7" t="str">
        <f>VLOOKUP(VALUE(A1821), 'DICIONÁRIO UF'!$A:$B, 2, FALSE)</f>
        <v>Paraíba</v>
      </c>
      <c r="C1821" s="3">
        <v>35010</v>
      </c>
      <c r="D1821" s="5" t="str">
        <f>VLOOKUP(C1821, 'DICIONÁRIO CNAES'!$A:$B, 2, FALSE)</f>
        <v>Geração, transmissão e distribuição de energia elétrica</v>
      </c>
      <c r="E1821" s="4">
        <v>1748.53009464</v>
      </c>
      <c r="F1821" s="4">
        <v>7153597.2015195005</v>
      </c>
    </row>
    <row r="1822" spans="1:6" x14ac:dyDescent="0.3">
      <c r="A1822" s="3" t="s">
        <v>15</v>
      </c>
      <c r="B1822" s="7" t="str">
        <f>VLOOKUP(VALUE(A1822), 'DICIONÁRIO UF'!$A:$B, 2, FALSE)</f>
        <v>Paraíba</v>
      </c>
      <c r="C1822" s="3">
        <v>36000</v>
      </c>
      <c r="D1822" s="5" t="str">
        <f>VLOOKUP(C1822, 'DICIONÁRIO CNAES'!$A:$B, 2, FALSE)</f>
        <v>Captação, tratamento e distribuição de água</v>
      </c>
      <c r="E1822" s="4">
        <v>4788.3727126599997</v>
      </c>
      <c r="F1822" s="4">
        <v>13659397.4028157</v>
      </c>
    </row>
    <row r="1823" spans="1:6" x14ac:dyDescent="0.3">
      <c r="A1823" s="3" t="s">
        <v>15</v>
      </c>
      <c r="B1823" s="7" t="str">
        <f>VLOOKUP(VALUE(A1823), 'DICIONÁRIO UF'!$A:$B, 2, FALSE)</f>
        <v>Paraíba</v>
      </c>
      <c r="C1823" s="3">
        <v>38000</v>
      </c>
      <c r="D1823" s="5" t="str">
        <f>VLOOKUP(C1823, 'DICIONÁRIO CNAES'!$A:$B, 2, FALSE)</f>
        <v>Coleta, tratamento e disposição de resíduos; recuperação de materiais</v>
      </c>
      <c r="E1823" s="4">
        <v>3021.6092864500001</v>
      </c>
      <c r="F1823" s="4">
        <v>5718185.3879764993</v>
      </c>
    </row>
    <row r="1824" spans="1:6" x14ac:dyDescent="0.3">
      <c r="A1824" s="3" t="s">
        <v>15</v>
      </c>
      <c r="B1824" s="7" t="str">
        <f>VLOOKUP(VALUE(A1824), 'DICIONÁRIO UF'!$A:$B, 2, FALSE)</f>
        <v>Paraíba</v>
      </c>
      <c r="C1824" s="3">
        <v>41000</v>
      </c>
      <c r="D1824" s="5" t="str">
        <f>VLOOKUP(C1824, 'DICIONÁRIO CNAES'!$A:$B, 2, FALSE)</f>
        <v>Construção de edifícios</v>
      </c>
      <c r="E1824" s="4">
        <v>91736.810406200006</v>
      </c>
      <c r="F1824" s="4">
        <v>102119235.6685259</v>
      </c>
    </row>
    <row r="1825" spans="1:6" x14ac:dyDescent="0.3">
      <c r="A1825" s="3" t="s">
        <v>15</v>
      </c>
      <c r="B1825" s="7" t="str">
        <f>VLOOKUP(VALUE(A1825), 'DICIONÁRIO UF'!$A:$B, 2, FALSE)</f>
        <v>Paraíba</v>
      </c>
      <c r="C1825" s="3">
        <v>42000</v>
      </c>
      <c r="D1825" s="5" t="str">
        <f>VLOOKUP(C1825, 'DICIONÁRIO CNAES'!$A:$B, 2, FALSE)</f>
        <v>Construção de obras de infra-estrutura</v>
      </c>
      <c r="E1825" s="4">
        <v>5875.5865549299997</v>
      </c>
      <c r="F1825" s="4">
        <v>8778968.5406010002</v>
      </c>
    </row>
    <row r="1826" spans="1:6" x14ac:dyDescent="0.3">
      <c r="A1826" s="3" t="s">
        <v>15</v>
      </c>
      <c r="B1826" s="7" t="str">
        <f>VLOOKUP(VALUE(A1826), 'DICIONÁRIO UF'!$A:$B, 2, FALSE)</f>
        <v>Paraíba</v>
      </c>
      <c r="C1826" s="3">
        <v>43000</v>
      </c>
      <c r="D1826" s="5" t="str">
        <f>VLOOKUP(C1826, 'DICIONÁRIO CNAES'!$A:$B, 2, FALSE)</f>
        <v>Serviços especializados para construção</v>
      </c>
      <c r="E1826" s="4">
        <v>24575.049027280002</v>
      </c>
      <c r="F1826" s="4">
        <v>25885998.549981602</v>
      </c>
    </row>
    <row r="1827" spans="1:6" x14ac:dyDescent="0.3">
      <c r="A1827" s="3" t="s">
        <v>15</v>
      </c>
      <c r="B1827" s="7" t="str">
        <f>VLOOKUP(VALUE(A1827), 'DICIONÁRIO UF'!$A:$B, 2, FALSE)</f>
        <v>Paraíba</v>
      </c>
      <c r="C1827" s="3">
        <v>45010</v>
      </c>
      <c r="D1827" s="5" t="str">
        <f>VLOOKUP(C1827, 'DICIONÁRIO CNAES'!$A:$B, 2, FALSE)</f>
        <v>Comércio de veículos automotores</v>
      </c>
      <c r="E1827" s="4">
        <v>3988.4751984499999</v>
      </c>
      <c r="F1827" s="4">
        <v>9286909.4614090007</v>
      </c>
    </row>
    <row r="1828" spans="1:6" x14ac:dyDescent="0.3">
      <c r="A1828" s="3" t="s">
        <v>15</v>
      </c>
      <c r="B1828" s="7" t="str">
        <f>VLOOKUP(VALUE(A1828), 'DICIONÁRIO UF'!$A:$B, 2, FALSE)</f>
        <v>Paraíba</v>
      </c>
      <c r="C1828" s="3">
        <v>45020</v>
      </c>
      <c r="D1828" s="5" t="str">
        <f>VLOOKUP(C1828, 'DICIONÁRIO CNAES'!$A:$B, 2, FALSE)</f>
        <v>Manutenção e reparação de veículos automotores</v>
      </c>
      <c r="E1828" s="4">
        <v>19491.654898559998</v>
      </c>
      <c r="F1828" s="4">
        <v>26213595.775662001</v>
      </c>
    </row>
    <row r="1829" spans="1:6" x14ac:dyDescent="0.3">
      <c r="A1829" s="3" t="s">
        <v>15</v>
      </c>
      <c r="B1829" s="7" t="str">
        <f>VLOOKUP(VALUE(A1829), 'DICIONÁRIO UF'!$A:$B, 2, FALSE)</f>
        <v>Paraíba</v>
      </c>
      <c r="C1829" s="3">
        <v>45030</v>
      </c>
      <c r="D1829" s="5" t="str">
        <f>VLOOKUP(C1829, 'DICIONÁRIO CNAES'!$A:$B, 2, FALSE)</f>
        <v>Comércio de peças e acessórios para veículos automotores</v>
      </c>
      <c r="E1829" s="4">
        <v>1599.0161879899999</v>
      </c>
      <c r="F1829" s="4">
        <v>2869025.2067821501</v>
      </c>
    </row>
    <row r="1830" spans="1:6" x14ac:dyDescent="0.3">
      <c r="A1830" s="3" t="s">
        <v>15</v>
      </c>
      <c r="B1830" s="7" t="str">
        <f>VLOOKUP(VALUE(A1830), 'DICIONÁRIO UF'!$A:$B, 2, FALSE)</f>
        <v>Paraíba</v>
      </c>
      <c r="C1830" s="3">
        <v>45040</v>
      </c>
      <c r="D1830" s="5" t="str">
        <f>VLOOKUP(C1830, 'DICIONÁRIO CNAES'!$A:$B, 2, FALSE)</f>
        <v>Comércio, manutenção e reparação de motocicletas, peças e acessórios</v>
      </c>
      <c r="E1830" s="4">
        <v>9968.9637823400008</v>
      </c>
      <c r="F1830" s="4">
        <v>10887133.168113001</v>
      </c>
    </row>
    <row r="1831" spans="1:6" x14ac:dyDescent="0.3">
      <c r="A1831" s="3" t="s">
        <v>15</v>
      </c>
      <c r="B1831" s="7" t="str">
        <f>VLOOKUP(VALUE(A1831), 'DICIONÁRIO UF'!$A:$B, 2, FALSE)</f>
        <v>Paraíba</v>
      </c>
      <c r="C1831" s="3">
        <v>48010</v>
      </c>
      <c r="D1831" s="5" t="str">
        <f>VLOOKUP(C1831, 'DICIONÁRIO CNAES'!$A:$B, 2, FALSE)</f>
        <v>Representantes comerciais e agentes do comércio, exceto de veículos automotores e motocicletas</v>
      </c>
      <c r="E1831" s="4">
        <v>1098.03345754</v>
      </c>
      <c r="F1831" s="4">
        <v>2629890.6917699999</v>
      </c>
    </row>
    <row r="1832" spans="1:6" x14ac:dyDescent="0.3">
      <c r="A1832" s="3" t="s">
        <v>15</v>
      </c>
      <c r="B1832" s="7" t="str">
        <f>VLOOKUP(VALUE(A1832), 'DICIONÁRIO UF'!$A:$B, 2, FALSE)</f>
        <v>Paraíba</v>
      </c>
      <c r="C1832" s="3">
        <v>48020</v>
      </c>
      <c r="D1832" s="5" t="str">
        <f>VLOOKUP(C1832, 'DICIONÁRIO CNAES'!$A:$B, 2, FALSE)</f>
        <v>Comércio de matérias-primas agrícolas e animais vivos</v>
      </c>
      <c r="E1832" s="4">
        <v>654.67857941</v>
      </c>
      <c r="F1832" s="4">
        <v>524766.09816399997</v>
      </c>
    </row>
    <row r="1833" spans="1:6" x14ac:dyDescent="0.3">
      <c r="A1833" s="3" t="s">
        <v>15</v>
      </c>
      <c r="B1833" s="7" t="str">
        <f>VLOOKUP(VALUE(A1833), 'DICIONÁRIO UF'!$A:$B, 2, FALSE)</f>
        <v>Paraíba</v>
      </c>
      <c r="C1833" s="3">
        <v>48030</v>
      </c>
      <c r="D1833" s="5" t="str">
        <f>VLOOKUP(C1833, 'DICIONÁRIO CNAES'!$A:$B, 2, FALSE)</f>
        <v>Comércio de produtos alimentícios, bebidas e fumo</v>
      </c>
      <c r="E1833" s="4">
        <v>62503.956262070002</v>
      </c>
      <c r="F1833" s="4">
        <v>81063881.702562839</v>
      </c>
    </row>
    <row r="1834" spans="1:6" x14ac:dyDescent="0.3">
      <c r="A1834" s="3" t="s">
        <v>15</v>
      </c>
      <c r="B1834" s="7" t="str">
        <f>VLOOKUP(VALUE(A1834), 'DICIONÁRIO UF'!$A:$B, 2, FALSE)</f>
        <v>Paraíba</v>
      </c>
      <c r="C1834" s="3">
        <v>48041</v>
      </c>
      <c r="D1834" s="5" t="str">
        <f>VLOOKUP(C1834, 'DICIONÁRIO CNAES'!$A:$B, 2, FALSE)</f>
        <v>Comércio de tecidos, artefatos de tecidos e armarinho</v>
      </c>
      <c r="E1834" s="4">
        <v>2620.1602362499998</v>
      </c>
      <c r="F1834" s="4">
        <v>3399325.7013409999</v>
      </c>
    </row>
    <row r="1835" spans="1:6" x14ac:dyDescent="0.3">
      <c r="A1835" s="3" t="s">
        <v>15</v>
      </c>
      <c r="B1835" s="7" t="str">
        <f>VLOOKUP(VALUE(A1835), 'DICIONÁRIO UF'!$A:$B, 2, FALSE)</f>
        <v>Paraíba</v>
      </c>
      <c r="C1835" s="3">
        <v>48042</v>
      </c>
      <c r="D1835" s="5" t="str">
        <f>VLOOKUP(C1835, 'DICIONÁRIO CNAES'!$A:$B, 2, FALSE)</f>
        <v>Comércio de artigos do vestuário, complementos, calçados e artigos de viagem</v>
      </c>
      <c r="E1835" s="4">
        <v>25407.68106449</v>
      </c>
      <c r="F1835" s="4">
        <v>27647452.181440718</v>
      </c>
    </row>
    <row r="1836" spans="1:6" x14ac:dyDescent="0.3">
      <c r="A1836" s="3" t="s">
        <v>15</v>
      </c>
      <c r="B1836" s="7" t="str">
        <f>VLOOKUP(VALUE(A1836), 'DICIONÁRIO UF'!$A:$B, 2, FALSE)</f>
        <v>Paraíba</v>
      </c>
      <c r="C1836" s="3">
        <v>48050</v>
      </c>
      <c r="D1836" s="5" t="str">
        <f>VLOOKUP(C1836, 'DICIONÁRIO CNAES'!$A:$B, 2, FALSE)</f>
        <v>Comércio de madeira, material de construção, ferragens e ferramentas</v>
      </c>
      <c r="E1836" s="4">
        <v>16108.3844998</v>
      </c>
      <c r="F1836" s="4">
        <v>25959633.972677302</v>
      </c>
    </row>
    <row r="1837" spans="1:6" x14ac:dyDescent="0.3">
      <c r="A1837" s="3" t="s">
        <v>15</v>
      </c>
      <c r="B1837" s="7" t="str">
        <f>VLOOKUP(VALUE(A1837), 'DICIONÁRIO UF'!$A:$B, 2, FALSE)</f>
        <v>Paraíba</v>
      </c>
      <c r="C1837" s="3">
        <v>48060</v>
      </c>
      <c r="D1837" s="5" t="str">
        <f>VLOOKUP(C1837, 'DICIONÁRIO CNAES'!$A:$B, 2, FALSE)</f>
        <v>Comércio de combustíveis para veículos automotores</v>
      </c>
      <c r="E1837" s="4">
        <v>6957.1222144900003</v>
      </c>
      <c r="F1837" s="4">
        <v>8387772.6769230003</v>
      </c>
    </row>
    <row r="1838" spans="1:6" x14ac:dyDescent="0.3">
      <c r="A1838" s="3" t="s">
        <v>15</v>
      </c>
      <c r="B1838" s="7" t="str">
        <f>VLOOKUP(VALUE(A1838), 'DICIONÁRIO UF'!$A:$B, 2, FALSE)</f>
        <v>Paraíba</v>
      </c>
      <c r="C1838" s="3">
        <v>48071</v>
      </c>
      <c r="D1838" s="5" t="str">
        <f>VLOOKUP(C1838, 'DICIONÁRIO CNAES'!$A:$B, 2, FALSE)</f>
        <v>Comércio de produtos farmaceuticos, médicos, ortopédicos, odontológicos e de cosméticos e perfumaria</v>
      </c>
      <c r="E1838" s="4">
        <v>37226.655913720002</v>
      </c>
      <c r="F1838" s="4">
        <v>54220052.583551623</v>
      </c>
    </row>
    <row r="1839" spans="1:6" x14ac:dyDescent="0.3">
      <c r="A1839" s="3" t="s">
        <v>15</v>
      </c>
      <c r="B1839" s="7" t="str">
        <f>VLOOKUP(VALUE(A1839), 'DICIONÁRIO UF'!$A:$B, 2, FALSE)</f>
        <v>Paraíba</v>
      </c>
      <c r="C1839" s="3">
        <v>48072</v>
      </c>
      <c r="D1839" s="5" t="str">
        <f>VLOOKUP(C1839, 'DICIONÁRIO CNAES'!$A:$B, 2, FALSE)</f>
        <v>Comércio de artigos de escritório e de papelaria; livros, jornais e outras publicações</v>
      </c>
      <c r="E1839" s="4">
        <v>886.53824761999999</v>
      </c>
      <c r="F1839" s="4">
        <v>1154583.3745619999</v>
      </c>
    </row>
    <row r="1840" spans="1:6" x14ac:dyDescent="0.3">
      <c r="A1840" s="3" t="s">
        <v>15</v>
      </c>
      <c r="B1840" s="7" t="str">
        <f>VLOOKUP(VALUE(A1840), 'DICIONÁRIO UF'!$A:$B, 2, FALSE)</f>
        <v>Paraíba</v>
      </c>
      <c r="C1840" s="3">
        <v>48073</v>
      </c>
      <c r="D1840" s="5" t="str">
        <f>VLOOKUP(C1840, 'DICIONÁRIO CNAES'!$A:$B, 2, FALSE)</f>
        <v>Comércio de eletrodomésticos, móveis e outros artigos de residência</v>
      </c>
      <c r="E1840" s="4">
        <v>15032.770420160001</v>
      </c>
      <c r="F1840" s="4">
        <v>32819433.795455001</v>
      </c>
    </row>
    <row r="1841" spans="1:6" x14ac:dyDescent="0.3">
      <c r="A1841" s="3" t="s">
        <v>15</v>
      </c>
      <c r="B1841" s="7" t="str">
        <f>VLOOKUP(VALUE(A1841), 'DICIONÁRIO UF'!$A:$B, 2, FALSE)</f>
        <v>Paraíba</v>
      </c>
      <c r="C1841" s="3">
        <v>48074</v>
      </c>
      <c r="D1841" s="5" t="str">
        <f>VLOOKUP(C1841, 'DICIONÁRIO CNAES'!$A:$B, 2, FALSE)</f>
        <v>Comércio de equipamentos e produtos de tecnologias de informação e comunicação</v>
      </c>
      <c r="E1841" s="4">
        <v>2045.99107792</v>
      </c>
      <c r="F1841" s="4">
        <v>2525146.2195970002</v>
      </c>
    </row>
    <row r="1842" spans="1:6" x14ac:dyDescent="0.3">
      <c r="A1842" s="3" t="s">
        <v>15</v>
      </c>
      <c r="B1842" s="7" t="str">
        <f>VLOOKUP(VALUE(A1842), 'DICIONÁRIO UF'!$A:$B, 2, FALSE)</f>
        <v>Paraíba</v>
      </c>
      <c r="C1842" s="3">
        <v>48075</v>
      </c>
      <c r="D1842" s="5" t="str">
        <f>VLOOKUP(C1842, 'DICIONÁRIO CNAES'!$A:$B, 2, FALSE)</f>
        <v xml:space="preserve">Comércio de máquinas, aparelhos e equipamentos, exceto eletrodomésticos </v>
      </c>
      <c r="E1842" s="4">
        <v>776.36562277999997</v>
      </c>
      <c r="F1842" s="4">
        <v>968860.46898600005</v>
      </c>
    </row>
    <row r="1843" spans="1:6" x14ac:dyDescent="0.3">
      <c r="A1843" s="3" t="s">
        <v>15</v>
      </c>
      <c r="B1843" s="7" t="str">
        <f>VLOOKUP(VALUE(A1843), 'DICIONÁRIO UF'!$A:$B, 2, FALSE)</f>
        <v>Paraíba</v>
      </c>
      <c r="C1843" s="3">
        <v>48076</v>
      </c>
      <c r="D1843" s="5" t="str">
        <f>VLOOKUP(C1843, 'DICIONÁRIO CNAES'!$A:$B, 2, FALSE)</f>
        <v>Comércio de combustíveis sólidos, líquidos e gasosos, exceto para veículos automotores</v>
      </c>
      <c r="E1843" s="4">
        <v>4083.5388743100002</v>
      </c>
      <c r="F1843" s="4">
        <v>4378680.3007469997</v>
      </c>
    </row>
    <row r="1844" spans="1:6" x14ac:dyDescent="0.3">
      <c r="A1844" s="3" t="s">
        <v>15</v>
      </c>
      <c r="B1844" s="7" t="str">
        <f>VLOOKUP(VALUE(A1844), 'DICIONÁRIO UF'!$A:$B, 2, FALSE)</f>
        <v>Paraíba</v>
      </c>
      <c r="C1844" s="3">
        <v>48078</v>
      </c>
      <c r="D1844" s="5" t="str">
        <f>VLOOKUP(C1844, 'DICIONÁRIO CNAES'!$A:$B, 2, FALSE)</f>
        <v>Comercio de residuos e sucatas</v>
      </c>
      <c r="E1844" s="4">
        <v>15356.684511449999</v>
      </c>
      <c r="F1844" s="4">
        <v>6968542.0361919999</v>
      </c>
    </row>
    <row r="1845" spans="1:6" x14ac:dyDescent="0.3">
      <c r="A1845" s="3" t="s">
        <v>15</v>
      </c>
      <c r="B1845" s="7" t="str">
        <f>VLOOKUP(VALUE(A1845), 'DICIONÁRIO UF'!$A:$B, 2, FALSE)</f>
        <v>Paraíba</v>
      </c>
      <c r="C1845" s="3">
        <v>48079</v>
      </c>
      <c r="D1845" s="5" t="str">
        <f>VLOOKUP(C1845, 'DICIONÁRIO CNAES'!$A:$B, 2, FALSE)</f>
        <v>Comércio de produtos novos não especificados anteriormente</v>
      </c>
      <c r="E1845" s="4">
        <v>16212.146643919999</v>
      </c>
      <c r="F1845" s="4">
        <v>32177445.008029658</v>
      </c>
    </row>
    <row r="1846" spans="1:6" x14ac:dyDescent="0.3">
      <c r="A1846" s="3" t="s">
        <v>15</v>
      </c>
      <c r="B1846" s="7" t="str">
        <f>VLOOKUP(VALUE(A1846), 'DICIONÁRIO UF'!$A:$B, 2, FALSE)</f>
        <v>Paraíba</v>
      </c>
      <c r="C1846" s="3">
        <v>48080</v>
      </c>
      <c r="D1846" s="5" t="str">
        <f>VLOOKUP(C1846, 'DICIONÁRIO CNAES'!$A:$B, 2, FALSE)</f>
        <v>Supermercado e hipermercado</v>
      </c>
      <c r="E1846" s="4">
        <v>24389.60956063</v>
      </c>
      <c r="F1846" s="4">
        <v>36920479.008833498</v>
      </c>
    </row>
    <row r="1847" spans="1:6" x14ac:dyDescent="0.3">
      <c r="A1847" s="3" t="s">
        <v>15</v>
      </c>
      <c r="B1847" s="7" t="str">
        <f>VLOOKUP(VALUE(A1847), 'DICIONÁRIO UF'!$A:$B, 2, FALSE)</f>
        <v>Paraíba</v>
      </c>
      <c r="C1847" s="3">
        <v>48090</v>
      </c>
      <c r="D1847" s="5" t="str">
        <f>VLOOKUP(C1847, 'DICIONÁRIO CNAES'!$A:$B, 2, FALSE)</f>
        <v>Lojas de departamento e outros comércios não especializados, sem predominância de produtos alimentícios</v>
      </c>
      <c r="E1847" s="4">
        <v>765.37134026000001</v>
      </c>
      <c r="F1847" s="4">
        <v>705951.38627899997</v>
      </c>
    </row>
    <row r="1848" spans="1:6" x14ac:dyDescent="0.3">
      <c r="A1848" s="3" t="s">
        <v>15</v>
      </c>
      <c r="B1848" s="7" t="str">
        <f>VLOOKUP(VALUE(A1848), 'DICIONÁRIO UF'!$A:$B, 2, FALSE)</f>
        <v>Paraíba</v>
      </c>
      <c r="C1848" s="3">
        <v>48100</v>
      </c>
      <c r="D1848" s="5" t="str">
        <f>VLOOKUP(C1848, 'DICIONÁRIO CNAES'!$A:$B, 2, FALSE)</f>
        <v>Comércio ambulante e feiras</v>
      </c>
      <c r="E1848" s="4">
        <v>25400.190748599998</v>
      </c>
      <c r="F1848" s="4">
        <v>16809849.854280889</v>
      </c>
    </row>
    <row r="1849" spans="1:6" x14ac:dyDescent="0.3">
      <c r="A1849" s="3" t="s">
        <v>15</v>
      </c>
      <c r="B1849" s="7" t="str">
        <f>VLOOKUP(VALUE(A1849), 'DICIONÁRIO UF'!$A:$B, 2, FALSE)</f>
        <v>Paraíba</v>
      </c>
      <c r="C1849" s="3">
        <v>49010</v>
      </c>
      <c r="D1849" s="5" t="str">
        <f>VLOOKUP(C1849, 'DICIONÁRIO CNAES'!$A:$B, 2, FALSE)</f>
        <v>Transporte ferroviário e metroferroviário</v>
      </c>
      <c r="E1849" s="4">
        <v>125.23457203</v>
      </c>
      <c r="F1849" s="4">
        <v>500938.28811999998</v>
      </c>
    </row>
    <row r="1850" spans="1:6" x14ac:dyDescent="0.3">
      <c r="A1850" s="3" t="s">
        <v>15</v>
      </c>
      <c r="B1850" s="7" t="str">
        <f>VLOOKUP(VALUE(A1850), 'DICIONÁRIO UF'!$A:$B, 2, FALSE)</f>
        <v>Paraíba</v>
      </c>
      <c r="C1850" s="3">
        <v>49030</v>
      </c>
      <c r="D1850" s="5" t="str">
        <f>VLOOKUP(C1850, 'DICIONÁRIO CNAES'!$A:$B, 2, FALSE)</f>
        <v>Transporte rodoviário de passageiros</v>
      </c>
      <c r="E1850" s="4">
        <v>28447.970243160002</v>
      </c>
      <c r="F1850" s="4">
        <v>40627931.871168278</v>
      </c>
    </row>
    <row r="1851" spans="1:6" x14ac:dyDescent="0.3">
      <c r="A1851" s="3" t="s">
        <v>15</v>
      </c>
      <c r="B1851" s="7" t="str">
        <f>VLOOKUP(VALUE(A1851), 'DICIONÁRIO UF'!$A:$B, 2, FALSE)</f>
        <v>Paraíba</v>
      </c>
      <c r="C1851" s="3">
        <v>49040</v>
      </c>
      <c r="D1851" s="5" t="str">
        <f>VLOOKUP(C1851, 'DICIONÁRIO CNAES'!$A:$B, 2, FALSE)</f>
        <v>Transporte rodoviário de carga</v>
      </c>
      <c r="E1851" s="4">
        <v>11895.77086895</v>
      </c>
      <c r="F1851" s="4">
        <v>29617512.481082998</v>
      </c>
    </row>
    <row r="1852" spans="1:6" x14ac:dyDescent="0.3">
      <c r="A1852" s="3" t="s">
        <v>15</v>
      </c>
      <c r="B1852" s="7" t="str">
        <f>VLOOKUP(VALUE(A1852), 'DICIONÁRIO UF'!$A:$B, 2, FALSE)</f>
        <v>Paraíba</v>
      </c>
      <c r="C1852" s="3">
        <v>51000</v>
      </c>
      <c r="D1852" s="5" t="str">
        <f>VLOOKUP(C1852, 'DICIONÁRIO CNAES'!$A:$B, 2, FALSE)</f>
        <v>Transporte Aéreo</v>
      </c>
      <c r="E1852" s="4">
        <v>900.55598126999996</v>
      </c>
      <c r="F1852" s="4">
        <v>9906115.79397</v>
      </c>
    </row>
    <row r="1853" spans="1:6" x14ac:dyDescent="0.3">
      <c r="A1853" s="3" t="s">
        <v>15</v>
      </c>
      <c r="B1853" s="7" t="str">
        <f>VLOOKUP(VALUE(A1853), 'DICIONÁRIO UF'!$A:$B, 2, FALSE)</f>
        <v>Paraíba</v>
      </c>
      <c r="C1853" s="3">
        <v>52010</v>
      </c>
      <c r="D1853" s="5" t="str">
        <f>VLOOKUP(C1853, 'DICIONÁRIO CNAES'!$A:$B, 2, FALSE)</f>
        <v>Armazenamento, carga e descarga</v>
      </c>
      <c r="E1853" s="4">
        <v>1692.14026425</v>
      </c>
      <c r="F1853" s="4">
        <v>729993.14734609996</v>
      </c>
    </row>
    <row r="1854" spans="1:6" x14ac:dyDescent="0.3">
      <c r="A1854" s="3" t="s">
        <v>15</v>
      </c>
      <c r="B1854" s="7" t="str">
        <f>VLOOKUP(VALUE(A1854), 'DICIONÁRIO UF'!$A:$B, 2, FALSE)</f>
        <v>Paraíba</v>
      </c>
      <c r="C1854" s="3">
        <v>52020</v>
      </c>
      <c r="D1854" s="5" t="str">
        <f>VLOOKUP(C1854, 'DICIONÁRIO CNAES'!$A:$B, 2, FALSE)</f>
        <v xml:space="preserve">Atividades auxiliares dos transportes e atividades relacionadas à organização do transporte de carga </v>
      </c>
      <c r="E1854" s="4">
        <v>1876.9585489200001</v>
      </c>
      <c r="F1854" s="4">
        <v>3777040.57369</v>
      </c>
    </row>
    <row r="1855" spans="1:6" x14ac:dyDescent="0.3">
      <c r="A1855" s="3" t="s">
        <v>15</v>
      </c>
      <c r="B1855" s="7" t="str">
        <f>VLOOKUP(VALUE(A1855), 'DICIONÁRIO UF'!$A:$B, 2, FALSE)</f>
        <v>Paraíba</v>
      </c>
      <c r="C1855" s="3">
        <v>53001</v>
      </c>
      <c r="D1855" s="5" t="str">
        <f>VLOOKUP(C1855, 'DICIONÁRIO CNAES'!$A:$B, 2, FALSE)</f>
        <v>Atividades de Correio</v>
      </c>
      <c r="E1855" s="4">
        <v>597.13591436000002</v>
      </c>
      <c r="F1855" s="4">
        <v>1074844.645848</v>
      </c>
    </row>
    <row r="1856" spans="1:6" x14ac:dyDescent="0.3">
      <c r="A1856" s="3" t="s">
        <v>15</v>
      </c>
      <c r="B1856" s="7" t="str">
        <f>VLOOKUP(VALUE(A1856), 'DICIONÁRIO UF'!$A:$B, 2, FALSE)</f>
        <v>Paraíba</v>
      </c>
      <c r="C1856" s="3">
        <v>53002</v>
      </c>
      <c r="D1856" s="5" t="str">
        <f>VLOOKUP(C1856, 'DICIONÁRIO CNAES'!$A:$B, 2, FALSE)</f>
        <v>Atividades de malote e de entrega</v>
      </c>
      <c r="E1856" s="4">
        <v>4560.5264910599999</v>
      </c>
      <c r="F1856" s="4">
        <v>5973908.5008706003</v>
      </c>
    </row>
    <row r="1857" spans="1:6" x14ac:dyDescent="0.3">
      <c r="A1857" s="3" t="s">
        <v>15</v>
      </c>
      <c r="B1857" s="7" t="str">
        <f>VLOOKUP(VALUE(A1857), 'DICIONÁRIO UF'!$A:$B, 2, FALSE)</f>
        <v>Paraíba</v>
      </c>
      <c r="C1857" s="3">
        <v>55000</v>
      </c>
      <c r="D1857" s="5" t="str">
        <f>VLOOKUP(C1857, 'DICIONÁRIO CNAES'!$A:$B, 2, FALSE)</f>
        <v>Alojamento</v>
      </c>
      <c r="E1857" s="4">
        <v>3342.2505888699998</v>
      </c>
      <c r="F1857" s="4">
        <v>4508843.4564879499</v>
      </c>
    </row>
    <row r="1858" spans="1:6" x14ac:dyDescent="0.3">
      <c r="A1858" s="3" t="s">
        <v>15</v>
      </c>
      <c r="B1858" s="7" t="str">
        <f>VLOOKUP(VALUE(A1858), 'DICIONÁRIO UF'!$A:$B, 2, FALSE)</f>
        <v>Paraíba</v>
      </c>
      <c r="C1858" s="3">
        <v>56011</v>
      </c>
      <c r="D1858" s="5" t="str">
        <f>VLOOKUP(C1858, 'DICIONÁRIO CNAES'!$A:$B, 2, FALSE)</f>
        <v>Restaurantes e outros estabelecimentos de serviços de alimentação e bebidas</v>
      </c>
      <c r="E1858" s="4">
        <v>47939.089155310001</v>
      </c>
      <c r="F1858" s="4">
        <v>54949091.477899149</v>
      </c>
    </row>
    <row r="1859" spans="1:6" x14ac:dyDescent="0.3">
      <c r="A1859" s="3" t="s">
        <v>15</v>
      </c>
      <c r="B1859" s="7" t="str">
        <f>VLOOKUP(VALUE(A1859), 'DICIONÁRIO UF'!$A:$B, 2, FALSE)</f>
        <v>Paraíba</v>
      </c>
      <c r="C1859" s="3">
        <v>56012</v>
      </c>
      <c r="D1859" s="5" t="str">
        <f>VLOOKUP(C1859, 'DICIONÁRIO CNAES'!$A:$B, 2, FALSE)</f>
        <v>Serviços de catering, bufê e outros serviços de comida preparada</v>
      </c>
      <c r="E1859" s="4">
        <v>16704.751616090001</v>
      </c>
      <c r="F1859" s="4">
        <v>12368927.1681927</v>
      </c>
    </row>
    <row r="1860" spans="1:6" x14ac:dyDescent="0.3">
      <c r="A1860" s="3" t="s">
        <v>15</v>
      </c>
      <c r="B1860" s="7" t="str">
        <f>VLOOKUP(VALUE(A1860), 'DICIONÁRIO UF'!$A:$B, 2, FALSE)</f>
        <v>Paraíba</v>
      </c>
      <c r="C1860" s="3">
        <v>56020</v>
      </c>
      <c r="D1860" s="5" t="str">
        <f>VLOOKUP(C1860, 'DICIONÁRIO CNAES'!$A:$B, 2, FALSE)</f>
        <v>Serviços ambulantes de alimentação</v>
      </c>
      <c r="E1860" s="4">
        <v>3719.5697285000001</v>
      </c>
      <c r="F1860" s="4">
        <v>1979203.0561043001</v>
      </c>
    </row>
    <row r="1861" spans="1:6" x14ac:dyDescent="0.3">
      <c r="A1861" s="3" t="s">
        <v>15</v>
      </c>
      <c r="B1861" s="7" t="str">
        <f>VLOOKUP(VALUE(A1861), 'DICIONÁRIO UF'!$A:$B, 2, FALSE)</f>
        <v>Paraíba</v>
      </c>
      <c r="C1861" s="3">
        <v>58000</v>
      </c>
      <c r="D1861" s="5" t="str">
        <f>VLOOKUP(C1861, 'DICIONÁRIO CNAES'!$A:$B, 2, FALSE)</f>
        <v xml:space="preserve">Edição e Edição integrada à impressão </v>
      </c>
      <c r="E1861" s="4">
        <v>194.26832049000001</v>
      </c>
      <c r="F1861" s="4">
        <v>2136951.5253900001</v>
      </c>
    </row>
    <row r="1862" spans="1:6" x14ac:dyDescent="0.3">
      <c r="A1862" s="3" t="s">
        <v>15</v>
      </c>
      <c r="B1862" s="7" t="str">
        <f>VLOOKUP(VALUE(A1862), 'DICIONÁRIO UF'!$A:$B, 2, FALSE)</f>
        <v>Paraíba</v>
      </c>
      <c r="C1862" s="3">
        <v>59000</v>
      </c>
      <c r="D1862" s="5" t="str">
        <f>VLOOKUP(C1862, 'DICIONÁRIO CNAES'!$A:$B, 2, FALSE)</f>
        <v>Atividades cinematográficas, produção de vídeos e de programas de televisão, gravação de som e de música</v>
      </c>
      <c r="E1862" s="4">
        <v>288.97894602999997</v>
      </c>
      <c r="F1862" s="4">
        <v>693549.47047199996</v>
      </c>
    </row>
    <row r="1863" spans="1:6" x14ac:dyDescent="0.3">
      <c r="A1863" s="3" t="s">
        <v>15</v>
      </c>
      <c r="B1863" s="7" t="str">
        <f>VLOOKUP(VALUE(A1863), 'DICIONÁRIO UF'!$A:$B, 2, FALSE)</f>
        <v>Paraíba</v>
      </c>
      <c r="C1863" s="3">
        <v>60001</v>
      </c>
      <c r="D1863" s="5" t="str">
        <f>VLOOKUP(C1863, 'DICIONÁRIO CNAES'!$A:$B, 2, FALSE)</f>
        <v>Atividades de rádio</v>
      </c>
      <c r="E1863" s="4">
        <v>857.68017593000002</v>
      </c>
      <c r="F1863" s="4">
        <v>1196339.193071</v>
      </c>
    </row>
    <row r="1864" spans="1:6" x14ac:dyDescent="0.3">
      <c r="A1864" s="3" t="s">
        <v>15</v>
      </c>
      <c r="B1864" s="7" t="str">
        <f>VLOOKUP(VALUE(A1864), 'DICIONÁRIO UF'!$A:$B, 2, FALSE)</f>
        <v>Paraíba</v>
      </c>
      <c r="C1864" s="3">
        <v>60002</v>
      </c>
      <c r="D1864" s="5" t="str">
        <f>VLOOKUP(C1864, 'DICIONÁRIO CNAES'!$A:$B, 2, FALSE)</f>
        <v>Atividades de televisão</v>
      </c>
      <c r="E1864" s="4">
        <v>262.41124354999999</v>
      </c>
      <c r="F1864" s="4">
        <v>1836878.7048500001</v>
      </c>
    </row>
    <row r="1865" spans="1:6" x14ac:dyDescent="0.3">
      <c r="A1865" s="3" t="s">
        <v>15</v>
      </c>
      <c r="B1865" s="7" t="str">
        <f>VLOOKUP(VALUE(A1865), 'DICIONÁRIO UF'!$A:$B, 2, FALSE)</f>
        <v>Paraíba</v>
      </c>
      <c r="C1865" s="3">
        <v>61000</v>
      </c>
      <c r="D1865" s="5" t="str">
        <f>VLOOKUP(C1865, 'DICIONÁRIO CNAES'!$A:$B, 2, FALSE)</f>
        <v>Telecomunicações</v>
      </c>
      <c r="E1865" s="4">
        <v>5286.1984547299999</v>
      </c>
      <c r="F1865" s="4">
        <v>6391926.7809020001</v>
      </c>
    </row>
    <row r="1866" spans="1:6" x14ac:dyDescent="0.3">
      <c r="A1866" s="3" t="s">
        <v>15</v>
      </c>
      <c r="B1866" s="7" t="str">
        <f>VLOOKUP(VALUE(A1866), 'DICIONÁRIO UF'!$A:$B, 2, FALSE)</f>
        <v>Paraíba</v>
      </c>
      <c r="C1866" s="3">
        <v>62000</v>
      </c>
      <c r="D1866" s="5" t="str">
        <f>VLOOKUP(C1866, 'DICIONÁRIO CNAES'!$A:$B, 2, FALSE)</f>
        <v>Atividades dos serviços de tecnologia da informação</v>
      </c>
      <c r="E1866" s="4">
        <v>10288.309882310001</v>
      </c>
      <c r="F1866" s="4">
        <v>33616622.253706001</v>
      </c>
    </row>
    <row r="1867" spans="1:6" x14ac:dyDescent="0.3">
      <c r="A1867" s="3" t="s">
        <v>15</v>
      </c>
      <c r="B1867" s="7" t="str">
        <f>VLOOKUP(VALUE(A1867), 'DICIONÁRIO UF'!$A:$B, 2, FALSE)</f>
        <v>Paraíba</v>
      </c>
      <c r="C1867" s="3">
        <v>63000</v>
      </c>
      <c r="D1867" s="5" t="str">
        <f>VLOOKUP(C1867, 'DICIONÁRIO CNAES'!$A:$B, 2, FALSE)</f>
        <v>Atividades de prestação de serviços de informação</v>
      </c>
      <c r="E1867" s="4">
        <v>907.73498955000002</v>
      </c>
      <c r="F1867" s="4">
        <v>1633922.98119</v>
      </c>
    </row>
    <row r="1868" spans="1:6" x14ac:dyDescent="0.3">
      <c r="A1868" s="3" t="s">
        <v>15</v>
      </c>
      <c r="B1868" s="7" t="str">
        <f>VLOOKUP(VALUE(A1868), 'DICIONÁRIO UF'!$A:$B, 2, FALSE)</f>
        <v>Paraíba</v>
      </c>
      <c r="C1868" s="3">
        <v>64000</v>
      </c>
      <c r="D1868" s="5" t="str">
        <f>VLOOKUP(C1868, 'DICIONÁRIO CNAES'!$A:$B, 2, FALSE)</f>
        <v>Serviços financeiros</v>
      </c>
      <c r="E1868" s="4">
        <v>5523.1062871599997</v>
      </c>
      <c r="F1868" s="4">
        <v>23672622.802559499</v>
      </c>
    </row>
    <row r="1869" spans="1:6" x14ac:dyDescent="0.3">
      <c r="A1869" s="3" t="s">
        <v>15</v>
      </c>
      <c r="B1869" s="7" t="str">
        <f>VLOOKUP(VALUE(A1869), 'DICIONÁRIO UF'!$A:$B, 2, FALSE)</f>
        <v>Paraíba</v>
      </c>
      <c r="C1869" s="3">
        <v>65000</v>
      </c>
      <c r="D1869" s="5" t="str">
        <f>VLOOKUP(C1869, 'DICIONÁRIO CNAES'!$A:$B, 2, FALSE)</f>
        <v>Seguros e previdência privada</v>
      </c>
      <c r="E1869" s="4">
        <v>1028.0823159199999</v>
      </c>
      <c r="F1869" s="4">
        <v>2908084.5353312399</v>
      </c>
    </row>
    <row r="1870" spans="1:6" x14ac:dyDescent="0.3">
      <c r="A1870" s="3" t="s">
        <v>15</v>
      </c>
      <c r="B1870" s="7" t="str">
        <f>VLOOKUP(VALUE(A1870), 'DICIONÁRIO UF'!$A:$B, 2, FALSE)</f>
        <v>Paraíba</v>
      </c>
      <c r="C1870" s="3">
        <v>66001</v>
      </c>
      <c r="D1870" s="5" t="str">
        <f>VLOOKUP(C1870, 'DICIONÁRIO CNAES'!$A:$B, 2, FALSE)</f>
        <v>Atividades auxiliares dos serviços financeiros</v>
      </c>
      <c r="E1870" s="4">
        <v>1901.78013794</v>
      </c>
      <c r="F1870" s="4">
        <v>2075680.3641679999</v>
      </c>
    </row>
    <row r="1871" spans="1:6" x14ac:dyDescent="0.3">
      <c r="A1871" s="3" t="s">
        <v>15</v>
      </c>
      <c r="B1871" s="7" t="str">
        <f>VLOOKUP(VALUE(A1871), 'DICIONÁRIO UF'!$A:$B, 2, FALSE)</f>
        <v>Paraíba</v>
      </c>
      <c r="C1871" s="3">
        <v>66002</v>
      </c>
      <c r="D1871" s="5" t="str">
        <f>VLOOKUP(C1871, 'DICIONÁRIO CNAES'!$A:$B, 2, FALSE)</f>
        <v>Atividades auxiliares dos seguros, da previdência complementar e dos planos de saúde</v>
      </c>
      <c r="E1871" s="4">
        <v>409.04332285999999</v>
      </c>
      <c r="F1871" s="4">
        <v>1634211.3229799999</v>
      </c>
    </row>
    <row r="1872" spans="1:6" x14ac:dyDescent="0.3">
      <c r="A1872" s="3" t="s">
        <v>15</v>
      </c>
      <c r="B1872" s="7" t="str">
        <f>VLOOKUP(VALUE(A1872), 'DICIONÁRIO UF'!$A:$B, 2, FALSE)</f>
        <v>Paraíba</v>
      </c>
      <c r="C1872" s="3">
        <v>68000</v>
      </c>
      <c r="D1872" s="5" t="str">
        <f>VLOOKUP(C1872, 'DICIONÁRIO CNAES'!$A:$B, 2, FALSE)</f>
        <v>Atividades imobiliárias</v>
      </c>
      <c r="E1872" s="4">
        <v>8911.1975448899993</v>
      </c>
      <c r="F1872" s="4">
        <v>30827373.509127561</v>
      </c>
    </row>
    <row r="1873" spans="1:6" x14ac:dyDescent="0.3">
      <c r="A1873" s="3" t="s">
        <v>15</v>
      </c>
      <c r="B1873" s="7" t="str">
        <f>VLOOKUP(VALUE(A1873), 'DICIONÁRIO UF'!$A:$B, 2, FALSE)</f>
        <v>Paraíba</v>
      </c>
      <c r="C1873" s="3">
        <v>69000</v>
      </c>
      <c r="D1873" s="5" t="str">
        <f>VLOOKUP(C1873, 'DICIONÁRIO CNAES'!$A:$B, 2, FALSE)</f>
        <v xml:space="preserve">Atividades jurídicas, de contabilidade e de auditoria </v>
      </c>
      <c r="E1873" s="4">
        <v>14668.35498627</v>
      </c>
      <c r="F1873" s="4">
        <v>118578631.06889351</v>
      </c>
    </row>
    <row r="1874" spans="1:6" x14ac:dyDescent="0.3">
      <c r="A1874" s="3" t="s">
        <v>15</v>
      </c>
      <c r="B1874" s="7" t="str">
        <f>VLOOKUP(VALUE(A1874), 'DICIONÁRIO UF'!$A:$B, 2, FALSE)</f>
        <v>Paraíba</v>
      </c>
      <c r="C1874" s="3">
        <v>70000</v>
      </c>
      <c r="D1874" s="5" t="str">
        <f>VLOOKUP(C1874, 'DICIONÁRIO CNAES'!$A:$B, 2, FALSE)</f>
        <v>Atividades de consultoria em gestão empresarial</v>
      </c>
      <c r="E1874" s="4">
        <v>1050.2850824499999</v>
      </c>
      <c r="F1874" s="4">
        <v>3939491.6349920002</v>
      </c>
    </row>
    <row r="1875" spans="1:6" x14ac:dyDescent="0.3">
      <c r="A1875" s="3" t="s">
        <v>15</v>
      </c>
      <c r="B1875" s="7" t="str">
        <f>VLOOKUP(VALUE(A1875), 'DICIONÁRIO UF'!$A:$B, 2, FALSE)</f>
        <v>Paraíba</v>
      </c>
      <c r="C1875" s="3">
        <v>71000</v>
      </c>
      <c r="D1875" s="5" t="str">
        <f>VLOOKUP(C1875, 'DICIONÁRIO CNAES'!$A:$B, 2, FALSE)</f>
        <v>Serviços de arquitetura e engenharia e atividades técnicas relacionadas; Testes e análises técnicas</v>
      </c>
      <c r="E1875" s="4">
        <v>2273.2191109700002</v>
      </c>
      <c r="F1875" s="4">
        <v>7455208.1021779999</v>
      </c>
    </row>
    <row r="1876" spans="1:6" x14ac:dyDescent="0.3">
      <c r="A1876" s="3" t="s">
        <v>15</v>
      </c>
      <c r="B1876" s="7" t="str">
        <f>VLOOKUP(VALUE(A1876), 'DICIONÁRIO UF'!$A:$B, 2, FALSE)</f>
        <v>Paraíba</v>
      </c>
      <c r="C1876" s="3">
        <v>72000</v>
      </c>
      <c r="D1876" s="5" t="str">
        <f>VLOOKUP(C1876, 'DICIONÁRIO CNAES'!$A:$B, 2, FALSE)</f>
        <v>Pesquisa e desenvolvimento científico</v>
      </c>
      <c r="E1876" s="4">
        <v>552.84564165999996</v>
      </c>
      <c r="F1876" s="4">
        <v>14202792.338168001</v>
      </c>
    </row>
    <row r="1877" spans="1:6" x14ac:dyDescent="0.3">
      <c r="A1877" s="3" t="s">
        <v>15</v>
      </c>
      <c r="B1877" s="7" t="str">
        <f>VLOOKUP(VALUE(A1877), 'DICIONÁRIO UF'!$A:$B, 2, FALSE)</f>
        <v>Paraíba</v>
      </c>
      <c r="C1877" s="3">
        <v>73010</v>
      </c>
      <c r="D1877" s="5" t="str">
        <f>VLOOKUP(C1877, 'DICIONÁRIO CNAES'!$A:$B, 2, FALSE)</f>
        <v>Publicidade</v>
      </c>
      <c r="E1877" s="4">
        <v>3131.0569988299999</v>
      </c>
      <c r="F1877" s="4">
        <v>3883324.5440004999</v>
      </c>
    </row>
    <row r="1878" spans="1:6" x14ac:dyDescent="0.3">
      <c r="A1878" s="3" t="s">
        <v>15</v>
      </c>
      <c r="B1878" s="7" t="str">
        <f>VLOOKUP(VALUE(A1878), 'DICIONÁRIO UF'!$A:$B, 2, FALSE)</f>
        <v>Paraíba</v>
      </c>
      <c r="C1878" s="3">
        <v>74000</v>
      </c>
      <c r="D1878" s="5" t="str">
        <f>VLOOKUP(C1878, 'DICIONÁRIO CNAES'!$A:$B, 2, FALSE)</f>
        <v>Outras atividades profissionais, científicas e técnicas não especificadas anteriormente</v>
      </c>
      <c r="E1878" s="4">
        <v>3380.8275193600002</v>
      </c>
      <c r="F1878" s="4">
        <v>4026048.9143750002</v>
      </c>
    </row>
    <row r="1879" spans="1:6" x14ac:dyDescent="0.3">
      <c r="A1879" s="3" t="s">
        <v>15</v>
      </c>
      <c r="B1879" s="7" t="str">
        <f>VLOOKUP(VALUE(A1879), 'DICIONÁRIO UF'!$A:$B, 2, FALSE)</f>
        <v>Paraíba</v>
      </c>
      <c r="C1879" s="3">
        <v>75000</v>
      </c>
      <c r="D1879" s="5" t="str">
        <f>VLOOKUP(C1879, 'DICIONÁRIO CNAES'!$A:$B, 2, FALSE)</f>
        <v>Atividades veterinárias</v>
      </c>
      <c r="E1879" s="4">
        <v>1197.5411392999999</v>
      </c>
      <c r="F1879" s="4">
        <v>1607894.362679</v>
      </c>
    </row>
    <row r="1880" spans="1:6" x14ac:dyDescent="0.3">
      <c r="A1880" s="3" t="s">
        <v>15</v>
      </c>
      <c r="B1880" s="7" t="str">
        <f>VLOOKUP(VALUE(A1880), 'DICIONÁRIO UF'!$A:$B, 2, FALSE)</f>
        <v>Paraíba</v>
      </c>
      <c r="C1880" s="3">
        <v>78000</v>
      </c>
      <c r="D1880" s="5" t="str">
        <f>VLOOKUP(C1880, 'DICIONÁRIO CNAES'!$A:$B, 2, FALSE)</f>
        <v>Seleção, agenciamento e locação de mão-de-obra</v>
      </c>
      <c r="E1880" s="4">
        <v>4730.4607502500003</v>
      </c>
      <c r="F1880" s="4">
        <v>4730583.6899587503</v>
      </c>
    </row>
    <row r="1881" spans="1:6" x14ac:dyDescent="0.3">
      <c r="A1881" s="3" t="s">
        <v>15</v>
      </c>
      <c r="B1881" s="7" t="str">
        <f>VLOOKUP(VALUE(A1881), 'DICIONÁRIO UF'!$A:$B, 2, FALSE)</f>
        <v>Paraíba</v>
      </c>
      <c r="C1881" s="3">
        <v>79000</v>
      </c>
      <c r="D1881" s="5" t="str">
        <f>VLOOKUP(C1881, 'DICIONÁRIO CNAES'!$A:$B, 2, FALSE)</f>
        <v>Agências de viagens, operadores turísticos e serviços de reservas</v>
      </c>
      <c r="E1881" s="4">
        <v>1255.7977073899999</v>
      </c>
      <c r="F1881" s="4">
        <v>19262200.803750001</v>
      </c>
    </row>
    <row r="1882" spans="1:6" x14ac:dyDescent="0.3">
      <c r="A1882" s="3" t="s">
        <v>15</v>
      </c>
      <c r="B1882" s="7" t="str">
        <f>VLOOKUP(VALUE(A1882), 'DICIONÁRIO UF'!$A:$B, 2, FALSE)</f>
        <v>Paraíba</v>
      </c>
      <c r="C1882" s="3">
        <v>80000</v>
      </c>
      <c r="D1882" s="5" t="str">
        <f>VLOOKUP(C1882, 'DICIONÁRIO CNAES'!$A:$B, 2, FALSE)</f>
        <v>Atividades de vigilância, segurança, transporte de valores e investigação</v>
      </c>
      <c r="E1882" s="4">
        <v>9187.1519260099994</v>
      </c>
      <c r="F1882" s="4">
        <v>15481508.922924479</v>
      </c>
    </row>
    <row r="1883" spans="1:6" x14ac:dyDescent="0.3">
      <c r="A1883" s="3" t="s">
        <v>15</v>
      </c>
      <c r="B1883" s="7" t="str">
        <f>VLOOKUP(VALUE(A1883), 'DICIONÁRIO UF'!$A:$B, 2, FALSE)</f>
        <v>Paraíba</v>
      </c>
      <c r="C1883" s="3">
        <v>81011</v>
      </c>
      <c r="D1883" s="5" t="str">
        <f>VLOOKUP(C1883, 'DICIONÁRIO CNAES'!$A:$B, 2, FALSE)</f>
        <v>Serviços de limpeza e de apoio a edifícios, exceto condomínios prediais</v>
      </c>
      <c r="E1883" s="4">
        <v>12728.04058083</v>
      </c>
      <c r="F1883" s="4">
        <v>14481324.399992</v>
      </c>
    </row>
    <row r="1884" spans="1:6" x14ac:dyDescent="0.3">
      <c r="A1884" s="3" t="s">
        <v>15</v>
      </c>
      <c r="B1884" s="7" t="str">
        <f>VLOOKUP(VALUE(A1884), 'DICIONÁRIO UF'!$A:$B, 2, FALSE)</f>
        <v>Paraíba</v>
      </c>
      <c r="C1884" s="3">
        <v>81012</v>
      </c>
      <c r="D1884" s="5" t="str">
        <f>VLOOKUP(C1884, 'DICIONÁRIO CNAES'!$A:$B, 2, FALSE)</f>
        <v>Condomínios prediais</v>
      </c>
      <c r="E1884" s="4">
        <v>5516.0770103800014</v>
      </c>
      <c r="F1884" s="4">
        <v>7866018.7972280001</v>
      </c>
    </row>
    <row r="1885" spans="1:6" x14ac:dyDescent="0.3">
      <c r="A1885" s="3" t="s">
        <v>15</v>
      </c>
      <c r="B1885" s="7" t="str">
        <f>VLOOKUP(VALUE(A1885), 'DICIONÁRIO UF'!$A:$B, 2, FALSE)</f>
        <v>Paraíba</v>
      </c>
      <c r="C1885" s="3">
        <v>81020</v>
      </c>
      <c r="D1885" s="5" t="str">
        <f>VLOOKUP(C1885, 'DICIONÁRIO CNAES'!$A:$B, 2, FALSE)</f>
        <v>Atividades paisagísticas</v>
      </c>
      <c r="E1885" s="4">
        <v>227.25974260000001</v>
      </c>
      <c r="F1885" s="4">
        <v>249985.71685999999</v>
      </c>
    </row>
    <row r="1886" spans="1:6" x14ac:dyDescent="0.3">
      <c r="A1886" s="3" t="s">
        <v>15</v>
      </c>
      <c r="B1886" s="7" t="str">
        <f>VLOOKUP(VALUE(A1886), 'DICIONÁRIO UF'!$A:$B, 2, FALSE)</f>
        <v>Paraíba</v>
      </c>
      <c r="C1886" s="3">
        <v>82001</v>
      </c>
      <c r="D1886" s="5" t="str">
        <f>VLOOKUP(C1886, 'DICIONÁRIO CNAES'!$A:$B, 2, FALSE)</f>
        <v>Serviços de escritório e apoio administrativo</v>
      </c>
      <c r="E1886" s="4">
        <v>396.99870639</v>
      </c>
      <c r="F1886" s="4">
        <v>381974.16858900001</v>
      </c>
    </row>
    <row r="1887" spans="1:6" x14ac:dyDescent="0.3">
      <c r="A1887" s="3" t="s">
        <v>15</v>
      </c>
      <c r="B1887" s="7" t="str">
        <f>VLOOKUP(VALUE(A1887), 'DICIONÁRIO UF'!$A:$B, 2, FALSE)</f>
        <v>Paraíba</v>
      </c>
      <c r="C1887" s="3">
        <v>82002</v>
      </c>
      <c r="D1887" s="5" t="str">
        <f>VLOOKUP(C1887, 'DICIONÁRIO CNAES'!$A:$B, 2, FALSE)</f>
        <v>Atividades de teleatendimento</v>
      </c>
      <c r="E1887" s="4">
        <v>10918.95310122</v>
      </c>
      <c r="F1887" s="4">
        <v>12470169.04752944</v>
      </c>
    </row>
    <row r="1888" spans="1:6" x14ac:dyDescent="0.3">
      <c r="A1888" s="3" t="s">
        <v>15</v>
      </c>
      <c r="B1888" s="7" t="str">
        <f>VLOOKUP(VALUE(A1888), 'DICIONÁRIO UF'!$A:$B, 2, FALSE)</f>
        <v>Paraíba</v>
      </c>
      <c r="C1888" s="3">
        <v>82003</v>
      </c>
      <c r="D1888" s="5" t="str">
        <f>VLOOKUP(C1888, 'DICIONÁRIO CNAES'!$A:$B, 2, FALSE)</f>
        <v>Atividades de organização de eventos, exceto culturais e esportivos</v>
      </c>
      <c r="E1888" s="4">
        <v>1179.47660075</v>
      </c>
      <c r="F1888" s="4">
        <v>882382.36155299994</v>
      </c>
    </row>
    <row r="1889" spans="1:6" x14ac:dyDescent="0.3">
      <c r="A1889" s="3" t="s">
        <v>15</v>
      </c>
      <c r="B1889" s="7" t="str">
        <f>VLOOKUP(VALUE(A1889), 'DICIONÁRIO UF'!$A:$B, 2, FALSE)</f>
        <v>Paraíba</v>
      </c>
      <c r="C1889" s="3">
        <v>82009</v>
      </c>
      <c r="D1889" s="5" t="str">
        <f>VLOOKUP(C1889, 'DICIONÁRIO CNAES'!$A:$B, 2, FALSE)</f>
        <v>Outras atividades de serviços prestados principalmente às empresas</v>
      </c>
      <c r="E1889" s="4">
        <v>1658.3051332499999</v>
      </c>
      <c r="F1889" s="4">
        <v>3933216.666805</v>
      </c>
    </row>
    <row r="1890" spans="1:6" x14ac:dyDescent="0.3">
      <c r="A1890" s="3" t="s">
        <v>15</v>
      </c>
      <c r="B1890" s="7" t="str">
        <f>VLOOKUP(VALUE(A1890), 'DICIONÁRIO UF'!$A:$B, 2, FALSE)</f>
        <v>Paraíba</v>
      </c>
      <c r="C1890" s="3">
        <v>84011</v>
      </c>
      <c r="D1890" s="5" t="str">
        <f>VLOOKUP(C1890, 'DICIONÁRIO CNAES'!$A:$B, 2, FALSE)</f>
        <v>Administração publica e regulação da política econômica e social - Federal</v>
      </c>
      <c r="E1890" s="4">
        <v>4771.3532252599998</v>
      </c>
      <c r="F1890" s="4">
        <v>29018734.35458263</v>
      </c>
    </row>
    <row r="1891" spans="1:6" x14ac:dyDescent="0.3">
      <c r="A1891" s="3" t="s">
        <v>15</v>
      </c>
      <c r="B1891" s="7" t="str">
        <f>VLOOKUP(VALUE(A1891), 'DICIONÁRIO UF'!$A:$B, 2, FALSE)</f>
        <v>Paraíba</v>
      </c>
      <c r="C1891" s="3">
        <v>84012</v>
      </c>
      <c r="D1891" s="5" t="str">
        <f>VLOOKUP(C1891, 'DICIONÁRIO CNAES'!$A:$B, 2, FALSE)</f>
        <v>Administração publica e regulação da política econômica e social - Estadual</v>
      </c>
      <c r="E1891" s="4">
        <v>13027.82362209</v>
      </c>
      <c r="F1891" s="4">
        <v>57899469.133482501</v>
      </c>
    </row>
    <row r="1892" spans="1:6" x14ac:dyDescent="0.3">
      <c r="A1892" s="3" t="s">
        <v>15</v>
      </c>
      <c r="B1892" s="7" t="str">
        <f>VLOOKUP(VALUE(A1892), 'DICIONÁRIO UF'!$A:$B, 2, FALSE)</f>
        <v>Paraíba</v>
      </c>
      <c r="C1892" s="3">
        <v>84013</v>
      </c>
      <c r="D1892" s="5" t="str">
        <f>VLOOKUP(C1892, 'DICIONÁRIO CNAES'!$A:$B, 2, FALSE)</f>
        <v>Administração publica e regulação da política econômica e social - Municipal</v>
      </c>
      <c r="E1892" s="4">
        <v>58526.373553849997</v>
      </c>
      <c r="F1892" s="4">
        <v>103034765.45642389</v>
      </c>
    </row>
    <row r="1893" spans="1:6" x14ac:dyDescent="0.3">
      <c r="A1893" s="3" t="s">
        <v>15</v>
      </c>
      <c r="B1893" s="7" t="str">
        <f>VLOOKUP(VALUE(A1893), 'DICIONÁRIO UF'!$A:$B, 2, FALSE)</f>
        <v>Paraíba</v>
      </c>
      <c r="C1893" s="3">
        <v>84014</v>
      </c>
      <c r="D1893" s="5" t="str">
        <f>VLOOKUP(C1893, 'DICIONÁRIO CNAES'!$A:$B, 2, FALSE)</f>
        <v>Defesa</v>
      </c>
      <c r="E1893" s="4">
        <v>1469.8810439700001</v>
      </c>
      <c r="F1893" s="4">
        <v>4259549.6069247499</v>
      </c>
    </row>
    <row r="1894" spans="1:6" x14ac:dyDescent="0.3">
      <c r="A1894" s="3" t="s">
        <v>15</v>
      </c>
      <c r="B1894" s="7" t="str">
        <f>VLOOKUP(VALUE(A1894), 'DICIONÁRIO UF'!$A:$B, 2, FALSE)</f>
        <v>Paraíba</v>
      </c>
      <c r="C1894" s="3">
        <v>84015</v>
      </c>
      <c r="D1894" s="5" t="str">
        <f>VLOOKUP(C1894, 'DICIONÁRIO CNAES'!$A:$B, 2, FALSE)</f>
        <v>Outros serviços coletivos prestados pela administração pública - Federal</v>
      </c>
      <c r="E1894" s="4">
        <v>2574.3199455499998</v>
      </c>
      <c r="F1894" s="4">
        <v>30984591.136553999</v>
      </c>
    </row>
    <row r="1895" spans="1:6" x14ac:dyDescent="0.3">
      <c r="A1895" s="3" t="s">
        <v>15</v>
      </c>
      <c r="B1895" s="7" t="str">
        <f>VLOOKUP(VALUE(A1895), 'DICIONÁRIO UF'!$A:$B, 2, FALSE)</f>
        <v>Paraíba</v>
      </c>
      <c r="C1895" s="3">
        <v>84016</v>
      </c>
      <c r="D1895" s="5" t="str">
        <f>VLOOKUP(C1895, 'DICIONÁRIO CNAES'!$A:$B, 2, FALSE)</f>
        <v>Outros serviços coletivos prestados pela administração pública - Estadual</v>
      </c>
      <c r="E1895" s="4">
        <v>20056.349043850001</v>
      </c>
      <c r="F1895" s="4">
        <v>106347634.73763029</v>
      </c>
    </row>
    <row r="1896" spans="1:6" x14ac:dyDescent="0.3">
      <c r="A1896" s="3" t="s">
        <v>15</v>
      </c>
      <c r="B1896" s="7" t="str">
        <f>VLOOKUP(VALUE(A1896), 'DICIONÁRIO UF'!$A:$B, 2, FALSE)</f>
        <v>Paraíba</v>
      </c>
      <c r="C1896" s="3">
        <v>84017</v>
      </c>
      <c r="D1896" s="5" t="str">
        <f>VLOOKUP(C1896, 'DICIONÁRIO CNAES'!$A:$B, 2, FALSE)</f>
        <v>Outros serviços coletivos prestados pela administração pública - Municipal</v>
      </c>
      <c r="E1896" s="4">
        <v>945.25269506000006</v>
      </c>
      <c r="F1896" s="4">
        <v>2504514.7788769999</v>
      </c>
    </row>
    <row r="1897" spans="1:6" x14ac:dyDescent="0.3">
      <c r="A1897" s="3" t="s">
        <v>15</v>
      </c>
      <c r="B1897" s="7" t="str">
        <f>VLOOKUP(VALUE(A1897), 'DICIONÁRIO UF'!$A:$B, 2, FALSE)</f>
        <v>Paraíba</v>
      </c>
      <c r="C1897" s="3">
        <v>84020</v>
      </c>
      <c r="D1897" s="5" t="str">
        <f>VLOOKUP(C1897, 'DICIONÁRIO CNAES'!$A:$B, 2, FALSE)</f>
        <v>Seguridade social obrigatória</v>
      </c>
      <c r="E1897" s="4">
        <v>2193.5054688</v>
      </c>
      <c r="F1897" s="4">
        <v>10951192.129273999</v>
      </c>
    </row>
    <row r="1898" spans="1:6" x14ac:dyDescent="0.3">
      <c r="A1898" s="3" t="s">
        <v>15</v>
      </c>
      <c r="B1898" s="7" t="str">
        <f>VLOOKUP(VALUE(A1898), 'DICIONÁRIO UF'!$A:$B, 2, FALSE)</f>
        <v>Paraíba</v>
      </c>
      <c r="C1898" s="3">
        <v>85011</v>
      </c>
      <c r="D1898" s="5" t="str">
        <f>VLOOKUP(C1898, 'DICIONÁRIO CNAES'!$A:$B, 2, FALSE)</f>
        <v>Creche</v>
      </c>
      <c r="E1898" s="4">
        <v>7645.99175285</v>
      </c>
      <c r="F1898" s="4">
        <v>12056479.5285415</v>
      </c>
    </row>
    <row r="1899" spans="1:6" x14ac:dyDescent="0.3">
      <c r="A1899" s="3" t="s">
        <v>15</v>
      </c>
      <c r="B1899" s="7" t="str">
        <f>VLOOKUP(VALUE(A1899), 'DICIONÁRIO UF'!$A:$B, 2, FALSE)</f>
        <v>Paraíba</v>
      </c>
      <c r="C1899" s="3">
        <v>85012</v>
      </c>
      <c r="D1899" s="5" t="str">
        <f>VLOOKUP(C1899, 'DICIONÁRIO CNAES'!$A:$B, 2, FALSE)</f>
        <v>Pré-escola e ensino fundamental</v>
      </c>
      <c r="E1899" s="4">
        <v>51493.273230639999</v>
      </c>
      <c r="F1899" s="4">
        <v>99493986.531853423</v>
      </c>
    </row>
    <row r="1900" spans="1:6" x14ac:dyDescent="0.3">
      <c r="A1900" s="3" t="s">
        <v>15</v>
      </c>
      <c r="B1900" s="7" t="str">
        <f>VLOOKUP(VALUE(A1900), 'DICIONÁRIO UF'!$A:$B, 2, FALSE)</f>
        <v>Paraíba</v>
      </c>
      <c r="C1900" s="3">
        <v>85013</v>
      </c>
      <c r="D1900" s="5" t="str">
        <f>VLOOKUP(C1900, 'DICIONÁRIO CNAES'!$A:$B, 2, FALSE)</f>
        <v>Ensino médio</v>
      </c>
      <c r="E1900" s="4">
        <v>19333.045767899999</v>
      </c>
      <c r="F1900" s="4">
        <v>54251227.204983637</v>
      </c>
    </row>
    <row r="1901" spans="1:6" x14ac:dyDescent="0.3">
      <c r="A1901" s="3" t="s">
        <v>15</v>
      </c>
      <c r="B1901" s="7" t="str">
        <f>VLOOKUP(VALUE(A1901), 'DICIONÁRIO UF'!$A:$B, 2, FALSE)</f>
        <v>Paraíba</v>
      </c>
      <c r="C1901" s="3">
        <v>85014</v>
      </c>
      <c r="D1901" s="5" t="str">
        <f>VLOOKUP(C1901, 'DICIONÁRIO CNAES'!$A:$B, 2, FALSE)</f>
        <v>Educação superior</v>
      </c>
      <c r="E1901" s="4">
        <v>16066.283909059999</v>
      </c>
      <c r="F1901" s="4">
        <v>141374437.35733521</v>
      </c>
    </row>
    <row r="1902" spans="1:6" x14ac:dyDescent="0.3">
      <c r="A1902" s="3" t="s">
        <v>15</v>
      </c>
      <c r="B1902" s="7" t="str">
        <f>VLOOKUP(VALUE(A1902), 'DICIONÁRIO UF'!$A:$B, 2, FALSE)</f>
        <v>Paraíba</v>
      </c>
      <c r="C1902" s="3">
        <v>85021</v>
      </c>
      <c r="D1902" s="5" t="str">
        <f>VLOOKUP(C1902, 'DICIONÁRIO CNAES'!$A:$B, 2, FALSE)</f>
        <v>Serviços auxiliares à educação</v>
      </c>
      <c r="E1902" s="4">
        <v>771.32851163999999</v>
      </c>
      <c r="F1902" s="4">
        <v>74047537.11744</v>
      </c>
    </row>
    <row r="1903" spans="1:6" x14ac:dyDescent="0.3">
      <c r="A1903" s="3" t="s">
        <v>15</v>
      </c>
      <c r="B1903" s="7" t="str">
        <f>VLOOKUP(VALUE(A1903), 'DICIONÁRIO UF'!$A:$B, 2, FALSE)</f>
        <v>Paraíba</v>
      </c>
      <c r="C1903" s="3">
        <v>85029</v>
      </c>
      <c r="D1903" s="5" t="str">
        <f>VLOOKUP(C1903, 'DICIONÁRIO CNAES'!$A:$B, 2, FALSE)</f>
        <v>Outras atividades de ensino</v>
      </c>
      <c r="E1903" s="4">
        <v>7685.9297287199997</v>
      </c>
      <c r="F1903" s="4">
        <v>9309613.0932709295</v>
      </c>
    </row>
    <row r="1904" spans="1:6" x14ac:dyDescent="0.3">
      <c r="A1904" s="3" t="s">
        <v>15</v>
      </c>
      <c r="B1904" s="7" t="str">
        <f>VLOOKUP(VALUE(A1904), 'DICIONÁRIO UF'!$A:$B, 2, FALSE)</f>
        <v>Paraíba</v>
      </c>
      <c r="C1904" s="3">
        <v>86001</v>
      </c>
      <c r="D1904" s="5" t="str">
        <f>VLOOKUP(C1904, 'DICIONÁRIO CNAES'!$A:$B, 2, FALSE)</f>
        <v>Atividades de atendimento hospitalar</v>
      </c>
      <c r="E1904" s="4">
        <v>31938.547411799998</v>
      </c>
      <c r="F1904" s="4">
        <v>100786447.34144831</v>
      </c>
    </row>
    <row r="1905" spans="1:6" x14ac:dyDescent="0.3">
      <c r="A1905" s="3" t="s">
        <v>15</v>
      </c>
      <c r="B1905" s="7" t="str">
        <f>VLOOKUP(VALUE(A1905), 'DICIONÁRIO UF'!$A:$B, 2, FALSE)</f>
        <v>Paraíba</v>
      </c>
      <c r="C1905" s="3">
        <v>86002</v>
      </c>
      <c r="D1905" s="5" t="str">
        <f>VLOOKUP(C1905, 'DICIONÁRIO CNAES'!$A:$B, 2, FALSE)</f>
        <v>Atividades de atenção ambulatorial executadas por médicos e odontólogos</v>
      </c>
      <c r="E1905" s="4">
        <v>33804.146449990003</v>
      </c>
      <c r="F1905" s="4">
        <v>92149040.41038838</v>
      </c>
    </row>
    <row r="1906" spans="1:6" x14ac:dyDescent="0.3">
      <c r="A1906" s="3" t="s">
        <v>15</v>
      </c>
      <c r="B1906" s="7" t="str">
        <f>VLOOKUP(VALUE(A1906), 'DICIONÁRIO UF'!$A:$B, 2, FALSE)</f>
        <v>Paraíba</v>
      </c>
      <c r="C1906" s="3">
        <v>86003</v>
      </c>
      <c r="D1906" s="5" t="str">
        <f>VLOOKUP(C1906, 'DICIONÁRIO CNAES'!$A:$B, 2, FALSE)</f>
        <v>Atividades de serviços de complementação diagnóstica e terapêutica</v>
      </c>
      <c r="E1906" s="4">
        <v>2836.8508729599998</v>
      </c>
      <c r="F1906" s="4">
        <v>6108032.4225359997</v>
      </c>
    </row>
    <row r="1907" spans="1:6" x14ac:dyDescent="0.3">
      <c r="A1907" s="3" t="s">
        <v>15</v>
      </c>
      <c r="B1907" s="7" t="str">
        <f>VLOOKUP(VALUE(A1907), 'DICIONÁRIO UF'!$A:$B, 2, FALSE)</f>
        <v>Paraíba</v>
      </c>
      <c r="C1907" s="3">
        <v>86004</v>
      </c>
      <c r="D1907" s="5" t="str">
        <f>VLOOKUP(C1907, 'DICIONÁRIO CNAES'!$A:$B, 2, FALSE)</f>
        <v>Atividades de profissionais da área de saúde, exceto médicos e odontólogos</v>
      </c>
      <c r="E1907" s="4">
        <v>4613.1200149099996</v>
      </c>
      <c r="F1907" s="4">
        <v>24760730.4891605</v>
      </c>
    </row>
    <row r="1908" spans="1:6" x14ac:dyDescent="0.3">
      <c r="A1908" s="3" t="s">
        <v>15</v>
      </c>
      <c r="B1908" s="7" t="str">
        <f>VLOOKUP(VALUE(A1908), 'DICIONÁRIO UF'!$A:$B, 2, FALSE)</f>
        <v>Paraíba</v>
      </c>
      <c r="C1908" s="3">
        <v>86009</v>
      </c>
      <c r="D1908" s="5" t="str">
        <f>VLOOKUP(C1908, 'DICIONÁRIO CNAES'!$A:$B, 2, FALSE)</f>
        <v>Atividades de atenção à saúde humana não especificadas anteriormente</v>
      </c>
      <c r="E1908" s="4">
        <v>457.42152249999998</v>
      </c>
      <c r="F1908" s="4">
        <v>645247.55094600003</v>
      </c>
    </row>
    <row r="1909" spans="1:6" x14ac:dyDescent="0.3">
      <c r="A1909" s="3" t="s">
        <v>15</v>
      </c>
      <c r="B1909" s="7" t="str">
        <f>VLOOKUP(VALUE(A1909), 'DICIONÁRIO UF'!$A:$B, 2, FALSE)</f>
        <v>Paraíba</v>
      </c>
      <c r="C1909" s="3">
        <v>87000</v>
      </c>
      <c r="D1909" s="5" t="str">
        <f>VLOOKUP(C1909, 'DICIONÁRIO CNAES'!$A:$B, 2, FALSE)</f>
        <v>Atividades de assistência à saude humana integradas com assistencia social, inclusive prestadas em residencias</v>
      </c>
      <c r="E1909" s="4">
        <v>3258.3902053699999</v>
      </c>
      <c r="F1909" s="4">
        <v>4431156.9777493998</v>
      </c>
    </row>
    <row r="1910" spans="1:6" x14ac:dyDescent="0.3">
      <c r="A1910" s="3" t="s">
        <v>15</v>
      </c>
      <c r="B1910" s="7" t="str">
        <f>VLOOKUP(VALUE(A1910), 'DICIONÁRIO UF'!$A:$B, 2, FALSE)</f>
        <v>Paraíba</v>
      </c>
      <c r="C1910" s="3">
        <v>88000</v>
      </c>
      <c r="D1910" s="5" t="str">
        <f>VLOOKUP(C1910, 'DICIONÁRIO CNAES'!$A:$B, 2, FALSE)</f>
        <v>Serviços de assistência social sem alojamento</v>
      </c>
      <c r="E1910" s="4">
        <v>1457.3747805</v>
      </c>
      <c r="F1910" s="4">
        <v>2631382.7892815</v>
      </c>
    </row>
    <row r="1911" spans="1:6" x14ac:dyDescent="0.3">
      <c r="A1911" s="3" t="s">
        <v>15</v>
      </c>
      <c r="B1911" s="7" t="str">
        <f>VLOOKUP(VALUE(A1911), 'DICIONÁRIO UF'!$A:$B, 2, FALSE)</f>
        <v>Paraíba</v>
      </c>
      <c r="C1911" s="3">
        <v>90000</v>
      </c>
      <c r="D1911" s="5" t="str">
        <f>VLOOKUP(C1911, 'DICIONÁRIO CNAES'!$A:$B, 2, FALSE)</f>
        <v>Atividades artísticas, criativas e de espetáculos</v>
      </c>
      <c r="E1911" s="4">
        <v>3696.1346402600002</v>
      </c>
      <c r="F1911" s="4">
        <v>4989321.1410127999</v>
      </c>
    </row>
    <row r="1912" spans="1:6" x14ac:dyDescent="0.3">
      <c r="A1912" s="3" t="s">
        <v>15</v>
      </c>
      <c r="B1912" s="7" t="str">
        <f>VLOOKUP(VALUE(A1912), 'DICIONÁRIO UF'!$A:$B, 2, FALSE)</f>
        <v>Paraíba</v>
      </c>
      <c r="C1912" s="3">
        <v>92000</v>
      </c>
      <c r="D1912" s="5" t="str">
        <f>VLOOKUP(C1912, 'DICIONÁRIO CNAES'!$A:$B, 2, FALSE)</f>
        <v>Atividades de exploração de jogos de azar e apostas</v>
      </c>
      <c r="E1912" s="4">
        <v>1270.00580081</v>
      </c>
      <c r="F1912" s="4">
        <v>1364900.101429</v>
      </c>
    </row>
    <row r="1913" spans="1:6" x14ac:dyDescent="0.3">
      <c r="A1913" s="3" t="s">
        <v>15</v>
      </c>
      <c r="B1913" s="7" t="str">
        <f>VLOOKUP(VALUE(A1913), 'DICIONÁRIO UF'!$A:$B, 2, FALSE)</f>
        <v>Paraíba</v>
      </c>
      <c r="C1913" s="3">
        <v>93011</v>
      </c>
      <c r="D1913" s="5" t="str">
        <f>VLOOKUP(C1913, 'DICIONÁRIO CNAES'!$A:$B, 2, FALSE)</f>
        <v>Atividades esportivas</v>
      </c>
      <c r="E1913" s="4">
        <v>921.41241472000002</v>
      </c>
      <c r="F1913" s="4">
        <v>1179564.7882449999</v>
      </c>
    </row>
    <row r="1914" spans="1:6" x14ac:dyDescent="0.3">
      <c r="A1914" s="3" t="s">
        <v>15</v>
      </c>
      <c r="B1914" s="7" t="str">
        <f>VLOOKUP(VALUE(A1914), 'DICIONÁRIO UF'!$A:$B, 2, FALSE)</f>
        <v>Paraíba</v>
      </c>
      <c r="C1914" s="3">
        <v>93012</v>
      </c>
      <c r="D1914" s="5" t="str">
        <f>VLOOKUP(C1914, 'DICIONÁRIO CNAES'!$A:$B, 2, FALSE)</f>
        <v>Atividades de condicionamento físico</v>
      </c>
      <c r="E1914" s="4">
        <v>8415.7071242000002</v>
      </c>
      <c r="F1914" s="4">
        <v>12896055.570449</v>
      </c>
    </row>
    <row r="1915" spans="1:6" x14ac:dyDescent="0.3">
      <c r="A1915" s="3" t="s">
        <v>15</v>
      </c>
      <c r="B1915" s="7" t="str">
        <f>VLOOKUP(VALUE(A1915), 'DICIONÁRIO UF'!$A:$B, 2, FALSE)</f>
        <v>Paraíba</v>
      </c>
      <c r="C1915" s="3">
        <v>93020</v>
      </c>
      <c r="D1915" s="5" t="str">
        <f>VLOOKUP(C1915, 'DICIONÁRIO CNAES'!$A:$B, 2, FALSE)</f>
        <v>Atividades de recreação e lazer</v>
      </c>
      <c r="E1915" s="4">
        <v>1026.9743462599999</v>
      </c>
      <c r="F1915" s="4">
        <v>1027232.516617</v>
      </c>
    </row>
    <row r="1916" spans="1:6" x14ac:dyDescent="0.3">
      <c r="A1916" s="3" t="s">
        <v>15</v>
      </c>
      <c r="B1916" s="7" t="str">
        <f>VLOOKUP(VALUE(A1916), 'DICIONÁRIO UF'!$A:$B, 2, FALSE)</f>
        <v>Paraíba</v>
      </c>
      <c r="C1916" s="3">
        <v>94010</v>
      </c>
      <c r="D1916" s="5" t="str">
        <f>VLOOKUP(C1916, 'DICIONÁRIO CNAES'!$A:$B, 2, FALSE)</f>
        <v>Atividades de organizações associativas patronais, empresariais e profissionais</v>
      </c>
      <c r="E1916" s="4">
        <v>171.62256350999999</v>
      </c>
      <c r="F1916" s="4">
        <v>858112.81754999992</v>
      </c>
    </row>
    <row r="1917" spans="1:6" x14ac:dyDescent="0.3">
      <c r="A1917" s="3" t="s">
        <v>15</v>
      </c>
      <c r="B1917" s="7" t="str">
        <f>VLOOKUP(VALUE(A1917), 'DICIONÁRIO UF'!$A:$B, 2, FALSE)</f>
        <v>Paraíba</v>
      </c>
      <c r="C1917" s="3">
        <v>94020</v>
      </c>
      <c r="D1917" s="5" t="str">
        <f>VLOOKUP(C1917, 'DICIONÁRIO CNAES'!$A:$B, 2, FALSE)</f>
        <v>Atividades de organizações sindicais</v>
      </c>
      <c r="E1917" s="4">
        <v>3185.5651548800001</v>
      </c>
      <c r="F1917" s="4">
        <v>2730759.8033980001</v>
      </c>
    </row>
    <row r="1918" spans="1:6" x14ac:dyDescent="0.3">
      <c r="A1918" s="3" t="s">
        <v>15</v>
      </c>
      <c r="B1918" s="7" t="str">
        <f>VLOOKUP(VALUE(A1918), 'DICIONÁRIO UF'!$A:$B, 2, FALSE)</f>
        <v>Paraíba</v>
      </c>
      <c r="C1918" s="3">
        <v>94091</v>
      </c>
      <c r="D1918" s="5" t="str">
        <f>VLOOKUP(C1918, 'DICIONÁRIO CNAES'!$A:$B, 2, FALSE)</f>
        <v>Atividades de organizações religiosas e filosóficas</v>
      </c>
      <c r="E1918" s="4">
        <v>3599.1609913299999</v>
      </c>
      <c r="F1918" s="4">
        <v>2702403.1019275002</v>
      </c>
    </row>
    <row r="1919" spans="1:6" x14ac:dyDescent="0.3">
      <c r="A1919" s="3" t="s">
        <v>15</v>
      </c>
      <c r="B1919" s="7" t="str">
        <f>VLOOKUP(VALUE(A1919), 'DICIONÁRIO UF'!$A:$B, 2, FALSE)</f>
        <v>Paraíba</v>
      </c>
      <c r="C1919" s="3">
        <v>94099</v>
      </c>
      <c r="D1919" s="5" t="str">
        <f>VLOOKUP(C1919, 'DICIONÁRIO CNAES'!$A:$B, 2, FALSE)</f>
        <v xml:space="preserve">Outras atividades associativas não especificadas anteriormente </v>
      </c>
      <c r="E1919" s="4">
        <v>1098.8864321399999</v>
      </c>
      <c r="F1919" s="4">
        <v>1429391.755284</v>
      </c>
    </row>
    <row r="1920" spans="1:6" x14ac:dyDescent="0.3">
      <c r="A1920" s="3" t="s">
        <v>15</v>
      </c>
      <c r="B1920" s="7" t="str">
        <f>VLOOKUP(VALUE(A1920), 'DICIONÁRIO UF'!$A:$B, 2, FALSE)</f>
        <v>Paraíba</v>
      </c>
      <c r="C1920" s="3">
        <v>95010</v>
      </c>
      <c r="D1920" s="5" t="str">
        <f>VLOOKUP(C1920, 'DICIONÁRIO CNAES'!$A:$B, 2, FALSE)</f>
        <v>Reparação e manutenção de equipamentos de informática e comunicação</v>
      </c>
      <c r="E1920" s="4">
        <v>2738.18103561</v>
      </c>
      <c r="F1920" s="4">
        <v>5355882.1350100003</v>
      </c>
    </row>
    <row r="1921" spans="1:6" x14ac:dyDescent="0.3">
      <c r="A1921" s="3" t="s">
        <v>15</v>
      </c>
      <c r="B1921" s="7" t="str">
        <f>VLOOKUP(VALUE(A1921), 'DICIONÁRIO UF'!$A:$B, 2, FALSE)</f>
        <v>Paraíba</v>
      </c>
      <c r="C1921" s="3">
        <v>95030</v>
      </c>
      <c r="D1921" s="5" t="str">
        <f>VLOOKUP(C1921, 'DICIONÁRIO CNAES'!$A:$B, 2, FALSE)</f>
        <v>Reparação e manutenção de objetos e equipamentos pessoais e domésticos</v>
      </c>
      <c r="E1921" s="4">
        <v>9136.29600106</v>
      </c>
      <c r="F1921" s="4">
        <v>5962011.5775583498</v>
      </c>
    </row>
    <row r="1922" spans="1:6" x14ac:dyDescent="0.3">
      <c r="A1922" s="3" t="s">
        <v>15</v>
      </c>
      <c r="B1922" s="7" t="str">
        <f>VLOOKUP(VALUE(A1922), 'DICIONÁRIO UF'!$A:$B, 2, FALSE)</f>
        <v>Paraíba</v>
      </c>
      <c r="C1922" s="3">
        <v>96010</v>
      </c>
      <c r="D1922" s="5" t="str">
        <f>VLOOKUP(C1922, 'DICIONÁRIO CNAES'!$A:$B, 2, FALSE)</f>
        <v>Lavanderias, tinturarias e toalheiros</v>
      </c>
      <c r="E1922" s="4">
        <v>338.43630903000002</v>
      </c>
      <c r="F1922" s="4">
        <v>392586.11847480002</v>
      </c>
    </row>
    <row r="1923" spans="1:6" x14ac:dyDescent="0.3">
      <c r="A1923" s="3" t="s">
        <v>15</v>
      </c>
      <c r="B1923" s="7" t="str">
        <f>VLOOKUP(VALUE(A1923), 'DICIONÁRIO UF'!$A:$B, 2, FALSE)</f>
        <v>Paraíba</v>
      </c>
      <c r="C1923" s="3">
        <v>96020</v>
      </c>
      <c r="D1923" s="5" t="str">
        <f>VLOOKUP(C1923, 'DICIONÁRIO CNAES'!$A:$B, 2, FALSE)</f>
        <v>Cabeleireiros e outras atividades de tratamento de beleza</v>
      </c>
      <c r="E1923" s="4">
        <v>25577.191860579998</v>
      </c>
      <c r="F1923" s="4">
        <v>24781189.220187899</v>
      </c>
    </row>
    <row r="1924" spans="1:6" x14ac:dyDescent="0.3">
      <c r="A1924" s="3" t="s">
        <v>15</v>
      </c>
      <c r="B1924" s="7" t="str">
        <f>VLOOKUP(VALUE(A1924), 'DICIONÁRIO UF'!$A:$B, 2, FALSE)</f>
        <v>Paraíba</v>
      </c>
      <c r="C1924" s="3">
        <v>96030</v>
      </c>
      <c r="D1924" s="5" t="str">
        <f>VLOOKUP(C1924, 'DICIONÁRIO CNAES'!$A:$B, 2, FALSE)</f>
        <v xml:space="preserve">Atividades funerárias e serviços relacionados </v>
      </c>
      <c r="E1924" s="4">
        <v>1525.6799766399999</v>
      </c>
      <c r="F1924" s="4">
        <v>2126872.9131041998</v>
      </c>
    </row>
    <row r="1925" spans="1:6" x14ac:dyDescent="0.3">
      <c r="A1925" s="3" t="s">
        <v>15</v>
      </c>
      <c r="B1925" s="7" t="str">
        <f>VLOOKUP(VALUE(A1925), 'DICIONÁRIO UF'!$A:$B, 2, FALSE)</f>
        <v>Paraíba</v>
      </c>
      <c r="C1925" s="3">
        <v>96090</v>
      </c>
      <c r="D1925" s="5" t="str">
        <f>VLOOKUP(C1925, 'DICIONÁRIO CNAES'!$A:$B, 2, FALSE)</f>
        <v>Outras atividades de serviços pessoais</v>
      </c>
      <c r="E1925" s="4">
        <v>3429.1614127399998</v>
      </c>
      <c r="F1925" s="4">
        <v>3904439.4136239998</v>
      </c>
    </row>
    <row r="1926" spans="1:6" x14ac:dyDescent="0.3">
      <c r="A1926" s="3" t="s">
        <v>15</v>
      </c>
      <c r="B1926" s="7" t="str">
        <f>VLOOKUP(VALUE(A1926), 'DICIONÁRIO UF'!$A:$B, 2, FALSE)</f>
        <v>Paraíba</v>
      </c>
      <c r="C1926" s="3">
        <v>97000</v>
      </c>
      <c r="D1926" s="5" t="str">
        <f>VLOOKUP(C1926, 'DICIONÁRIO CNAES'!$A:$B, 2, FALSE)</f>
        <v>Serviços domésticos</v>
      </c>
      <c r="E1926" s="4">
        <v>87918.91099484</v>
      </c>
      <c r="F1926" s="4">
        <v>56605815.253057748</v>
      </c>
    </row>
    <row r="1927" spans="1:6" x14ac:dyDescent="0.3">
      <c r="A1927" s="3" t="s">
        <v>16</v>
      </c>
      <c r="B1927" s="7" t="str">
        <f>VLOOKUP(VALUE(A1927), 'DICIONÁRIO UF'!$A:$B, 2, FALSE)</f>
        <v>Pernambuco</v>
      </c>
      <c r="C1927" s="3">
        <v>0</v>
      </c>
      <c r="D1927" s="5" t="str">
        <f>VLOOKUP(C1927, 'DICIONÁRIO CNAES'!$A:$B, 2, FALSE)</f>
        <v xml:space="preserve">Atividades mal definidas </v>
      </c>
      <c r="E1927" s="4">
        <v>6985.6256511600004</v>
      </c>
      <c r="F1927" s="4">
        <v>5863879.9057914997</v>
      </c>
    </row>
    <row r="1928" spans="1:6" x14ac:dyDescent="0.3">
      <c r="A1928" s="3" t="s">
        <v>16</v>
      </c>
      <c r="B1928" s="7" t="str">
        <f>VLOOKUP(VALUE(A1928), 'DICIONÁRIO UF'!$A:$B, 2, FALSE)</f>
        <v>Pernambuco</v>
      </c>
      <c r="C1928" s="3">
        <v>1102</v>
      </c>
      <c r="D1928" s="5" t="str">
        <f>VLOOKUP(C1928, 'DICIONÁRIO CNAES'!$A:$B, 2, FALSE)</f>
        <v>Cultivo de milho</v>
      </c>
      <c r="E1928" s="4">
        <v>55367.203821429997</v>
      </c>
      <c r="F1928" s="4">
        <v>17592527.352503791</v>
      </c>
    </row>
    <row r="1929" spans="1:6" x14ac:dyDescent="0.3">
      <c r="A1929" s="3" t="s">
        <v>16</v>
      </c>
      <c r="B1929" s="7" t="str">
        <f>VLOOKUP(VALUE(A1929), 'DICIONÁRIO UF'!$A:$B, 2, FALSE)</f>
        <v>Pernambuco</v>
      </c>
      <c r="C1929" s="3">
        <v>1103</v>
      </c>
      <c r="D1929" s="5" t="str">
        <f>VLOOKUP(C1929, 'DICIONÁRIO CNAES'!$A:$B, 2, FALSE)</f>
        <v>Cultivo de outros cereais</v>
      </c>
      <c r="E1929" s="4">
        <v>273.39497418000002</v>
      </c>
      <c r="F1929" s="4">
        <v>300734.47159799997</v>
      </c>
    </row>
    <row r="1930" spans="1:6" x14ac:dyDescent="0.3">
      <c r="A1930" s="3" t="s">
        <v>16</v>
      </c>
      <c r="B1930" s="7" t="str">
        <f>VLOOKUP(VALUE(A1930), 'DICIONÁRIO UF'!$A:$B, 2, FALSE)</f>
        <v>Pernambuco</v>
      </c>
      <c r="C1930" s="3">
        <v>1105</v>
      </c>
      <c r="D1930" s="5" t="str">
        <f>VLOOKUP(C1930, 'DICIONÁRIO CNAES'!$A:$B, 2, FALSE)</f>
        <v>Cultivo de cana-de-açúcar</v>
      </c>
      <c r="E1930" s="4">
        <v>33576.711368160002</v>
      </c>
      <c r="F1930" s="4">
        <v>43318696.967733063</v>
      </c>
    </row>
    <row r="1931" spans="1:6" x14ac:dyDescent="0.3">
      <c r="A1931" s="3" t="s">
        <v>16</v>
      </c>
      <c r="B1931" s="7" t="str">
        <f>VLOOKUP(VALUE(A1931), 'DICIONÁRIO UF'!$A:$B, 2, FALSE)</f>
        <v>Pernambuco</v>
      </c>
      <c r="C1931" s="3">
        <v>1108</v>
      </c>
      <c r="D1931" s="5" t="str">
        <f>VLOOKUP(C1931, 'DICIONÁRIO CNAES'!$A:$B, 2, FALSE)</f>
        <v>Cultivo de mandioca</v>
      </c>
      <c r="E1931" s="4">
        <v>31468.328457570002</v>
      </c>
      <c r="F1931" s="4">
        <v>11740897.7320891</v>
      </c>
    </row>
    <row r="1932" spans="1:6" x14ac:dyDescent="0.3">
      <c r="A1932" s="3" t="s">
        <v>16</v>
      </c>
      <c r="B1932" s="7" t="str">
        <f>VLOOKUP(VALUE(A1932), 'DICIONÁRIO UF'!$A:$B, 2, FALSE)</f>
        <v>Pernambuco</v>
      </c>
      <c r="C1932" s="3">
        <v>1109</v>
      </c>
      <c r="D1932" s="5" t="str">
        <f>VLOOKUP(C1932, 'DICIONÁRIO CNAES'!$A:$B, 2, FALSE)</f>
        <v>Cultivo de outras lavouras temporárias não especificadas anteriormente</v>
      </c>
      <c r="E1932" s="4">
        <v>83460.357258250006</v>
      </c>
      <c r="F1932" s="4">
        <v>29074980.295428801</v>
      </c>
    </row>
    <row r="1933" spans="1:6" x14ac:dyDescent="0.3">
      <c r="A1933" s="3" t="s">
        <v>16</v>
      </c>
      <c r="B1933" s="7" t="str">
        <f>VLOOKUP(VALUE(A1933), 'DICIONÁRIO UF'!$A:$B, 2, FALSE)</f>
        <v>Pernambuco</v>
      </c>
      <c r="C1933" s="3">
        <v>1110</v>
      </c>
      <c r="D1933" s="5" t="str">
        <f>VLOOKUP(C1933, 'DICIONÁRIO CNAES'!$A:$B, 2, FALSE)</f>
        <v>Horticultura</v>
      </c>
      <c r="E1933" s="4">
        <v>18272.326324940001</v>
      </c>
      <c r="F1933" s="4">
        <v>10252053.9508697</v>
      </c>
    </row>
    <row r="1934" spans="1:6" x14ac:dyDescent="0.3">
      <c r="A1934" s="3" t="s">
        <v>16</v>
      </c>
      <c r="B1934" s="7" t="str">
        <f>VLOOKUP(VALUE(A1934), 'DICIONÁRIO UF'!$A:$B, 2, FALSE)</f>
        <v>Pernambuco</v>
      </c>
      <c r="C1934" s="3">
        <v>1111</v>
      </c>
      <c r="D1934" s="5" t="str">
        <f>VLOOKUP(C1934, 'DICIONÁRIO CNAES'!$A:$B, 2, FALSE)</f>
        <v>Cultivo de flores e plantas ornamentais</v>
      </c>
      <c r="E1934" s="4">
        <v>4144.8737423499997</v>
      </c>
      <c r="F1934" s="4">
        <v>3201327.3679427002</v>
      </c>
    </row>
    <row r="1935" spans="1:6" x14ac:dyDescent="0.3">
      <c r="A1935" s="3" t="s">
        <v>16</v>
      </c>
      <c r="B1935" s="7" t="str">
        <f>VLOOKUP(VALUE(A1935), 'DICIONÁRIO UF'!$A:$B, 2, FALSE)</f>
        <v>Pernambuco</v>
      </c>
      <c r="C1935" s="3">
        <v>1112</v>
      </c>
      <c r="D1935" s="5" t="str">
        <f>VLOOKUP(C1935, 'DICIONÁRIO CNAES'!$A:$B, 2, FALSE)</f>
        <v>Cultivo de frutas cítricas</v>
      </c>
      <c r="E1935" s="4">
        <v>702.23086649000004</v>
      </c>
      <c r="F1935" s="4">
        <v>1281451.793445</v>
      </c>
    </row>
    <row r="1936" spans="1:6" x14ac:dyDescent="0.3">
      <c r="A1936" s="3" t="s">
        <v>16</v>
      </c>
      <c r="B1936" s="7" t="str">
        <f>VLOOKUP(VALUE(A1936), 'DICIONÁRIO UF'!$A:$B, 2, FALSE)</f>
        <v>Pernambuco</v>
      </c>
      <c r="C1936" s="3">
        <v>1115</v>
      </c>
      <c r="D1936" s="5" t="str">
        <f>VLOOKUP(C1936, 'DICIONÁRIO CNAES'!$A:$B, 2, FALSE)</f>
        <v>Cultivo de uva</v>
      </c>
      <c r="E1936" s="4">
        <v>19430.239519499999</v>
      </c>
      <c r="F1936" s="4">
        <v>35136176.672604002</v>
      </c>
    </row>
    <row r="1937" spans="1:6" x14ac:dyDescent="0.3">
      <c r="A1937" s="3" t="s">
        <v>16</v>
      </c>
      <c r="B1937" s="7" t="str">
        <f>VLOOKUP(VALUE(A1937), 'DICIONÁRIO UF'!$A:$B, 2, FALSE)</f>
        <v>Pernambuco</v>
      </c>
      <c r="C1937" s="3">
        <v>1116</v>
      </c>
      <c r="D1937" s="5" t="str">
        <f>VLOOKUP(C1937, 'DICIONÁRIO CNAES'!$A:$B, 2, FALSE)</f>
        <v>Cultivo de banana</v>
      </c>
      <c r="E1937" s="4">
        <v>20414.66312221</v>
      </c>
      <c r="F1937" s="4">
        <v>14659102.467440801</v>
      </c>
    </row>
    <row r="1938" spans="1:6" x14ac:dyDescent="0.3">
      <c r="A1938" s="3" t="s">
        <v>16</v>
      </c>
      <c r="B1938" s="7" t="str">
        <f>VLOOKUP(VALUE(A1938), 'DICIONÁRIO UF'!$A:$B, 2, FALSE)</f>
        <v>Pernambuco</v>
      </c>
      <c r="C1938" s="3">
        <v>1117</v>
      </c>
      <c r="D1938" s="5" t="str">
        <f>VLOOKUP(C1938, 'DICIONÁRIO CNAES'!$A:$B, 2, FALSE)</f>
        <v>Cultivo de outras plantas e frutas de lavoura permanente não especificadas anteriormente</v>
      </c>
      <c r="E1938" s="4">
        <v>27597.92475192</v>
      </c>
      <c r="F1938" s="4">
        <v>14386859.20107975</v>
      </c>
    </row>
    <row r="1939" spans="1:6" x14ac:dyDescent="0.3">
      <c r="A1939" s="3" t="s">
        <v>16</v>
      </c>
      <c r="B1939" s="7" t="str">
        <f>VLOOKUP(VALUE(A1939), 'DICIONÁRIO UF'!$A:$B, 2, FALSE)</f>
        <v>Pernambuco</v>
      </c>
      <c r="C1939" s="3">
        <v>1119</v>
      </c>
      <c r="D1939" s="5" t="str">
        <f>VLOOKUP(C1939, 'DICIONÁRIO CNAES'!$A:$B, 2, FALSE)</f>
        <v>Lavoura não especificada</v>
      </c>
      <c r="E1939" s="4">
        <v>13650.42025553</v>
      </c>
      <c r="F1939" s="4">
        <v>8778125.1668429002</v>
      </c>
    </row>
    <row r="1940" spans="1:6" x14ac:dyDescent="0.3">
      <c r="A1940" s="3" t="s">
        <v>16</v>
      </c>
      <c r="B1940" s="7" t="str">
        <f>VLOOKUP(VALUE(A1940), 'DICIONÁRIO UF'!$A:$B, 2, FALSE)</f>
        <v>Pernambuco</v>
      </c>
      <c r="C1940" s="3">
        <v>1201</v>
      </c>
      <c r="D1940" s="5" t="str">
        <f>VLOOKUP(C1940, 'DICIONÁRIO CNAES'!$A:$B, 2, FALSE)</f>
        <v>Criação de bovinos</v>
      </c>
      <c r="E1940" s="4">
        <v>29490.005629309999</v>
      </c>
      <c r="F1940" s="4">
        <v>28104281.720490102</v>
      </c>
    </row>
    <row r="1941" spans="1:6" x14ac:dyDescent="0.3">
      <c r="A1941" s="3" t="s">
        <v>16</v>
      </c>
      <c r="B1941" s="7" t="str">
        <f>VLOOKUP(VALUE(A1941), 'DICIONÁRIO UF'!$A:$B, 2, FALSE)</f>
        <v>Pernambuco</v>
      </c>
      <c r="C1941" s="3">
        <v>1202</v>
      </c>
      <c r="D1941" s="5" t="str">
        <f>VLOOKUP(C1941, 'DICIONÁRIO CNAES'!$A:$B, 2, FALSE)</f>
        <v>Criação de outros animais de grande porte não especificados anteriormente</v>
      </c>
      <c r="E1941" s="4">
        <v>818.14949085000001</v>
      </c>
      <c r="F1941" s="4">
        <v>455090.492532</v>
      </c>
    </row>
    <row r="1942" spans="1:6" x14ac:dyDescent="0.3">
      <c r="A1942" s="3" t="s">
        <v>16</v>
      </c>
      <c r="B1942" s="7" t="str">
        <f>VLOOKUP(VALUE(A1942), 'DICIONÁRIO UF'!$A:$B, 2, FALSE)</f>
        <v>Pernambuco</v>
      </c>
      <c r="C1942" s="3">
        <v>1203</v>
      </c>
      <c r="D1942" s="5" t="str">
        <f>VLOOKUP(C1942, 'DICIONÁRIO CNAES'!$A:$B, 2, FALSE)</f>
        <v>Criação de caprinos e ovinos</v>
      </c>
      <c r="E1942" s="4">
        <v>8832.8521911900007</v>
      </c>
      <c r="F1942" s="4">
        <v>10337706.8352964</v>
      </c>
    </row>
    <row r="1943" spans="1:6" x14ac:dyDescent="0.3">
      <c r="A1943" s="3" t="s">
        <v>16</v>
      </c>
      <c r="B1943" s="7" t="str">
        <f>VLOOKUP(VALUE(A1943), 'DICIONÁRIO UF'!$A:$B, 2, FALSE)</f>
        <v>Pernambuco</v>
      </c>
      <c r="C1943" s="3">
        <v>1204</v>
      </c>
      <c r="D1943" s="5" t="str">
        <f>VLOOKUP(C1943, 'DICIONÁRIO CNAES'!$A:$B, 2, FALSE)</f>
        <v>Criação de suínos</v>
      </c>
      <c r="E1943" s="4">
        <v>1738.6596335500001</v>
      </c>
      <c r="F1943" s="4">
        <v>996591.13456599996</v>
      </c>
    </row>
    <row r="1944" spans="1:6" x14ac:dyDescent="0.3">
      <c r="A1944" s="3" t="s">
        <v>16</v>
      </c>
      <c r="B1944" s="7" t="str">
        <f>VLOOKUP(VALUE(A1944), 'DICIONÁRIO UF'!$A:$B, 2, FALSE)</f>
        <v>Pernambuco</v>
      </c>
      <c r="C1944" s="3">
        <v>1205</v>
      </c>
      <c r="D1944" s="5" t="str">
        <f>VLOOKUP(C1944, 'DICIONÁRIO CNAES'!$A:$B, 2, FALSE)</f>
        <v>Criação de aves</v>
      </c>
      <c r="E1944" s="4">
        <v>5882.8176816799996</v>
      </c>
      <c r="F1944" s="4">
        <v>5701958.7020220002</v>
      </c>
    </row>
    <row r="1945" spans="1:6" x14ac:dyDescent="0.3">
      <c r="A1945" s="3" t="s">
        <v>16</v>
      </c>
      <c r="B1945" s="7" t="str">
        <f>VLOOKUP(VALUE(A1945), 'DICIONÁRIO UF'!$A:$B, 2, FALSE)</f>
        <v>Pernambuco</v>
      </c>
      <c r="C1945" s="3">
        <v>1206</v>
      </c>
      <c r="D1945" s="5" t="str">
        <f>VLOOKUP(C1945, 'DICIONÁRIO CNAES'!$A:$B, 2, FALSE)</f>
        <v>Apicultura</v>
      </c>
      <c r="E1945" s="4">
        <v>336.36336383000003</v>
      </c>
      <c r="F1945" s="4">
        <v>11099.991006390001</v>
      </c>
    </row>
    <row r="1946" spans="1:6" x14ac:dyDescent="0.3">
      <c r="A1946" s="3" t="s">
        <v>16</v>
      </c>
      <c r="B1946" s="7" t="str">
        <f>VLOOKUP(VALUE(A1946), 'DICIONÁRIO UF'!$A:$B, 2, FALSE)</f>
        <v>Pernambuco</v>
      </c>
      <c r="C1946" s="3">
        <v>1209</v>
      </c>
      <c r="D1946" s="5" t="str">
        <f>VLOOKUP(C1946, 'DICIONÁRIO CNAES'!$A:$B, 2, FALSE)</f>
        <v>Pecuária não especificada</v>
      </c>
      <c r="E1946" s="4">
        <v>149.44427926</v>
      </c>
      <c r="F1946" s="4">
        <v>119555.423408</v>
      </c>
    </row>
    <row r="1947" spans="1:6" x14ac:dyDescent="0.3">
      <c r="A1947" s="3" t="s">
        <v>16</v>
      </c>
      <c r="B1947" s="7" t="str">
        <f>VLOOKUP(VALUE(A1947), 'DICIONÁRIO UF'!$A:$B, 2, FALSE)</f>
        <v>Pernambuco</v>
      </c>
      <c r="C1947" s="3">
        <v>1401</v>
      </c>
      <c r="D1947" s="5" t="str">
        <f>VLOOKUP(C1947, 'DICIONÁRIO CNAES'!$A:$B, 2, FALSE)</f>
        <v>Atividades de apoio à agricultura e pós-colheita</v>
      </c>
      <c r="E1947" s="4">
        <v>1743.29541404</v>
      </c>
      <c r="F1947" s="4">
        <v>1380326.129494</v>
      </c>
    </row>
    <row r="1948" spans="1:6" x14ac:dyDescent="0.3">
      <c r="A1948" s="3" t="s">
        <v>16</v>
      </c>
      <c r="B1948" s="7" t="str">
        <f>VLOOKUP(VALUE(A1948), 'DICIONÁRIO UF'!$A:$B, 2, FALSE)</f>
        <v>Pernambuco</v>
      </c>
      <c r="C1948" s="3">
        <v>1402</v>
      </c>
      <c r="D1948" s="5" t="str">
        <f>VLOOKUP(C1948, 'DICIONÁRIO CNAES'!$A:$B, 2, FALSE)</f>
        <v xml:space="preserve">Atividades de apoio à pecuária </v>
      </c>
      <c r="E1948" s="4">
        <v>284.64118744000001</v>
      </c>
      <c r="F1948" s="4">
        <v>170784.71246400001</v>
      </c>
    </row>
    <row r="1949" spans="1:6" x14ac:dyDescent="0.3">
      <c r="A1949" s="3" t="s">
        <v>16</v>
      </c>
      <c r="B1949" s="7" t="str">
        <f>VLOOKUP(VALUE(A1949), 'DICIONÁRIO UF'!$A:$B, 2, FALSE)</f>
        <v>Pernambuco</v>
      </c>
      <c r="C1949" s="3">
        <v>2000</v>
      </c>
      <c r="D1949" s="5" t="str">
        <f>VLOOKUP(C1949, 'DICIONÁRIO CNAES'!$A:$B, 2, FALSE)</f>
        <v xml:space="preserve">Produção florestal </v>
      </c>
      <c r="E1949" s="4">
        <v>4463.4905815000002</v>
      </c>
      <c r="F1949" s="4">
        <v>1902895.2247629999</v>
      </c>
    </row>
    <row r="1950" spans="1:6" x14ac:dyDescent="0.3">
      <c r="A1950" s="3" t="s">
        <v>16</v>
      </c>
      <c r="B1950" s="7" t="str">
        <f>VLOOKUP(VALUE(A1950), 'DICIONÁRIO UF'!$A:$B, 2, FALSE)</f>
        <v>Pernambuco</v>
      </c>
      <c r="C1950" s="3">
        <v>3001</v>
      </c>
      <c r="D1950" s="5" t="str">
        <f>VLOOKUP(C1950, 'DICIONÁRIO CNAES'!$A:$B, 2, FALSE)</f>
        <v>Pesca</v>
      </c>
      <c r="E1950" s="4">
        <v>5015.53841207</v>
      </c>
      <c r="F1950" s="4">
        <v>3434995.000341</v>
      </c>
    </row>
    <row r="1951" spans="1:6" x14ac:dyDescent="0.3">
      <c r="A1951" s="3" t="s">
        <v>16</v>
      </c>
      <c r="B1951" s="7" t="str">
        <f>VLOOKUP(VALUE(A1951), 'DICIONÁRIO UF'!$A:$B, 2, FALSE)</f>
        <v>Pernambuco</v>
      </c>
      <c r="C1951" s="3">
        <v>3002</v>
      </c>
      <c r="D1951" s="5" t="str">
        <f>VLOOKUP(C1951, 'DICIONÁRIO CNAES'!$A:$B, 2, FALSE)</f>
        <v>Aqüicultura</v>
      </c>
      <c r="E1951" s="4">
        <v>527.30929792999996</v>
      </c>
      <c r="F1951" s="4">
        <v>521897.70816679997</v>
      </c>
    </row>
    <row r="1952" spans="1:6" x14ac:dyDescent="0.3">
      <c r="A1952" s="3" t="s">
        <v>16</v>
      </c>
      <c r="B1952" s="7" t="str">
        <f>VLOOKUP(VALUE(A1952), 'DICIONÁRIO UF'!$A:$B, 2, FALSE)</f>
        <v>Pernambuco</v>
      </c>
      <c r="C1952" s="3">
        <v>6000</v>
      </c>
      <c r="D1952" s="5" t="str">
        <f>VLOOKUP(C1952, 'DICIONÁRIO CNAES'!$A:$B, 2, FALSE)</f>
        <v xml:space="preserve">Extração de petróleo e gás natural </v>
      </c>
      <c r="E1952" s="4">
        <v>1463.8884337899999</v>
      </c>
      <c r="F1952" s="4">
        <v>10983839.398979999</v>
      </c>
    </row>
    <row r="1953" spans="1:6" x14ac:dyDescent="0.3">
      <c r="A1953" s="3" t="s">
        <v>16</v>
      </c>
      <c r="B1953" s="7" t="str">
        <f>VLOOKUP(VALUE(A1953), 'DICIONÁRIO UF'!$A:$B, 2, FALSE)</f>
        <v>Pernambuco</v>
      </c>
      <c r="C1953" s="3">
        <v>7002</v>
      </c>
      <c r="D1953" s="5" t="str">
        <f>VLOOKUP(C1953, 'DICIONÁRIO CNAES'!$A:$B, 2, FALSE)</f>
        <v xml:space="preserve">Extração de minerais metálicos não especificados anteriormente </v>
      </c>
      <c r="E1953" s="4">
        <v>919.70526775999997</v>
      </c>
      <c r="F1953" s="4">
        <v>2813713.87775</v>
      </c>
    </row>
    <row r="1954" spans="1:6" x14ac:dyDescent="0.3">
      <c r="A1954" s="3" t="s">
        <v>16</v>
      </c>
      <c r="B1954" s="7" t="str">
        <f>VLOOKUP(VALUE(A1954), 'DICIONÁRIO UF'!$A:$B, 2, FALSE)</f>
        <v>Pernambuco</v>
      </c>
      <c r="C1954" s="3">
        <v>8001</v>
      </c>
      <c r="D1954" s="5" t="str">
        <f>VLOOKUP(C1954, 'DICIONÁRIO CNAES'!$A:$B, 2, FALSE)</f>
        <v>Extração de pedras, areia e argila</v>
      </c>
      <c r="E1954" s="4">
        <v>5112.6312505200003</v>
      </c>
      <c r="F1954" s="4">
        <v>6403150.9471283993</v>
      </c>
    </row>
    <row r="1955" spans="1:6" x14ac:dyDescent="0.3">
      <c r="A1955" s="3" t="s">
        <v>16</v>
      </c>
      <c r="B1955" s="7" t="str">
        <f>VLOOKUP(VALUE(A1955), 'DICIONÁRIO UF'!$A:$B, 2, FALSE)</f>
        <v>Pernambuco</v>
      </c>
      <c r="C1955" s="3">
        <v>10010</v>
      </c>
      <c r="D1955" s="5" t="str">
        <f>VLOOKUP(C1955, 'DICIONÁRIO CNAES'!$A:$B, 2, FALSE)</f>
        <v xml:space="preserve">Abate e fabricação de produtos de carne e pescado </v>
      </c>
      <c r="E1955" s="4">
        <v>9872.2717887300005</v>
      </c>
      <c r="F1955" s="4">
        <v>17823256.512962699</v>
      </c>
    </row>
    <row r="1956" spans="1:6" x14ac:dyDescent="0.3">
      <c r="A1956" s="3" t="s">
        <v>16</v>
      </c>
      <c r="B1956" s="7" t="str">
        <f>VLOOKUP(VALUE(A1956), 'DICIONÁRIO UF'!$A:$B, 2, FALSE)</f>
        <v>Pernambuco</v>
      </c>
      <c r="C1956" s="3">
        <v>10021</v>
      </c>
      <c r="D1956" s="5" t="str">
        <f>VLOOKUP(C1956, 'DICIONÁRIO CNAES'!$A:$B, 2, FALSE)</f>
        <v>Fabricação de conservas de frutas, legumes e outros vegetais</v>
      </c>
      <c r="E1956" s="4">
        <v>897.35167522999996</v>
      </c>
      <c r="F1956" s="4">
        <v>775575.34337000002</v>
      </c>
    </row>
    <row r="1957" spans="1:6" x14ac:dyDescent="0.3">
      <c r="A1957" s="3" t="s">
        <v>16</v>
      </c>
      <c r="B1957" s="7" t="str">
        <f>VLOOKUP(VALUE(A1957), 'DICIONÁRIO UF'!$A:$B, 2, FALSE)</f>
        <v>Pernambuco</v>
      </c>
      <c r="C1957" s="3">
        <v>10022</v>
      </c>
      <c r="D1957" s="5" t="str">
        <f>VLOOKUP(C1957, 'DICIONÁRIO CNAES'!$A:$B, 2, FALSE)</f>
        <v>Fabricação de óleos vegetais e gorduras vegetais e animais</v>
      </c>
      <c r="E1957" s="4">
        <v>564.26572355999997</v>
      </c>
      <c r="F1957" s="4">
        <v>620692.29591599992</v>
      </c>
    </row>
    <row r="1958" spans="1:6" x14ac:dyDescent="0.3">
      <c r="A1958" s="3" t="s">
        <v>16</v>
      </c>
      <c r="B1958" s="7" t="str">
        <f>VLOOKUP(VALUE(A1958), 'DICIONÁRIO UF'!$A:$B, 2, FALSE)</f>
        <v>Pernambuco</v>
      </c>
      <c r="C1958" s="3">
        <v>10030</v>
      </c>
      <c r="D1958" s="5" t="str">
        <f>VLOOKUP(C1958, 'DICIONÁRIO CNAES'!$A:$B, 2, FALSE)</f>
        <v>Laticínios</v>
      </c>
      <c r="E1958" s="4">
        <v>4620.1036771999998</v>
      </c>
      <c r="F1958" s="4">
        <v>2532753.7824880001</v>
      </c>
    </row>
    <row r="1959" spans="1:6" x14ac:dyDescent="0.3">
      <c r="A1959" s="3" t="s">
        <v>16</v>
      </c>
      <c r="B1959" s="7" t="str">
        <f>VLOOKUP(VALUE(A1959), 'DICIONÁRIO UF'!$A:$B, 2, FALSE)</f>
        <v>Pernambuco</v>
      </c>
      <c r="C1959" s="3">
        <v>10091</v>
      </c>
      <c r="D1959" s="5" t="str">
        <f>VLOOKUP(C1959, 'DICIONÁRIO CNAES'!$A:$B, 2, FALSE)</f>
        <v>Moagem, fabricação de produtos amiláceos e de alimentos para animais</v>
      </c>
      <c r="E1959" s="4">
        <v>4768.0935829700002</v>
      </c>
      <c r="F1959" s="4">
        <v>4208123.7707150001</v>
      </c>
    </row>
    <row r="1960" spans="1:6" x14ac:dyDescent="0.3">
      <c r="A1960" s="3" t="s">
        <v>16</v>
      </c>
      <c r="B1960" s="7" t="str">
        <f>VLOOKUP(VALUE(A1960), 'DICIONÁRIO UF'!$A:$B, 2, FALSE)</f>
        <v>Pernambuco</v>
      </c>
      <c r="C1960" s="3">
        <v>10092</v>
      </c>
      <c r="D1960" s="5" t="str">
        <f>VLOOKUP(C1960, 'DICIONÁRIO CNAES'!$A:$B, 2, FALSE)</f>
        <v>Fabricação e refino do açúcar</v>
      </c>
      <c r="E1960" s="4">
        <v>18353.669778830001</v>
      </c>
      <c r="F1960" s="4">
        <v>25665810.632981699</v>
      </c>
    </row>
    <row r="1961" spans="1:6" x14ac:dyDescent="0.3">
      <c r="A1961" s="3" t="s">
        <v>16</v>
      </c>
      <c r="B1961" s="7" t="str">
        <f>VLOOKUP(VALUE(A1961), 'DICIONÁRIO UF'!$A:$B, 2, FALSE)</f>
        <v>Pernambuco</v>
      </c>
      <c r="C1961" s="3">
        <v>10099</v>
      </c>
      <c r="D1961" s="5" t="str">
        <f>VLOOKUP(C1961, 'DICIONÁRIO CNAES'!$A:$B, 2, FALSE)</f>
        <v>Fabricação de outros produtos alimentícios</v>
      </c>
      <c r="E1961" s="4">
        <v>29797.27046711</v>
      </c>
      <c r="F1961" s="4">
        <v>46730811.626099348</v>
      </c>
    </row>
    <row r="1962" spans="1:6" x14ac:dyDescent="0.3">
      <c r="A1962" s="3" t="s">
        <v>16</v>
      </c>
      <c r="B1962" s="7" t="str">
        <f>VLOOKUP(VALUE(A1962), 'DICIONÁRIO UF'!$A:$B, 2, FALSE)</f>
        <v>Pernambuco</v>
      </c>
      <c r="C1962" s="3">
        <v>11000</v>
      </c>
      <c r="D1962" s="5" t="str">
        <f>VLOOKUP(C1962, 'DICIONÁRIO CNAES'!$A:$B, 2, FALSE)</f>
        <v>Fabricação de bebidas</v>
      </c>
      <c r="E1962" s="4">
        <v>3792.6071360800001</v>
      </c>
      <c r="F1962" s="4">
        <v>6703418.1296070004</v>
      </c>
    </row>
    <row r="1963" spans="1:6" x14ac:dyDescent="0.3">
      <c r="A1963" s="3" t="s">
        <v>16</v>
      </c>
      <c r="B1963" s="7" t="str">
        <f>VLOOKUP(VALUE(A1963), 'DICIONÁRIO UF'!$A:$B, 2, FALSE)</f>
        <v>Pernambuco</v>
      </c>
      <c r="C1963" s="3">
        <v>13001</v>
      </c>
      <c r="D1963" s="5" t="str">
        <f>VLOOKUP(C1963, 'DICIONÁRIO CNAES'!$A:$B, 2, FALSE)</f>
        <v>Preparação de fibras, fiação e tecelagem</v>
      </c>
      <c r="E1963" s="4">
        <v>5702.9735444899998</v>
      </c>
      <c r="F1963" s="4">
        <v>5687609.9175239597</v>
      </c>
    </row>
    <row r="1964" spans="1:6" x14ac:dyDescent="0.3">
      <c r="A1964" s="3" t="s">
        <v>16</v>
      </c>
      <c r="B1964" s="7" t="str">
        <f>VLOOKUP(VALUE(A1964), 'DICIONÁRIO UF'!$A:$B, 2, FALSE)</f>
        <v>Pernambuco</v>
      </c>
      <c r="C1964" s="3">
        <v>13002</v>
      </c>
      <c r="D1964" s="5" t="str">
        <f>VLOOKUP(C1964, 'DICIONÁRIO CNAES'!$A:$B, 2, FALSE)</f>
        <v>Fabricação de artefatos têxteis, exceto vestuário</v>
      </c>
      <c r="E1964" s="4">
        <v>14094.279000680001</v>
      </c>
      <c r="F1964" s="4">
        <v>10610368.7772255</v>
      </c>
    </row>
    <row r="1965" spans="1:6" x14ac:dyDescent="0.3">
      <c r="A1965" s="3" t="s">
        <v>16</v>
      </c>
      <c r="B1965" s="7" t="str">
        <f>VLOOKUP(VALUE(A1965), 'DICIONÁRIO UF'!$A:$B, 2, FALSE)</f>
        <v>Pernambuco</v>
      </c>
      <c r="C1965" s="3">
        <v>14001</v>
      </c>
      <c r="D1965" s="5" t="str">
        <f>VLOOKUP(C1965, 'DICIONÁRIO CNAES'!$A:$B, 2, FALSE)</f>
        <v>Confecção de artigos do vestuário e acessórios, exceto sob medida</v>
      </c>
      <c r="E1965" s="4">
        <v>94320.675548900006</v>
      </c>
      <c r="F1965" s="4">
        <v>83795162.954725176</v>
      </c>
    </row>
    <row r="1966" spans="1:6" x14ac:dyDescent="0.3">
      <c r="A1966" s="3" t="s">
        <v>16</v>
      </c>
      <c r="B1966" s="7" t="str">
        <f>VLOOKUP(VALUE(A1966), 'DICIONÁRIO UF'!$A:$B, 2, FALSE)</f>
        <v>Pernambuco</v>
      </c>
      <c r="C1966" s="3">
        <v>14002</v>
      </c>
      <c r="D1966" s="5" t="str">
        <f>VLOOKUP(C1966, 'DICIONÁRIO CNAES'!$A:$B, 2, FALSE)</f>
        <v>Confecção, sob medida, de artigos do vestuário</v>
      </c>
      <c r="E1966" s="4">
        <v>25934.99110798</v>
      </c>
      <c r="F1966" s="4">
        <v>28875937.875387121</v>
      </c>
    </row>
    <row r="1967" spans="1:6" x14ac:dyDescent="0.3">
      <c r="A1967" s="3" t="s">
        <v>16</v>
      </c>
      <c r="B1967" s="7" t="str">
        <f>VLOOKUP(VALUE(A1967), 'DICIONÁRIO UF'!$A:$B, 2, FALSE)</f>
        <v>Pernambuco</v>
      </c>
      <c r="C1967" s="3">
        <v>15012</v>
      </c>
      <c r="D1967" s="5" t="str">
        <f>VLOOKUP(C1967, 'DICIONÁRIO CNAES'!$A:$B, 2, FALSE)</f>
        <v>Fabricação de artigos de viagem e de artefatos diversos de couro</v>
      </c>
      <c r="E1967" s="4">
        <v>368.36384665000003</v>
      </c>
      <c r="F1967" s="4">
        <v>292431.94478000002</v>
      </c>
    </row>
    <row r="1968" spans="1:6" x14ac:dyDescent="0.3">
      <c r="A1968" s="3" t="s">
        <v>16</v>
      </c>
      <c r="B1968" s="7" t="str">
        <f>VLOOKUP(VALUE(A1968), 'DICIONÁRIO UF'!$A:$B, 2, FALSE)</f>
        <v>Pernambuco</v>
      </c>
      <c r="C1968" s="3">
        <v>15020</v>
      </c>
      <c r="D1968" s="5" t="str">
        <f>VLOOKUP(C1968, 'DICIONÁRIO CNAES'!$A:$B, 2, FALSE)</f>
        <v>Fabricação de calçados e partes para calçados, de qualquer material</v>
      </c>
      <c r="E1968" s="4">
        <v>4605.5871876800002</v>
      </c>
      <c r="F1968" s="4">
        <v>4729136.4246965004</v>
      </c>
    </row>
    <row r="1969" spans="1:6" x14ac:dyDescent="0.3">
      <c r="A1969" s="3" t="s">
        <v>16</v>
      </c>
      <c r="B1969" s="7" t="str">
        <f>VLOOKUP(VALUE(A1969), 'DICIONÁRIO UF'!$A:$B, 2, FALSE)</f>
        <v>Pernambuco</v>
      </c>
      <c r="C1969" s="3">
        <v>16001</v>
      </c>
      <c r="D1969" s="5" t="str">
        <f>VLOOKUP(C1969, 'DICIONÁRIO CNAES'!$A:$B, 2, FALSE)</f>
        <v>Serrarias</v>
      </c>
      <c r="E1969" s="4">
        <v>1108.9415442899999</v>
      </c>
      <c r="F1969" s="4">
        <v>990965.84460699989</v>
      </c>
    </row>
    <row r="1970" spans="1:6" x14ac:dyDescent="0.3">
      <c r="A1970" s="3" t="s">
        <v>16</v>
      </c>
      <c r="B1970" s="7" t="str">
        <f>VLOOKUP(VALUE(A1970), 'DICIONÁRIO UF'!$A:$B, 2, FALSE)</f>
        <v>Pernambuco</v>
      </c>
      <c r="C1970" s="3">
        <v>16002</v>
      </c>
      <c r="D1970" s="5" t="str">
        <f>VLOOKUP(C1970, 'DICIONÁRIO CNAES'!$A:$B, 2, FALSE)</f>
        <v>Fabricação de produtos de madeira, cortiça e material trançado, exceto móveis</v>
      </c>
      <c r="E1970" s="4">
        <v>8399.4940568900001</v>
      </c>
      <c r="F1970" s="4">
        <v>9162217.376131</v>
      </c>
    </row>
    <row r="1971" spans="1:6" x14ac:dyDescent="0.3">
      <c r="A1971" s="3" t="s">
        <v>16</v>
      </c>
      <c r="B1971" s="7" t="str">
        <f>VLOOKUP(VALUE(A1971), 'DICIONÁRIO UF'!$A:$B, 2, FALSE)</f>
        <v>Pernambuco</v>
      </c>
      <c r="C1971" s="3">
        <v>17001</v>
      </c>
      <c r="D1971" s="5" t="str">
        <f>VLOOKUP(C1971, 'DICIONÁRIO CNAES'!$A:$B, 2, FALSE)</f>
        <v>Fabricação de celulose, papel, cartolina e papel-cartão</v>
      </c>
      <c r="E1971" s="4">
        <v>335.93676144</v>
      </c>
      <c r="F1971" s="4">
        <v>369530.437584</v>
      </c>
    </row>
    <row r="1972" spans="1:6" x14ac:dyDescent="0.3">
      <c r="A1972" s="3" t="s">
        <v>16</v>
      </c>
      <c r="B1972" s="7" t="str">
        <f>VLOOKUP(VALUE(A1972), 'DICIONÁRIO UF'!$A:$B, 2, FALSE)</f>
        <v>Pernambuco</v>
      </c>
      <c r="C1972" s="3">
        <v>17002</v>
      </c>
      <c r="D1972" s="5" t="str">
        <f>VLOOKUP(C1972, 'DICIONÁRIO CNAES'!$A:$B, 2, FALSE)</f>
        <v>Fabricação de embalagens e de produtos diversos de papel, cartolina, papel-cartão e papelão ondulado</v>
      </c>
      <c r="E1972" s="4">
        <v>5229.0322465600002</v>
      </c>
      <c r="F1972" s="4">
        <v>12264142.932957999</v>
      </c>
    </row>
    <row r="1973" spans="1:6" x14ac:dyDescent="0.3">
      <c r="A1973" s="3" t="s">
        <v>16</v>
      </c>
      <c r="B1973" s="7" t="str">
        <f>VLOOKUP(VALUE(A1973), 'DICIONÁRIO UF'!$A:$B, 2, FALSE)</f>
        <v>Pernambuco</v>
      </c>
      <c r="C1973" s="3">
        <v>18000</v>
      </c>
      <c r="D1973" s="5" t="str">
        <f>VLOOKUP(C1973, 'DICIONÁRIO CNAES'!$A:$B, 2, FALSE)</f>
        <v>Impressão e reprodução de gravações</v>
      </c>
      <c r="E1973" s="4">
        <v>7910.9590257299997</v>
      </c>
      <c r="F1973" s="4">
        <v>15229935.357671</v>
      </c>
    </row>
    <row r="1974" spans="1:6" x14ac:dyDescent="0.3">
      <c r="A1974" s="3" t="s">
        <v>16</v>
      </c>
      <c r="B1974" s="7" t="str">
        <f>VLOOKUP(VALUE(A1974), 'DICIONÁRIO UF'!$A:$B, 2, FALSE)</f>
        <v>Pernambuco</v>
      </c>
      <c r="C1974" s="3">
        <v>19020</v>
      </c>
      <c r="D1974" s="5" t="str">
        <f>VLOOKUP(C1974, 'DICIONÁRIO CNAES'!$A:$B, 2, FALSE)</f>
        <v>Fabricação de produtos derivados do petróleo</v>
      </c>
      <c r="E1974" s="4">
        <v>1057.7269269999999</v>
      </c>
      <c r="F1974" s="4">
        <v>12595457.148940001</v>
      </c>
    </row>
    <row r="1975" spans="1:6" x14ac:dyDescent="0.3">
      <c r="A1975" s="3" t="s">
        <v>16</v>
      </c>
      <c r="B1975" s="7" t="str">
        <f>VLOOKUP(VALUE(A1975), 'DICIONÁRIO UF'!$A:$B, 2, FALSE)</f>
        <v>Pernambuco</v>
      </c>
      <c r="C1975" s="3">
        <v>19030</v>
      </c>
      <c r="D1975" s="5" t="str">
        <f>VLOOKUP(C1975, 'DICIONÁRIO CNAES'!$A:$B, 2, FALSE)</f>
        <v>Produção de biocombustíveis</v>
      </c>
      <c r="E1975" s="4">
        <v>50.046593250000001</v>
      </c>
      <c r="F1975" s="4">
        <v>110102.50515</v>
      </c>
    </row>
    <row r="1976" spans="1:6" x14ac:dyDescent="0.3">
      <c r="A1976" s="3" t="s">
        <v>16</v>
      </c>
      <c r="B1976" s="7" t="str">
        <f>VLOOKUP(VALUE(A1976), 'DICIONÁRIO UF'!$A:$B, 2, FALSE)</f>
        <v>Pernambuco</v>
      </c>
      <c r="C1976" s="3">
        <v>20010</v>
      </c>
      <c r="D1976" s="5" t="str">
        <f>VLOOKUP(C1976, 'DICIONÁRIO CNAES'!$A:$B, 2, FALSE)</f>
        <v>Fabricação de tintas, vernizes, esmaltes, lacas e produtos afins</v>
      </c>
      <c r="E1976" s="4">
        <v>765.78170954999996</v>
      </c>
      <c r="F1976" s="4">
        <v>842359.88050500001</v>
      </c>
    </row>
    <row r="1977" spans="1:6" x14ac:dyDescent="0.3">
      <c r="A1977" s="3" t="s">
        <v>16</v>
      </c>
      <c r="B1977" s="7" t="str">
        <f>VLOOKUP(VALUE(A1977), 'DICIONÁRIO UF'!$A:$B, 2, FALSE)</f>
        <v>Pernambuco</v>
      </c>
      <c r="C1977" s="3">
        <v>20020</v>
      </c>
      <c r="D1977" s="5" t="str">
        <f>VLOOKUP(C1977, 'DICIONÁRIO CNAES'!$A:$B, 2, FALSE)</f>
        <v>Fabricação de sabões, detergentes, produtos de limpeza, cosméticos, produtos de perfumaria e de higiene pessoal</v>
      </c>
      <c r="E1977" s="4">
        <v>5254.2970112600015</v>
      </c>
      <c r="F1977" s="4">
        <v>5342949.0855026804</v>
      </c>
    </row>
    <row r="1978" spans="1:6" x14ac:dyDescent="0.3">
      <c r="A1978" s="3" t="s">
        <v>16</v>
      </c>
      <c r="B1978" s="7" t="str">
        <f>VLOOKUP(VALUE(A1978), 'DICIONÁRIO UF'!$A:$B, 2, FALSE)</f>
        <v>Pernambuco</v>
      </c>
      <c r="C1978" s="3">
        <v>20090</v>
      </c>
      <c r="D1978" s="5" t="str">
        <f>VLOOKUP(C1978, 'DICIONÁRIO CNAES'!$A:$B, 2, FALSE)</f>
        <v>Fabricação de outros produtos químicos não especificados anteriormente</v>
      </c>
      <c r="E1978" s="4">
        <v>3736.8464916600001</v>
      </c>
      <c r="F1978" s="4">
        <v>5432623.7121559996</v>
      </c>
    </row>
    <row r="1979" spans="1:6" x14ac:dyDescent="0.3">
      <c r="A1979" s="3" t="s">
        <v>16</v>
      </c>
      <c r="B1979" s="7" t="str">
        <f>VLOOKUP(VALUE(A1979), 'DICIONÁRIO UF'!$A:$B, 2, FALSE)</f>
        <v>Pernambuco</v>
      </c>
      <c r="C1979" s="3">
        <v>21000</v>
      </c>
      <c r="D1979" s="5" t="str">
        <f>VLOOKUP(C1979, 'DICIONÁRIO CNAES'!$A:$B, 2, FALSE)</f>
        <v>Fabricação de produtos farmoquimicos e farmacêuticos</v>
      </c>
      <c r="E1979" s="4">
        <v>1556.4369534499999</v>
      </c>
      <c r="F1979" s="4">
        <v>1797860.9855470001</v>
      </c>
    </row>
    <row r="1980" spans="1:6" x14ac:dyDescent="0.3">
      <c r="A1980" s="3" t="s">
        <v>16</v>
      </c>
      <c r="B1980" s="7" t="str">
        <f>VLOOKUP(VALUE(A1980), 'DICIONÁRIO UF'!$A:$B, 2, FALSE)</f>
        <v>Pernambuco</v>
      </c>
      <c r="C1980" s="3">
        <v>22010</v>
      </c>
      <c r="D1980" s="5" t="str">
        <f>VLOOKUP(C1980, 'DICIONÁRIO CNAES'!$A:$B, 2, FALSE)</f>
        <v>Fabricação de produtos de borracha</v>
      </c>
      <c r="E1980" s="4">
        <v>1617.6649423700001</v>
      </c>
      <c r="F1980" s="4">
        <v>4529461.8386359997</v>
      </c>
    </row>
    <row r="1981" spans="1:6" x14ac:dyDescent="0.3">
      <c r="A1981" s="3" t="s">
        <v>16</v>
      </c>
      <c r="B1981" s="7" t="str">
        <f>VLOOKUP(VALUE(A1981), 'DICIONÁRIO UF'!$A:$B, 2, FALSE)</f>
        <v>Pernambuco</v>
      </c>
      <c r="C1981" s="3">
        <v>22020</v>
      </c>
      <c r="D1981" s="5" t="str">
        <f>VLOOKUP(C1981, 'DICIONÁRIO CNAES'!$A:$B, 2, FALSE)</f>
        <v>Fabricação de produtos de material plástico</v>
      </c>
      <c r="E1981" s="4">
        <v>10294.769624869999</v>
      </c>
      <c r="F1981" s="4">
        <v>11848122.032477001</v>
      </c>
    </row>
    <row r="1982" spans="1:6" x14ac:dyDescent="0.3">
      <c r="A1982" s="3" t="s">
        <v>16</v>
      </c>
      <c r="B1982" s="7" t="str">
        <f>VLOOKUP(VALUE(A1982), 'DICIONÁRIO UF'!$A:$B, 2, FALSE)</f>
        <v>Pernambuco</v>
      </c>
      <c r="C1982" s="3">
        <v>23091</v>
      </c>
      <c r="D1982" s="5" t="str">
        <f>VLOOKUP(C1982, 'DICIONÁRIO CNAES'!$A:$B, 2, FALSE)</f>
        <v>Fabricação de produtos cerâmicos</v>
      </c>
      <c r="E1982" s="4">
        <v>9081.8805283000002</v>
      </c>
      <c r="F1982" s="4">
        <v>13850821.001001</v>
      </c>
    </row>
    <row r="1983" spans="1:6" x14ac:dyDescent="0.3">
      <c r="A1983" s="3" t="s">
        <v>16</v>
      </c>
      <c r="B1983" s="7" t="str">
        <f>VLOOKUP(VALUE(A1983), 'DICIONÁRIO UF'!$A:$B, 2, FALSE)</f>
        <v>Pernambuco</v>
      </c>
      <c r="C1983" s="3">
        <v>23099</v>
      </c>
      <c r="D1983" s="5" t="str">
        <f>VLOOKUP(C1983, 'DICIONÁRIO CNAES'!$A:$B, 2, FALSE)</f>
        <v>Fabricação de outros produtos de minerais não-metálicos não especificados anteriormente</v>
      </c>
      <c r="E1983" s="4">
        <v>10624.151614910001</v>
      </c>
      <c r="F1983" s="4">
        <v>14566696.246609621</v>
      </c>
    </row>
    <row r="1984" spans="1:6" x14ac:dyDescent="0.3">
      <c r="A1984" s="3" t="s">
        <v>16</v>
      </c>
      <c r="B1984" s="7" t="str">
        <f>VLOOKUP(VALUE(A1984), 'DICIONÁRIO UF'!$A:$B, 2, FALSE)</f>
        <v>Pernambuco</v>
      </c>
      <c r="C1984" s="3">
        <v>24001</v>
      </c>
      <c r="D1984" s="5" t="str">
        <f>VLOOKUP(C1984, 'DICIONÁRIO CNAES'!$A:$B, 2, FALSE)</f>
        <v>Fabricação de produtos siderúrgicos</v>
      </c>
      <c r="E1984" s="4">
        <v>595.85853015999999</v>
      </c>
      <c r="F1984" s="4">
        <v>3575151.18096</v>
      </c>
    </row>
    <row r="1985" spans="1:6" x14ac:dyDescent="0.3">
      <c r="A1985" s="3" t="s">
        <v>16</v>
      </c>
      <c r="B1985" s="7" t="str">
        <f>VLOOKUP(VALUE(A1985), 'DICIONÁRIO UF'!$A:$B, 2, FALSE)</f>
        <v>Pernambuco</v>
      </c>
      <c r="C1985" s="3">
        <v>24002</v>
      </c>
      <c r="D1985" s="5" t="str">
        <f>VLOOKUP(C1985, 'DICIONÁRIO CNAES'!$A:$B, 2, FALSE)</f>
        <v>Metalurgia dos metais não-ferrosos</v>
      </c>
      <c r="E1985" s="4">
        <v>3419.1618300499999</v>
      </c>
      <c r="F1985" s="4">
        <v>6955513.5362809999</v>
      </c>
    </row>
    <row r="1986" spans="1:6" x14ac:dyDescent="0.3">
      <c r="A1986" s="3" t="s">
        <v>16</v>
      </c>
      <c r="B1986" s="7" t="str">
        <f>VLOOKUP(VALUE(A1986), 'DICIONÁRIO UF'!$A:$B, 2, FALSE)</f>
        <v>Pernambuco</v>
      </c>
      <c r="C1986" s="3">
        <v>25001</v>
      </c>
      <c r="D1986" s="5" t="str">
        <f>VLOOKUP(C1986, 'DICIONÁRIO CNAES'!$A:$B, 2, FALSE)</f>
        <v>Fabricação de produtos de metal, exceto máquinas e equipamentos</v>
      </c>
      <c r="E1986" s="4">
        <v>26861.612297129999</v>
      </c>
      <c r="F1986" s="4">
        <v>48381124.0416665</v>
      </c>
    </row>
    <row r="1987" spans="1:6" x14ac:dyDescent="0.3">
      <c r="A1987" s="3" t="s">
        <v>16</v>
      </c>
      <c r="B1987" s="7" t="str">
        <f>VLOOKUP(VALUE(A1987), 'DICIONÁRIO UF'!$A:$B, 2, FALSE)</f>
        <v>Pernambuco</v>
      </c>
      <c r="C1987" s="3">
        <v>25002</v>
      </c>
      <c r="D1987" s="5" t="str">
        <f>VLOOKUP(C1987, 'DICIONÁRIO CNAES'!$A:$B, 2, FALSE)</f>
        <v>Forjaria, estamparia, metalurgia do pó e serviços de tratamento de metais</v>
      </c>
      <c r="E1987" s="4">
        <v>4454.5751385000003</v>
      </c>
      <c r="F1987" s="4">
        <v>4071644.6833230299</v>
      </c>
    </row>
    <row r="1988" spans="1:6" x14ac:dyDescent="0.3">
      <c r="A1988" s="3" t="s">
        <v>16</v>
      </c>
      <c r="B1988" s="7" t="str">
        <f>VLOOKUP(VALUE(A1988), 'DICIONÁRIO UF'!$A:$B, 2, FALSE)</f>
        <v>Pernambuco</v>
      </c>
      <c r="C1988" s="3">
        <v>26041</v>
      </c>
      <c r="D1988" s="5" t="str">
        <f>VLOOKUP(C1988, 'DICIONÁRIO CNAES'!$A:$B, 2, FALSE)</f>
        <v>Fabricação de aparelhos e instrumentos de medida, teste e controle; cronômetros e relógios e de aparelhos eletromédicos e eletroterapêuticos</v>
      </c>
      <c r="E1988" s="4">
        <v>931.38740084999995</v>
      </c>
      <c r="F1988" s="4">
        <v>2049052.2818700001</v>
      </c>
    </row>
    <row r="1989" spans="1:6" x14ac:dyDescent="0.3">
      <c r="A1989" s="3" t="s">
        <v>16</v>
      </c>
      <c r="B1989" s="7" t="str">
        <f>VLOOKUP(VALUE(A1989), 'DICIONÁRIO UF'!$A:$B, 2, FALSE)</f>
        <v>Pernambuco</v>
      </c>
      <c r="C1989" s="3">
        <v>27090</v>
      </c>
      <c r="D1989" s="5" t="str">
        <f>VLOOKUP(C1989, 'DICIONÁRIO CNAES'!$A:$B, 2, FALSE)</f>
        <v>Fabricação de máquinas, aparelhos e materiais elétricos diversos, exceto eletrodomesticos</v>
      </c>
      <c r="E1989" s="4">
        <v>7171.0206071399998</v>
      </c>
      <c r="F1989" s="4">
        <v>13042143.26507462</v>
      </c>
    </row>
    <row r="1990" spans="1:6" x14ac:dyDescent="0.3">
      <c r="A1990" s="3" t="s">
        <v>16</v>
      </c>
      <c r="B1990" s="7" t="str">
        <f>VLOOKUP(VALUE(A1990), 'DICIONÁRIO UF'!$A:$B, 2, FALSE)</f>
        <v>Pernambuco</v>
      </c>
      <c r="C1990" s="3">
        <v>28000</v>
      </c>
      <c r="D1990" s="5" t="str">
        <f>VLOOKUP(C1990, 'DICIONÁRIO CNAES'!$A:$B, 2, FALSE)</f>
        <v>Fabricação de máquinas e equipamentos</v>
      </c>
      <c r="E1990" s="4">
        <v>258.78249676000002</v>
      </c>
      <c r="F1990" s="4">
        <v>155269.49805600001</v>
      </c>
    </row>
    <row r="1991" spans="1:6" x14ac:dyDescent="0.3">
      <c r="A1991" s="3" t="s">
        <v>16</v>
      </c>
      <c r="B1991" s="7" t="str">
        <f>VLOOKUP(VALUE(A1991), 'DICIONÁRIO UF'!$A:$B, 2, FALSE)</f>
        <v>Pernambuco</v>
      </c>
      <c r="C1991" s="3">
        <v>29001</v>
      </c>
      <c r="D1991" s="5" t="str">
        <f>VLOOKUP(C1991, 'DICIONÁRIO CNAES'!$A:$B, 2, FALSE)</f>
        <v>Fabricação e montagem de veículos automotores</v>
      </c>
      <c r="E1991" s="4">
        <v>9524.0081650400007</v>
      </c>
      <c r="F1991" s="4">
        <v>12852064.009169251</v>
      </c>
    </row>
    <row r="1992" spans="1:6" x14ac:dyDescent="0.3">
      <c r="A1992" s="3" t="s">
        <v>16</v>
      </c>
      <c r="B1992" s="7" t="str">
        <f>VLOOKUP(VALUE(A1992), 'DICIONÁRIO UF'!$A:$B, 2, FALSE)</f>
        <v>Pernambuco</v>
      </c>
      <c r="C1992" s="3">
        <v>29002</v>
      </c>
      <c r="D1992" s="5" t="str">
        <f>VLOOKUP(C1992, 'DICIONÁRIO CNAES'!$A:$B, 2, FALSE)</f>
        <v>Fabricação de cabines, carrocerias, reboques e peças para veículos automotores</v>
      </c>
      <c r="E1992" s="4">
        <v>971.07555642</v>
      </c>
      <c r="F1992" s="4">
        <v>1323671.59977</v>
      </c>
    </row>
    <row r="1993" spans="1:6" x14ac:dyDescent="0.3">
      <c r="A1993" s="3" t="s">
        <v>16</v>
      </c>
      <c r="B1993" s="7" t="str">
        <f>VLOOKUP(VALUE(A1993), 'DICIONÁRIO UF'!$A:$B, 2, FALSE)</f>
        <v>Pernambuco</v>
      </c>
      <c r="C1993" s="3">
        <v>30010</v>
      </c>
      <c r="D1993" s="5" t="str">
        <f>VLOOKUP(C1993, 'DICIONÁRIO CNAES'!$A:$B, 2, FALSE)</f>
        <v xml:space="preserve">Construção de embarcações </v>
      </c>
      <c r="E1993" s="4">
        <v>769.52122164000002</v>
      </c>
      <c r="F1993" s="4">
        <v>1000377.5881319999</v>
      </c>
    </row>
    <row r="1994" spans="1:6" x14ac:dyDescent="0.3">
      <c r="A1994" s="3" t="s">
        <v>16</v>
      </c>
      <c r="B1994" s="7" t="str">
        <f>VLOOKUP(VALUE(A1994), 'DICIONÁRIO UF'!$A:$B, 2, FALSE)</f>
        <v>Pernambuco</v>
      </c>
      <c r="C1994" s="3">
        <v>30090</v>
      </c>
      <c r="D1994" s="5" t="str">
        <f>VLOOKUP(C1994, 'DICIONÁRIO CNAES'!$A:$B, 2, FALSE)</f>
        <v>Fabricação de outros equipamentos de transporte não especificados anteriormente</v>
      </c>
      <c r="E1994" s="4">
        <v>1136.0161930100001</v>
      </c>
      <c r="F1994" s="4">
        <v>1817625.908816</v>
      </c>
    </row>
    <row r="1995" spans="1:6" x14ac:dyDescent="0.3">
      <c r="A1995" s="3" t="s">
        <v>16</v>
      </c>
      <c r="B1995" s="7" t="str">
        <f>VLOOKUP(VALUE(A1995), 'DICIONÁRIO UF'!$A:$B, 2, FALSE)</f>
        <v>Pernambuco</v>
      </c>
      <c r="C1995" s="3">
        <v>31000</v>
      </c>
      <c r="D1995" s="5" t="str">
        <f>VLOOKUP(C1995, 'DICIONÁRIO CNAES'!$A:$B, 2, FALSE)</f>
        <v>Fabricação de móveis</v>
      </c>
      <c r="E1995" s="4">
        <v>18967.683927620001</v>
      </c>
      <c r="F1995" s="4">
        <v>25749239.83729735</v>
      </c>
    </row>
    <row r="1996" spans="1:6" x14ac:dyDescent="0.3">
      <c r="A1996" s="3" t="s">
        <v>16</v>
      </c>
      <c r="B1996" s="7" t="str">
        <f>VLOOKUP(VALUE(A1996), 'DICIONÁRIO UF'!$A:$B, 2, FALSE)</f>
        <v>Pernambuco</v>
      </c>
      <c r="C1996" s="3">
        <v>32009</v>
      </c>
      <c r="D1996" s="5" t="str">
        <f>VLOOKUP(C1996, 'DICIONÁRIO CNAES'!$A:$B, 2, FALSE)</f>
        <v>Fabricação de produtos diversos</v>
      </c>
      <c r="E1996" s="4">
        <v>1601.8085320499999</v>
      </c>
      <c r="F1996" s="4">
        <v>1989390.7109498</v>
      </c>
    </row>
    <row r="1997" spans="1:6" x14ac:dyDescent="0.3">
      <c r="A1997" s="3" t="s">
        <v>16</v>
      </c>
      <c r="B1997" s="7" t="str">
        <f>VLOOKUP(VALUE(A1997), 'DICIONÁRIO UF'!$A:$B, 2, FALSE)</f>
        <v>Pernambuco</v>
      </c>
      <c r="C1997" s="3">
        <v>33001</v>
      </c>
      <c r="D1997" s="5" t="str">
        <f>VLOOKUP(C1997, 'DICIONÁRIO CNAES'!$A:$B, 2, FALSE)</f>
        <v>Manutenção e reparação de máquinas e equipamentos</v>
      </c>
      <c r="E1997" s="4">
        <v>3263.8511990400002</v>
      </c>
      <c r="F1997" s="4">
        <v>2303424.3471240001</v>
      </c>
    </row>
    <row r="1998" spans="1:6" x14ac:dyDescent="0.3">
      <c r="A1998" s="3" t="s">
        <v>16</v>
      </c>
      <c r="B1998" s="7" t="str">
        <f>VLOOKUP(VALUE(A1998), 'DICIONÁRIO UF'!$A:$B, 2, FALSE)</f>
        <v>Pernambuco</v>
      </c>
      <c r="C1998" s="3">
        <v>33002</v>
      </c>
      <c r="D1998" s="5" t="str">
        <f>VLOOKUP(C1998, 'DICIONÁRIO CNAES'!$A:$B, 2, FALSE)</f>
        <v>Instalação de máquinas e equipamentos</v>
      </c>
      <c r="E1998" s="4">
        <v>1759.47388159</v>
      </c>
      <c r="F1998" s="4">
        <v>2452023.6520739999</v>
      </c>
    </row>
    <row r="1999" spans="1:6" x14ac:dyDescent="0.3">
      <c r="A1999" s="3" t="s">
        <v>16</v>
      </c>
      <c r="B1999" s="7" t="str">
        <f>VLOOKUP(VALUE(A1999), 'DICIONÁRIO UF'!$A:$B, 2, FALSE)</f>
        <v>Pernambuco</v>
      </c>
      <c r="C1999" s="3">
        <v>35010</v>
      </c>
      <c r="D1999" s="5" t="str">
        <f>VLOOKUP(C1999, 'DICIONÁRIO CNAES'!$A:$B, 2, FALSE)</f>
        <v>Geração, transmissão e distribuição de energia elétrica</v>
      </c>
      <c r="E1999" s="4">
        <v>6597.1802004399997</v>
      </c>
      <c r="F1999" s="4">
        <v>25789955.929737002</v>
      </c>
    </row>
    <row r="2000" spans="1:6" x14ac:dyDescent="0.3">
      <c r="A2000" s="3" t="s">
        <v>16</v>
      </c>
      <c r="B2000" s="7" t="str">
        <f>VLOOKUP(VALUE(A2000), 'DICIONÁRIO UF'!$A:$B, 2, FALSE)</f>
        <v>Pernambuco</v>
      </c>
      <c r="C2000" s="3">
        <v>35021</v>
      </c>
      <c r="D2000" s="5" t="str">
        <f>VLOOKUP(C2000, 'DICIONÁRIO CNAES'!$A:$B, 2, FALSE)</f>
        <v>Produção e distribuição de combustíveis gasosos por redes urbanas</v>
      </c>
      <c r="E2000" s="4">
        <v>652.44874187999994</v>
      </c>
      <c r="F2000" s="4">
        <v>771715.39089200005</v>
      </c>
    </row>
    <row r="2001" spans="1:6" x14ac:dyDescent="0.3">
      <c r="A2001" s="3" t="s">
        <v>16</v>
      </c>
      <c r="B2001" s="7" t="str">
        <f>VLOOKUP(VALUE(A2001), 'DICIONÁRIO UF'!$A:$B, 2, FALSE)</f>
        <v>Pernambuco</v>
      </c>
      <c r="C2001" s="3">
        <v>36000</v>
      </c>
      <c r="D2001" s="5" t="str">
        <f>VLOOKUP(C2001, 'DICIONÁRIO CNAES'!$A:$B, 2, FALSE)</f>
        <v>Captação, tratamento e distribuição de água</v>
      </c>
      <c r="E2001" s="4">
        <v>4763.5665770799997</v>
      </c>
      <c r="F2001" s="4">
        <v>7389783.9100430598</v>
      </c>
    </row>
    <row r="2002" spans="1:6" x14ac:dyDescent="0.3">
      <c r="A2002" s="3" t="s">
        <v>16</v>
      </c>
      <c r="B2002" s="7" t="str">
        <f>VLOOKUP(VALUE(A2002), 'DICIONÁRIO UF'!$A:$B, 2, FALSE)</f>
        <v>Pernambuco</v>
      </c>
      <c r="C2002" s="3">
        <v>38000</v>
      </c>
      <c r="D2002" s="5" t="str">
        <f>VLOOKUP(C2002, 'DICIONÁRIO CNAES'!$A:$B, 2, FALSE)</f>
        <v>Coleta, tratamento e disposição de resíduos; recuperação de materiais</v>
      </c>
      <c r="E2002" s="4">
        <v>4343.7621091499996</v>
      </c>
      <c r="F2002" s="4">
        <v>6924488.7664525798</v>
      </c>
    </row>
    <row r="2003" spans="1:6" x14ac:dyDescent="0.3">
      <c r="A2003" s="3" t="s">
        <v>16</v>
      </c>
      <c r="B2003" s="7" t="str">
        <f>VLOOKUP(VALUE(A2003), 'DICIONÁRIO UF'!$A:$B, 2, FALSE)</f>
        <v>Pernambuco</v>
      </c>
      <c r="C2003" s="3">
        <v>41000</v>
      </c>
      <c r="D2003" s="5" t="str">
        <f>VLOOKUP(C2003, 'DICIONÁRIO CNAES'!$A:$B, 2, FALSE)</f>
        <v>Construção de edifícios</v>
      </c>
      <c r="E2003" s="4">
        <v>172576.16475965001</v>
      </c>
      <c r="F2003" s="4">
        <v>213442175.54290399</v>
      </c>
    </row>
    <row r="2004" spans="1:6" x14ac:dyDescent="0.3">
      <c r="A2004" s="3" t="s">
        <v>16</v>
      </c>
      <c r="B2004" s="7" t="str">
        <f>VLOOKUP(VALUE(A2004), 'DICIONÁRIO UF'!$A:$B, 2, FALSE)</f>
        <v>Pernambuco</v>
      </c>
      <c r="C2004" s="3">
        <v>42000</v>
      </c>
      <c r="D2004" s="5" t="str">
        <f>VLOOKUP(C2004, 'DICIONÁRIO CNAES'!$A:$B, 2, FALSE)</f>
        <v>Construção de obras de infra-estrutura</v>
      </c>
      <c r="E2004" s="4">
        <v>19143.104802670001</v>
      </c>
      <c r="F2004" s="4">
        <v>31155312.0417898</v>
      </c>
    </row>
    <row r="2005" spans="1:6" x14ac:dyDescent="0.3">
      <c r="A2005" s="3" t="s">
        <v>16</v>
      </c>
      <c r="B2005" s="7" t="str">
        <f>VLOOKUP(VALUE(A2005), 'DICIONÁRIO UF'!$A:$B, 2, FALSE)</f>
        <v>Pernambuco</v>
      </c>
      <c r="C2005" s="3">
        <v>43000</v>
      </c>
      <c r="D2005" s="5" t="str">
        <f>VLOOKUP(C2005, 'DICIONÁRIO CNAES'!$A:$B, 2, FALSE)</f>
        <v>Serviços especializados para construção</v>
      </c>
      <c r="E2005" s="4">
        <v>46589.016513820003</v>
      </c>
      <c r="F2005" s="4">
        <v>58375161.813904047</v>
      </c>
    </row>
    <row r="2006" spans="1:6" x14ac:dyDescent="0.3">
      <c r="A2006" s="3" t="s">
        <v>16</v>
      </c>
      <c r="B2006" s="7" t="str">
        <f>VLOOKUP(VALUE(A2006), 'DICIONÁRIO UF'!$A:$B, 2, FALSE)</f>
        <v>Pernambuco</v>
      </c>
      <c r="C2006" s="3">
        <v>45010</v>
      </c>
      <c r="D2006" s="5" t="str">
        <f>VLOOKUP(C2006, 'DICIONÁRIO CNAES'!$A:$B, 2, FALSE)</f>
        <v>Comércio de veículos automotores</v>
      </c>
      <c r="E2006" s="4">
        <v>10653.81081261</v>
      </c>
      <c r="F2006" s="4">
        <v>30450425.380720001</v>
      </c>
    </row>
    <row r="2007" spans="1:6" x14ac:dyDescent="0.3">
      <c r="A2007" s="3" t="s">
        <v>16</v>
      </c>
      <c r="B2007" s="7" t="str">
        <f>VLOOKUP(VALUE(A2007), 'DICIONÁRIO UF'!$A:$B, 2, FALSE)</f>
        <v>Pernambuco</v>
      </c>
      <c r="C2007" s="3">
        <v>45020</v>
      </c>
      <c r="D2007" s="5" t="str">
        <f>VLOOKUP(C2007, 'DICIONÁRIO CNAES'!$A:$B, 2, FALSE)</f>
        <v>Manutenção e reparação de veículos automotores</v>
      </c>
      <c r="E2007" s="4">
        <v>59513.888263399997</v>
      </c>
      <c r="F2007" s="4">
        <v>70287134.686805606</v>
      </c>
    </row>
    <row r="2008" spans="1:6" x14ac:dyDescent="0.3">
      <c r="A2008" s="3" t="s">
        <v>16</v>
      </c>
      <c r="B2008" s="7" t="str">
        <f>VLOOKUP(VALUE(A2008), 'DICIONÁRIO UF'!$A:$B, 2, FALSE)</f>
        <v>Pernambuco</v>
      </c>
      <c r="C2008" s="3">
        <v>45030</v>
      </c>
      <c r="D2008" s="5" t="str">
        <f>VLOOKUP(C2008, 'DICIONÁRIO CNAES'!$A:$B, 2, FALSE)</f>
        <v>Comércio de peças e acessórios para veículos automotores</v>
      </c>
      <c r="E2008" s="4">
        <v>9313.926692699999</v>
      </c>
      <c r="F2008" s="4">
        <v>49173867.77926299</v>
      </c>
    </row>
    <row r="2009" spans="1:6" x14ac:dyDescent="0.3">
      <c r="A2009" s="3" t="s">
        <v>16</v>
      </c>
      <c r="B2009" s="7" t="str">
        <f>VLOOKUP(VALUE(A2009), 'DICIONÁRIO UF'!$A:$B, 2, FALSE)</f>
        <v>Pernambuco</v>
      </c>
      <c r="C2009" s="3">
        <v>45040</v>
      </c>
      <c r="D2009" s="5" t="str">
        <f>VLOOKUP(C2009, 'DICIONÁRIO CNAES'!$A:$B, 2, FALSE)</f>
        <v>Comércio, manutenção e reparação de motocicletas, peças e acessórios</v>
      </c>
      <c r="E2009" s="4">
        <v>9730.8615153999999</v>
      </c>
      <c r="F2009" s="4">
        <v>11464417.083737999</v>
      </c>
    </row>
    <row r="2010" spans="1:6" x14ac:dyDescent="0.3">
      <c r="A2010" s="3" t="s">
        <v>16</v>
      </c>
      <c r="B2010" s="7" t="str">
        <f>VLOOKUP(VALUE(A2010), 'DICIONÁRIO UF'!$A:$B, 2, FALSE)</f>
        <v>Pernambuco</v>
      </c>
      <c r="C2010" s="3">
        <v>48010</v>
      </c>
      <c r="D2010" s="5" t="str">
        <f>VLOOKUP(C2010, 'DICIONÁRIO CNAES'!$A:$B, 2, FALSE)</f>
        <v>Representantes comerciais e agentes do comércio, exceto de veículos automotores e motocicletas</v>
      </c>
      <c r="E2010" s="4">
        <v>2104.3053836700001</v>
      </c>
      <c r="F2010" s="4">
        <v>5096380.7845350001</v>
      </c>
    </row>
    <row r="2011" spans="1:6" x14ac:dyDescent="0.3">
      <c r="A2011" s="3" t="s">
        <v>16</v>
      </c>
      <c r="B2011" s="7" t="str">
        <f>VLOOKUP(VALUE(A2011), 'DICIONÁRIO UF'!$A:$B, 2, FALSE)</f>
        <v>Pernambuco</v>
      </c>
      <c r="C2011" s="3">
        <v>48020</v>
      </c>
      <c r="D2011" s="5" t="str">
        <f>VLOOKUP(C2011, 'DICIONÁRIO CNAES'!$A:$B, 2, FALSE)</f>
        <v>Comércio de matérias-primas agrícolas e animais vivos</v>
      </c>
      <c r="E2011" s="4">
        <v>5833.5503036999999</v>
      </c>
      <c r="F2011" s="4">
        <v>5986466.9585953997</v>
      </c>
    </row>
    <row r="2012" spans="1:6" x14ac:dyDescent="0.3">
      <c r="A2012" s="3" t="s">
        <v>16</v>
      </c>
      <c r="B2012" s="7" t="str">
        <f>VLOOKUP(VALUE(A2012), 'DICIONÁRIO UF'!$A:$B, 2, FALSE)</f>
        <v>Pernambuco</v>
      </c>
      <c r="C2012" s="3">
        <v>48030</v>
      </c>
      <c r="D2012" s="5" t="str">
        <f>VLOOKUP(C2012, 'DICIONÁRIO CNAES'!$A:$B, 2, FALSE)</f>
        <v>Comércio de produtos alimentícios, bebidas e fumo</v>
      </c>
      <c r="E2012" s="4">
        <v>168710.67226935001</v>
      </c>
      <c r="F2012" s="4">
        <v>228628044.19586349</v>
      </c>
    </row>
    <row r="2013" spans="1:6" x14ac:dyDescent="0.3">
      <c r="A2013" s="3" t="s">
        <v>16</v>
      </c>
      <c r="B2013" s="7" t="str">
        <f>VLOOKUP(VALUE(A2013), 'DICIONÁRIO UF'!$A:$B, 2, FALSE)</f>
        <v>Pernambuco</v>
      </c>
      <c r="C2013" s="3">
        <v>48041</v>
      </c>
      <c r="D2013" s="5" t="str">
        <f>VLOOKUP(C2013, 'DICIONÁRIO CNAES'!$A:$B, 2, FALSE)</f>
        <v>Comércio de tecidos, artefatos de tecidos e armarinho</v>
      </c>
      <c r="E2013" s="4">
        <v>3563.4762727900002</v>
      </c>
      <c r="F2013" s="4">
        <v>4280383.5925014997</v>
      </c>
    </row>
    <row r="2014" spans="1:6" x14ac:dyDescent="0.3">
      <c r="A2014" s="3" t="s">
        <v>16</v>
      </c>
      <c r="B2014" s="7" t="str">
        <f>VLOOKUP(VALUE(A2014), 'DICIONÁRIO UF'!$A:$B, 2, FALSE)</f>
        <v>Pernambuco</v>
      </c>
      <c r="C2014" s="3">
        <v>48042</v>
      </c>
      <c r="D2014" s="5" t="str">
        <f>VLOOKUP(C2014, 'DICIONÁRIO CNAES'!$A:$B, 2, FALSE)</f>
        <v>Comércio de artigos do vestuário, complementos, calçados e artigos de viagem</v>
      </c>
      <c r="E2014" s="4">
        <v>71817.930144879996</v>
      </c>
      <c r="F2014" s="4">
        <v>121466207.4206672</v>
      </c>
    </row>
    <row r="2015" spans="1:6" x14ac:dyDescent="0.3">
      <c r="A2015" s="3" t="s">
        <v>16</v>
      </c>
      <c r="B2015" s="7" t="str">
        <f>VLOOKUP(VALUE(A2015), 'DICIONÁRIO UF'!$A:$B, 2, FALSE)</f>
        <v>Pernambuco</v>
      </c>
      <c r="C2015" s="3">
        <v>48050</v>
      </c>
      <c r="D2015" s="5" t="str">
        <f>VLOOKUP(C2015, 'DICIONÁRIO CNAES'!$A:$B, 2, FALSE)</f>
        <v>Comércio de madeira, material de construção, ferragens e ferramentas</v>
      </c>
      <c r="E2015" s="4">
        <v>44229.499595120004</v>
      </c>
      <c r="F2015" s="4">
        <v>84269365.43832615</v>
      </c>
    </row>
    <row r="2016" spans="1:6" x14ac:dyDescent="0.3">
      <c r="A2016" s="3" t="s">
        <v>16</v>
      </c>
      <c r="B2016" s="7" t="str">
        <f>VLOOKUP(VALUE(A2016), 'DICIONÁRIO UF'!$A:$B, 2, FALSE)</f>
        <v>Pernambuco</v>
      </c>
      <c r="C2016" s="3">
        <v>48060</v>
      </c>
      <c r="D2016" s="5" t="str">
        <f>VLOOKUP(C2016, 'DICIONÁRIO CNAES'!$A:$B, 2, FALSE)</f>
        <v>Comércio de combustíveis para veículos automotores</v>
      </c>
      <c r="E2016" s="4">
        <v>15399.762225570001</v>
      </c>
      <c r="F2016" s="4">
        <v>20584064.115347002</v>
      </c>
    </row>
    <row r="2017" spans="1:6" x14ac:dyDescent="0.3">
      <c r="A2017" s="3" t="s">
        <v>16</v>
      </c>
      <c r="B2017" s="7" t="str">
        <f>VLOOKUP(VALUE(A2017), 'DICIONÁRIO UF'!$A:$B, 2, FALSE)</f>
        <v>Pernambuco</v>
      </c>
      <c r="C2017" s="3">
        <v>48071</v>
      </c>
      <c r="D2017" s="5" t="str">
        <f>VLOOKUP(C2017, 'DICIONÁRIO CNAES'!$A:$B, 2, FALSE)</f>
        <v>Comércio de produtos farmaceuticos, médicos, ortopédicos, odontológicos e de cosméticos e perfumaria</v>
      </c>
      <c r="E2017" s="4">
        <v>74197.525026610005</v>
      </c>
      <c r="F2017" s="4">
        <v>106004833.4962893</v>
      </c>
    </row>
    <row r="2018" spans="1:6" x14ac:dyDescent="0.3">
      <c r="A2018" s="3" t="s">
        <v>16</v>
      </c>
      <c r="B2018" s="7" t="str">
        <f>VLOOKUP(VALUE(A2018), 'DICIONÁRIO UF'!$A:$B, 2, FALSE)</f>
        <v>Pernambuco</v>
      </c>
      <c r="C2018" s="3">
        <v>48072</v>
      </c>
      <c r="D2018" s="5" t="str">
        <f>VLOOKUP(C2018, 'DICIONÁRIO CNAES'!$A:$B, 2, FALSE)</f>
        <v>Comércio de artigos de escritório e de papelaria; livros, jornais e outras publicações</v>
      </c>
      <c r="E2018" s="4">
        <v>5895.3395825400003</v>
      </c>
      <c r="F2018" s="4">
        <v>13942340.693688201</v>
      </c>
    </row>
    <row r="2019" spans="1:6" x14ac:dyDescent="0.3">
      <c r="A2019" s="3" t="s">
        <v>16</v>
      </c>
      <c r="B2019" s="7" t="str">
        <f>VLOOKUP(VALUE(A2019), 'DICIONÁRIO UF'!$A:$B, 2, FALSE)</f>
        <v>Pernambuco</v>
      </c>
      <c r="C2019" s="3">
        <v>48073</v>
      </c>
      <c r="D2019" s="5" t="str">
        <f>VLOOKUP(C2019, 'DICIONÁRIO CNAES'!$A:$B, 2, FALSE)</f>
        <v>Comércio de eletrodomésticos, móveis e outros artigos de residência</v>
      </c>
      <c r="E2019" s="4">
        <v>35863.607752670003</v>
      </c>
      <c r="F2019" s="4">
        <v>53712905.35364525</v>
      </c>
    </row>
    <row r="2020" spans="1:6" x14ac:dyDescent="0.3">
      <c r="A2020" s="3" t="s">
        <v>16</v>
      </c>
      <c r="B2020" s="7" t="str">
        <f>VLOOKUP(VALUE(A2020), 'DICIONÁRIO UF'!$A:$B, 2, FALSE)</f>
        <v>Pernambuco</v>
      </c>
      <c r="C2020" s="3">
        <v>48074</v>
      </c>
      <c r="D2020" s="5" t="str">
        <f>VLOOKUP(C2020, 'DICIONÁRIO CNAES'!$A:$B, 2, FALSE)</f>
        <v>Comércio de equipamentos e produtos de tecnologias de informação e comunicação</v>
      </c>
      <c r="E2020" s="4">
        <v>5461.8221069700003</v>
      </c>
      <c r="F2020" s="4">
        <v>11136491.248706</v>
      </c>
    </row>
    <row r="2021" spans="1:6" x14ac:dyDescent="0.3">
      <c r="A2021" s="3" t="s">
        <v>16</v>
      </c>
      <c r="B2021" s="7" t="str">
        <f>VLOOKUP(VALUE(A2021), 'DICIONÁRIO UF'!$A:$B, 2, FALSE)</f>
        <v>Pernambuco</v>
      </c>
      <c r="C2021" s="3">
        <v>48075</v>
      </c>
      <c r="D2021" s="5" t="str">
        <f>VLOOKUP(C2021, 'DICIONÁRIO CNAES'!$A:$B, 2, FALSE)</f>
        <v xml:space="preserve">Comércio de máquinas, aparelhos e equipamentos, exceto eletrodomésticos </v>
      </c>
      <c r="E2021" s="4">
        <v>3094.37576218</v>
      </c>
      <c r="F2021" s="4">
        <v>4201040.2689439999</v>
      </c>
    </row>
    <row r="2022" spans="1:6" x14ac:dyDescent="0.3">
      <c r="A2022" s="3" t="s">
        <v>16</v>
      </c>
      <c r="B2022" s="7" t="str">
        <f>VLOOKUP(VALUE(A2022), 'DICIONÁRIO UF'!$A:$B, 2, FALSE)</f>
        <v>Pernambuco</v>
      </c>
      <c r="C2022" s="3">
        <v>48076</v>
      </c>
      <c r="D2022" s="5" t="str">
        <f>VLOOKUP(C2022, 'DICIONÁRIO CNAES'!$A:$B, 2, FALSE)</f>
        <v>Comércio de combustíveis sólidos, líquidos e gasosos, exceto para veículos automotores</v>
      </c>
      <c r="E2022" s="4">
        <v>6935.5640829100003</v>
      </c>
      <c r="F2022" s="4">
        <v>9607945.6890719999</v>
      </c>
    </row>
    <row r="2023" spans="1:6" x14ac:dyDescent="0.3">
      <c r="A2023" s="3" t="s">
        <v>16</v>
      </c>
      <c r="B2023" s="7" t="str">
        <f>VLOOKUP(VALUE(A2023), 'DICIONÁRIO UF'!$A:$B, 2, FALSE)</f>
        <v>Pernambuco</v>
      </c>
      <c r="C2023" s="3">
        <v>48077</v>
      </c>
      <c r="D2023" s="5" t="str">
        <f>VLOOKUP(C2023, 'DICIONÁRIO CNAES'!$A:$B, 2, FALSE)</f>
        <v>Comércio de produtos usados</v>
      </c>
      <c r="E2023" s="4">
        <v>641.95625451000001</v>
      </c>
      <c r="F2023" s="4">
        <v>32097.8127255</v>
      </c>
    </row>
    <row r="2024" spans="1:6" x14ac:dyDescent="0.3">
      <c r="A2024" s="3" t="s">
        <v>16</v>
      </c>
      <c r="B2024" s="7" t="str">
        <f>VLOOKUP(VALUE(A2024), 'DICIONÁRIO UF'!$A:$B, 2, FALSE)</f>
        <v>Pernambuco</v>
      </c>
      <c r="C2024" s="3">
        <v>48078</v>
      </c>
      <c r="D2024" s="5" t="str">
        <f>VLOOKUP(C2024, 'DICIONÁRIO CNAES'!$A:$B, 2, FALSE)</f>
        <v>Comercio de residuos e sucatas</v>
      </c>
      <c r="E2024" s="4">
        <v>9604.0587623600004</v>
      </c>
      <c r="F2024" s="4">
        <v>4902341.03624555</v>
      </c>
    </row>
    <row r="2025" spans="1:6" x14ac:dyDescent="0.3">
      <c r="A2025" s="3" t="s">
        <v>16</v>
      </c>
      <c r="B2025" s="7" t="str">
        <f>VLOOKUP(VALUE(A2025), 'DICIONÁRIO UF'!$A:$B, 2, FALSE)</f>
        <v>Pernambuco</v>
      </c>
      <c r="C2025" s="3">
        <v>48079</v>
      </c>
      <c r="D2025" s="5" t="str">
        <f>VLOOKUP(C2025, 'DICIONÁRIO CNAES'!$A:$B, 2, FALSE)</f>
        <v>Comércio de produtos novos não especificados anteriormente</v>
      </c>
      <c r="E2025" s="4">
        <v>33933.670893269998</v>
      </c>
      <c r="F2025" s="4">
        <v>93440242.333459496</v>
      </c>
    </row>
    <row r="2026" spans="1:6" x14ac:dyDescent="0.3">
      <c r="A2026" s="3" t="s">
        <v>16</v>
      </c>
      <c r="B2026" s="7" t="str">
        <f>VLOOKUP(VALUE(A2026), 'DICIONÁRIO UF'!$A:$B, 2, FALSE)</f>
        <v>Pernambuco</v>
      </c>
      <c r="C2026" s="3">
        <v>48080</v>
      </c>
      <c r="D2026" s="5" t="str">
        <f>VLOOKUP(C2026, 'DICIONÁRIO CNAES'!$A:$B, 2, FALSE)</f>
        <v>Supermercado e hipermercado</v>
      </c>
      <c r="E2026" s="4">
        <v>62801.681661609997</v>
      </c>
      <c r="F2026" s="4">
        <v>83217297.467944995</v>
      </c>
    </row>
    <row r="2027" spans="1:6" x14ac:dyDescent="0.3">
      <c r="A2027" s="3" t="s">
        <v>16</v>
      </c>
      <c r="B2027" s="7" t="str">
        <f>VLOOKUP(VALUE(A2027), 'DICIONÁRIO UF'!$A:$B, 2, FALSE)</f>
        <v>Pernambuco</v>
      </c>
      <c r="C2027" s="3">
        <v>48090</v>
      </c>
      <c r="D2027" s="5" t="str">
        <f>VLOOKUP(C2027, 'DICIONÁRIO CNAES'!$A:$B, 2, FALSE)</f>
        <v>Lojas de departamento e outros comércios não especializados, sem predominância de produtos alimentícios</v>
      </c>
      <c r="E2027" s="4">
        <v>8068.3391399100001</v>
      </c>
      <c r="F2027" s="4">
        <v>42719740.456183001</v>
      </c>
    </row>
    <row r="2028" spans="1:6" x14ac:dyDescent="0.3">
      <c r="A2028" s="3" t="s">
        <v>16</v>
      </c>
      <c r="B2028" s="7" t="str">
        <f>VLOOKUP(VALUE(A2028), 'DICIONÁRIO UF'!$A:$B, 2, FALSE)</f>
        <v>Pernambuco</v>
      </c>
      <c r="C2028" s="3">
        <v>48100</v>
      </c>
      <c r="D2028" s="5" t="str">
        <f>VLOOKUP(C2028, 'DICIONÁRIO CNAES'!$A:$B, 2, FALSE)</f>
        <v>Comércio ambulante e feiras</v>
      </c>
      <c r="E2028" s="4">
        <v>59138.999927440003</v>
      </c>
      <c r="F2028" s="4">
        <v>52672274.843173303</v>
      </c>
    </row>
    <row r="2029" spans="1:6" x14ac:dyDescent="0.3">
      <c r="A2029" s="3" t="s">
        <v>16</v>
      </c>
      <c r="B2029" s="7" t="str">
        <f>VLOOKUP(VALUE(A2029), 'DICIONÁRIO UF'!$A:$B, 2, FALSE)</f>
        <v>Pernambuco</v>
      </c>
      <c r="C2029" s="3">
        <v>49010</v>
      </c>
      <c r="D2029" s="5" t="str">
        <f>VLOOKUP(C2029, 'DICIONÁRIO CNAES'!$A:$B, 2, FALSE)</f>
        <v>Transporte ferroviário e metroferroviário</v>
      </c>
      <c r="E2029" s="4">
        <v>2196.9793305500002</v>
      </c>
      <c r="F2029" s="4">
        <v>15276181.528383</v>
      </c>
    </row>
    <row r="2030" spans="1:6" x14ac:dyDescent="0.3">
      <c r="A2030" s="3" t="s">
        <v>16</v>
      </c>
      <c r="B2030" s="7" t="str">
        <f>VLOOKUP(VALUE(A2030), 'DICIONÁRIO UF'!$A:$B, 2, FALSE)</f>
        <v>Pernambuco</v>
      </c>
      <c r="C2030" s="3">
        <v>49030</v>
      </c>
      <c r="D2030" s="5" t="str">
        <f>VLOOKUP(C2030, 'DICIONÁRIO CNAES'!$A:$B, 2, FALSE)</f>
        <v>Transporte rodoviário de passageiros</v>
      </c>
      <c r="E2030" s="4">
        <v>99118.646386670007</v>
      </c>
      <c r="F2030" s="4">
        <v>135872293.64845529</v>
      </c>
    </row>
    <row r="2031" spans="1:6" x14ac:dyDescent="0.3">
      <c r="A2031" s="3" t="s">
        <v>16</v>
      </c>
      <c r="B2031" s="7" t="str">
        <f>VLOOKUP(VALUE(A2031), 'DICIONÁRIO UF'!$A:$B, 2, FALSE)</f>
        <v>Pernambuco</v>
      </c>
      <c r="C2031" s="3">
        <v>49040</v>
      </c>
      <c r="D2031" s="5" t="str">
        <f>VLOOKUP(C2031, 'DICIONÁRIO CNAES'!$A:$B, 2, FALSE)</f>
        <v>Transporte rodoviário de carga</v>
      </c>
      <c r="E2031" s="4">
        <v>49067.914547189997</v>
      </c>
      <c r="F2031" s="4">
        <v>83085507.129867598</v>
      </c>
    </row>
    <row r="2032" spans="1:6" x14ac:dyDescent="0.3">
      <c r="A2032" s="3" t="s">
        <v>16</v>
      </c>
      <c r="B2032" s="7" t="str">
        <f>VLOOKUP(VALUE(A2032), 'DICIONÁRIO UF'!$A:$B, 2, FALSE)</f>
        <v>Pernambuco</v>
      </c>
      <c r="C2032" s="3">
        <v>50000</v>
      </c>
      <c r="D2032" s="5" t="str">
        <f>VLOOKUP(C2032, 'DICIONÁRIO CNAES'!$A:$B, 2, FALSE)</f>
        <v>Transporte Aquaviário</v>
      </c>
      <c r="E2032" s="4">
        <v>3111.6716721600001</v>
      </c>
      <c r="F2032" s="4">
        <v>6010585.1061310004</v>
      </c>
    </row>
    <row r="2033" spans="1:6" x14ac:dyDescent="0.3">
      <c r="A2033" s="3" t="s">
        <v>16</v>
      </c>
      <c r="B2033" s="7" t="str">
        <f>VLOOKUP(VALUE(A2033), 'DICIONÁRIO UF'!$A:$B, 2, FALSE)</f>
        <v>Pernambuco</v>
      </c>
      <c r="C2033" s="3">
        <v>51000</v>
      </c>
      <c r="D2033" s="5" t="str">
        <f>VLOOKUP(C2033, 'DICIONÁRIO CNAES'!$A:$B, 2, FALSE)</f>
        <v>Transporte Aéreo</v>
      </c>
      <c r="E2033" s="4">
        <v>2980.2782134399999</v>
      </c>
      <c r="F2033" s="4">
        <v>5342170.6516840002</v>
      </c>
    </row>
    <row r="2034" spans="1:6" x14ac:dyDescent="0.3">
      <c r="A2034" s="3" t="s">
        <v>16</v>
      </c>
      <c r="B2034" s="7" t="str">
        <f>VLOOKUP(VALUE(A2034), 'DICIONÁRIO UF'!$A:$B, 2, FALSE)</f>
        <v>Pernambuco</v>
      </c>
      <c r="C2034" s="3">
        <v>52010</v>
      </c>
      <c r="D2034" s="5" t="str">
        <f>VLOOKUP(C2034, 'DICIONÁRIO CNAES'!$A:$B, 2, FALSE)</f>
        <v>Armazenamento, carga e descarga</v>
      </c>
      <c r="E2034" s="4">
        <v>2267.1470119199998</v>
      </c>
      <c r="F2034" s="4">
        <v>1917859.6110030001</v>
      </c>
    </row>
    <row r="2035" spans="1:6" x14ac:dyDescent="0.3">
      <c r="A2035" s="3" t="s">
        <v>16</v>
      </c>
      <c r="B2035" s="7" t="str">
        <f>VLOOKUP(VALUE(A2035), 'DICIONÁRIO UF'!$A:$B, 2, FALSE)</f>
        <v>Pernambuco</v>
      </c>
      <c r="C2035" s="3">
        <v>52020</v>
      </c>
      <c r="D2035" s="5" t="str">
        <f>VLOOKUP(C2035, 'DICIONÁRIO CNAES'!$A:$B, 2, FALSE)</f>
        <v xml:space="preserve">Atividades auxiliares dos transportes e atividades relacionadas à organização do transporte de carga </v>
      </c>
      <c r="E2035" s="4">
        <v>8197.7706581300008</v>
      </c>
      <c r="F2035" s="4">
        <v>17724014.94536268</v>
      </c>
    </row>
    <row r="2036" spans="1:6" x14ac:dyDescent="0.3">
      <c r="A2036" s="3" t="s">
        <v>16</v>
      </c>
      <c r="B2036" s="7" t="str">
        <f>VLOOKUP(VALUE(A2036), 'DICIONÁRIO UF'!$A:$B, 2, FALSE)</f>
        <v>Pernambuco</v>
      </c>
      <c r="C2036" s="3">
        <v>53001</v>
      </c>
      <c r="D2036" s="5" t="str">
        <f>VLOOKUP(C2036, 'DICIONÁRIO CNAES'!$A:$B, 2, FALSE)</f>
        <v>Atividades de Correio</v>
      </c>
      <c r="E2036" s="4">
        <v>2557.1104191700001</v>
      </c>
      <c r="F2036" s="4">
        <v>7403610.1299906</v>
      </c>
    </row>
    <row r="2037" spans="1:6" x14ac:dyDescent="0.3">
      <c r="A2037" s="3" t="s">
        <v>16</v>
      </c>
      <c r="B2037" s="7" t="str">
        <f>VLOOKUP(VALUE(A2037), 'DICIONÁRIO UF'!$A:$B, 2, FALSE)</f>
        <v>Pernambuco</v>
      </c>
      <c r="C2037" s="3">
        <v>53002</v>
      </c>
      <c r="D2037" s="5" t="str">
        <f>VLOOKUP(C2037, 'DICIONÁRIO CNAES'!$A:$B, 2, FALSE)</f>
        <v>Atividades de malote e de entrega</v>
      </c>
      <c r="E2037" s="4">
        <v>22513.091420879999</v>
      </c>
      <c r="F2037" s="4">
        <v>28697465.345275</v>
      </c>
    </row>
    <row r="2038" spans="1:6" x14ac:dyDescent="0.3">
      <c r="A2038" s="3" t="s">
        <v>16</v>
      </c>
      <c r="B2038" s="7" t="str">
        <f>VLOOKUP(VALUE(A2038), 'DICIONÁRIO UF'!$A:$B, 2, FALSE)</f>
        <v>Pernambuco</v>
      </c>
      <c r="C2038" s="3">
        <v>55000</v>
      </c>
      <c r="D2038" s="5" t="str">
        <f>VLOOKUP(C2038, 'DICIONÁRIO CNAES'!$A:$B, 2, FALSE)</f>
        <v>Alojamento</v>
      </c>
      <c r="E2038" s="4">
        <v>21698.87240316</v>
      </c>
      <c r="F2038" s="4">
        <v>34685271.585747004</v>
      </c>
    </row>
    <row r="2039" spans="1:6" x14ac:dyDescent="0.3">
      <c r="A2039" s="3" t="s">
        <v>16</v>
      </c>
      <c r="B2039" s="7" t="str">
        <f>VLOOKUP(VALUE(A2039), 'DICIONÁRIO UF'!$A:$B, 2, FALSE)</f>
        <v>Pernambuco</v>
      </c>
      <c r="C2039" s="3">
        <v>56011</v>
      </c>
      <c r="D2039" s="5" t="str">
        <f>VLOOKUP(C2039, 'DICIONÁRIO CNAES'!$A:$B, 2, FALSE)</f>
        <v>Restaurantes e outros estabelecimentos de serviços de alimentação e bebidas</v>
      </c>
      <c r="E2039" s="4">
        <v>136071.61733586999</v>
      </c>
      <c r="F2039" s="4">
        <v>173479656.77637479</v>
      </c>
    </row>
    <row r="2040" spans="1:6" x14ac:dyDescent="0.3">
      <c r="A2040" s="3" t="s">
        <v>16</v>
      </c>
      <c r="B2040" s="7" t="str">
        <f>VLOOKUP(VALUE(A2040), 'DICIONÁRIO UF'!$A:$B, 2, FALSE)</f>
        <v>Pernambuco</v>
      </c>
      <c r="C2040" s="3">
        <v>56012</v>
      </c>
      <c r="D2040" s="5" t="str">
        <f>VLOOKUP(C2040, 'DICIONÁRIO CNAES'!$A:$B, 2, FALSE)</f>
        <v>Serviços de catering, bufê e outros serviços de comida preparada</v>
      </c>
      <c r="E2040" s="4">
        <v>45798.295612100002</v>
      </c>
      <c r="F2040" s="4">
        <v>38577695.722524501</v>
      </c>
    </row>
    <row r="2041" spans="1:6" x14ac:dyDescent="0.3">
      <c r="A2041" s="3" t="s">
        <v>16</v>
      </c>
      <c r="B2041" s="7" t="str">
        <f>VLOOKUP(VALUE(A2041), 'DICIONÁRIO UF'!$A:$B, 2, FALSE)</f>
        <v>Pernambuco</v>
      </c>
      <c r="C2041" s="3">
        <v>56020</v>
      </c>
      <c r="D2041" s="5" t="str">
        <f>VLOOKUP(C2041, 'DICIONÁRIO CNAES'!$A:$B, 2, FALSE)</f>
        <v>Serviços ambulantes de alimentação</v>
      </c>
      <c r="E2041" s="4">
        <v>33467.996140410003</v>
      </c>
      <c r="F2041" s="4">
        <v>20461275.996100001</v>
      </c>
    </row>
    <row r="2042" spans="1:6" x14ac:dyDescent="0.3">
      <c r="A2042" s="3" t="s">
        <v>16</v>
      </c>
      <c r="B2042" s="7" t="str">
        <f>VLOOKUP(VALUE(A2042), 'DICIONÁRIO UF'!$A:$B, 2, FALSE)</f>
        <v>Pernambuco</v>
      </c>
      <c r="C2042" s="3">
        <v>58000</v>
      </c>
      <c r="D2042" s="5" t="str">
        <f>VLOOKUP(C2042, 'DICIONÁRIO CNAES'!$A:$B, 2, FALSE)</f>
        <v xml:space="preserve">Edição e Edição integrada à impressão </v>
      </c>
      <c r="E2042" s="4">
        <v>1771.9384135800001</v>
      </c>
      <c r="F2042" s="4">
        <v>4778483.2503444999</v>
      </c>
    </row>
    <row r="2043" spans="1:6" x14ac:dyDescent="0.3">
      <c r="A2043" s="3" t="s">
        <v>16</v>
      </c>
      <c r="B2043" s="7" t="str">
        <f>VLOOKUP(VALUE(A2043), 'DICIONÁRIO UF'!$A:$B, 2, FALSE)</f>
        <v>Pernambuco</v>
      </c>
      <c r="C2043" s="3">
        <v>59000</v>
      </c>
      <c r="D2043" s="5" t="str">
        <f>VLOOKUP(C2043, 'DICIONÁRIO CNAES'!$A:$B, 2, FALSE)</f>
        <v>Atividades cinematográficas, produção de vídeos e de programas de televisão, gravação de som e de música</v>
      </c>
      <c r="E2043" s="4">
        <v>1642.11237149</v>
      </c>
      <c r="F2043" s="4">
        <v>3813431.2012450001</v>
      </c>
    </row>
    <row r="2044" spans="1:6" x14ac:dyDescent="0.3">
      <c r="A2044" s="3" t="s">
        <v>16</v>
      </c>
      <c r="B2044" s="7" t="str">
        <f>VLOOKUP(VALUE(A2044), 'DICIONÁRIO UF'!$A:$B, 2, FALSE)</f>
        <v>Pernambuco</v>
      </c>
      <c r="C2044" s="3">
        <v>60001</v>
      </c>
      <c r="D2044" s="5" t="str">
        <f>VLOOKUP(C2044, 'DICIONÁRIO CNAES'!$A:$B, 2, FALSE)</f>
        <v>Atividades de rádio</v>
      </c>
      <c r="E2044" s="4">
        <v>1827.3240571199999</v>
      </c>
      <c r="F2044" s="4">
        <v>5199751.0613900004</v>
      </c>
    </row>
    <row r="2045" spans="1:6" x14ac:dyDescent="0.3">
      <c r="A2045" s="3" t="s">
        <v>16</v>
      </c>
      <c r="B2045" s="7" t="str">
        <f>VLOOKUP(VALUE(A2045), 'DICIONÁRIO UF'!$A:$B, 2, FALSE)</f>
        <v>Pernambuco</v>
      </c>
      <c r="C2045" s="3">
        <v>60002</v>
      </c>
      <c r="D2045" s="5" t="str">
        <f>VLOOKUP(C2045, 'DICIONÁRIO CNAES'!$A:$B, 2, FALSE)</f>
        <v>Atividades de televisão</v>
      </c>
      <c r="E2045" s="4">
        <v>541.90871142000003</v>
      </c>
      <c r="F2045" s="4">
        <v>541908.71142000007</v>
      </c>
    </row>
    <row r="2046" spans="1:6" x14ac:dyDescent="0.3">
      <c r="A2046" s="3" t="s">
        <v>16</v>
      </c>
      <c r="B2046" s="7" t="str">
        <f>VLOOKUP(VALUE(A2046), 'DICIONÁRIO UF'!$A:$B, 2, FALSE)</f>
        <v>Pernambuco</v>
      </c>
      <c r="C2046" s="3">
        <v>61000</v>
      </c>
      <c r="D2046" s="5" t="str">
        <f>VLOOKUP(C2046, 'DICIONÁRIO CNAES'!$A:$B, 2, FALSE)</f>
        <v>Telecomunicações</v>
      </c>
      <c r="E2046" s="4">
        <v>16044.55879614</v>
      </c>
      <c r="F2046" s="4">
        <v>33786853.985298976</v>
      </c>
    </row>
    <row r="2047" spans="1:6" x14ac:dyDescent="0.3">
      <c r="A2047" s="3" t="s">
        <v>16</v>
      </c>
      <c r="B2047" s="7" t="str">
        <f>VLOOKUP(VALUE(A2047), 'DICIONÁRIO UF'!$A:$B, 2, FALSE)</f>
        <v>Pernambuco</v>
      </c>
      <c r="C2047" s="3">
        <v>62000</v>
      </c>
      <c r="D2047" s="5" t="str">
        <f>VLOOKUP(C2047, 'DICIONÁRIO CNAES'!$A:$B, 2, FALSE)</f>
        <v>Atividades dos serviços de tecnologia da informação</v>
      </c>
      <c r="E2047" s="4">
        <v>19118.07568111</v>
      </c>
      <c r="F2047" s="4">
        <v>81731703.057591915</v>
      </c>
    </row>
    <row r="2048" spans="1:6" x14ac:dyDescent="0.3">
      <c r="A2048" s="3" t="s">
        <v>16</v>
      </c>
      <c r="B2048" s="7" t="str">
        <f>VLOOKUP(VALUE(A2048), 'DICIONÁRIO UF'!$A:$B, 2, FALSE)</f>
        <v>Pernambuco</v>
      </c>
      <c r="C2048" s="3">
        <v>63000</v>
      </c>
      <c r="D2048" s="5" t="str">
        <f>VLOOKUP(C2048, 'DICIONÁRIO CNAES'!$A:$B, 2, FALSE)</f>
        <v>Atividades de prestação de serviços de informação</v>
      </c>
      <c r="E2048" s="4">
        <v>2662.6631306999998</v>
      </c>
      <c r="F2048" s="4">
        <v>5766457.6427170001</v>
      </c>
    </row>
    <row r="2049" spans="1:6" x14ac:dyDescent="0.3">
      <c r="A2049" s="3" t="s">
        <v>16</v>
      </c>
      <c r="B2049" s="7" t="str">
        <f>VLOOKUP(VALUE(A2049), 'DICIONÁRIO UF'!$A:$B, 2, FALSE)</f>
        <v>Pernambuco</v>
      </c>
      <c r="C2049" s="3">
        <v>64000</v>
      </c>
      <c r="D2049" s="5" t="str">
        <f>VLOOKUP(C2049, 'DICIONÁRIO CNAES'!$A:$B, 2, FALSE)</f>
        <v>Serviços financeiros</v>
      </c>
      <c r="E2049" s="4">
        <v>22114.526702219999</v>
      </c>
      <c r="F2049" s="4">
        <v>91548496.783383995</v>
      </c>
    </row>
    <row r="2050" spans="1:6" x14ac:dyDescent="0.3">
      <c r="A2050" s="3" t="s">
        <v>16</v>
      </c>
      <c r="B2050" s="7" t="str">
        <f>VLOOKUP(VALUE(A2050), 'DICIONÁRIO UF'!$A:$B, 2, FALSE)</f>
        <v>Pernambuco</v>
      </c>
      <c r="C2050" s="3">
        <v>65000</v>
      </c>
      <c r="D2050" s="5" t="str">
        <f>VLOOKUP(C2050, 'DICIONÁRIO CNAES'!$A:$B, 2, FALSE)</f>
        <v>Seguros e previdência privada</v>
      </c>
      <c r="E2050" s="4">
        <v>1889.1614539100001</v>
      </c>
      <c r="F2050" s="4">
        <v>4432758.4106900003</v>
      </c>
    </row>
    <row r="2051" spans="1:6" x14ac:dyDescent="0.3">
      <c r="A2051" s="3" t="s">
        <v>16</v>
      </c>
      <c r="B2051" s="7" t="str">
        <f>VLOOKUP(VALUE(A2051), 'DICIONÁRIO UF'!$A:$B, 2, FALSE)</f>
        <v>Pernambuco</v>
      </c>
      <c r="C2051" s="3">
        <v>66001</v>
      </c>
      <c r="D2051" s="5" t="str">
        <f>VLOOKUP(C2051, 'DICIONÁRIO CNAES'!$A:$B, 2, FALSE)</f>
        <v>Atividades auxiliares dos serviços financeiros</v>
      </c>
      <c r="E2051" s="4">
        <v>1985.0166048200001</v>
      </c>
      <c r="F2051" s="4">
        <v>12180381.666553</v>
      </c>
    </row>
    <row r="2052" spans="1:6" x14ac:dyDescent="0.3">
      <c r="A2052" s="3" t="s">
        <v>16</v>
      </c>
      <c r="B2052" s="7" t="str">
        <f>VLOOKUP(VALUE(A2052), 'DICIONÁRIO UF'!$A:$B, 2, FALSE)</f>
        <v>Pernambuco</v>
      </c>
      <c r="C2052" s="3">
        <v>66002</v>
      </c>
      <c r="D2052" s="5" t="str">
        <f>VLOOKUP(C2052, 'DICIONÁRIO CNAES'!$A:$B, 2, FALSE)</f>
        <v>Atividades auxiliares dos seguros, da previdência complementar e dos planos de saúde</v>
      </c>
      <c r="E2052" s="4">
        <v>4588.4915300800003</v>
      </c>
      <c r="F2052" s="4">
        <v>15293337.048531</v>
      </c>
    </row>
    <row r="2053" spans="1:6" x14ac:dyDescent="0.3">
      <c r="A2053" s="3" t="s">
        <v>16</v>
      </c>
      <c r="B2053" s="7" t="str">
        <f>VLOOKUP(VALUE(A2053), 'DICIONÁRIO UF'!$A:$B, 2, FALSE)</f>
        <v>Pernambuco</v>
      </c>
      <c r="C2053" s="3">
        <v>68000</v>
      </c>
      <c r="D2053" s="5" t="str">
        <f>VLOOKUP(C2053, 'DICIONÁRIO CNAES'!$A:$B, 2, FALSE)</f>
        <v>Atividades imobiliárias</v>
      </c>
      <c r="E2053" s="4">
        <v>22467.246107790001</v>
      </c>
      <c r="F2053" s="4">
        <v>71468595.530831993</v>
      </c>
    </row>
    <row r="2054" spans="1:6" x14ac:dyDescent="0.3">
      <c r="A2054" s="3" t="s">
        <v>16</v>
      </c>
      <c r="B2054" s="7" t="str">
        <f>VLOOKUP(VALUE(A2054), 'DICIONÁRIO UF'!$A:$B, 2, FALSE)</f>
        <v>Pernambuco</v>
      </c>
      <c r="C2054" s="3">
        <v>69000</v>
      </c>
      <c r="D2054" s="5" t="str">
        <f>VLOOKUP(C2054, 'DICIONÁRIO CNAES'!$A:$B, 2, FALSE)</f>
        <v xml:space="preserve">Atividades jurídicas, de contabilidade e de auditoria </v>
      </c>
      <c r="E2054" s="4">
        <v>41887.05300321</v>
      </c>
      <c r="F2054" s="4">
        <v>281183046.16497302</v>
      </c>
    </row>
    <row r="2055" spans="1:6" x14ac:dyDescent="0.3">
      <c r="A2055" s="3" t="s">
        <v>16</v>
      </c>
      <c r="B2055" s="7" t="str">
        <f>VLOOKUP(VALUE(A2055), 'DICIONÁRIO UF'!$A:$B, 2, FALSE)</f>
        <v>Pernambuco</v>
      </c>
      <c r="C2055" s="3">
        <v>70000</v>
      </c>
      <c r="D2055" s="5" t="str">
        <f>VLOOKUP(C2055, 'DICIONÁRIO CNAES'!$A:$B, 2, FALSE)</f>
        <v>Atividades de consultoria em gestão empresarial</v>
      </c>
      <c r="E2055" s="4">
        <v>6341.63461594</v>
      </c>
      <c r="F2055" s="4">
        <v>28602194.061483599</v>
      </c>
    </row>
    <row r="2056" spans="1:6" x14ac:dyDescent="0.3">
      <c r="A2056" s="3" t="s">
        <v>16</v>
      </c>
      <c r="B2056" s="7" t="str">
        <f>VLOOKUP(VALUE(A2056), 'DICIONÁRIO UF'!$A:$B, 2, FALSE)</f>
        <v>Pernambuco</v>
      </c>
      <c r="C2056" s="3">
        <v>71000</v>
      </c>
      <c r="D2056" s="5" t="str">
        <f>VLOOKUP(C2056, 'DICIONÁRIO CNAES'!$A:$B, 2, FALSE)</f>
        <v>Serviços de arquitetura e engenharia e atividades técnicas relacionadas; Testes e análises técnicas</v>
      </c>
      <c r="E2056" s="4">
        <v>8133.9779381799999</v>
      </c>
      <c r="F2056" s="4">
        <v>24394423.493661001</v>
      </c>
    </row>
    <row r="2057" spans="1:6" x14ac:dyDescent="0.3">
      <c r="A2057" s="3" t="s">
        <v>16</v>
      </c>
      <c r="B2057" s="7" t="str">
        <f>VLOOKUP(VALUE(A2057), 'DICIONÁRIO UF'!$A:$B, 2, FALSE)</f>
        <v>Pernambuco</v>
      </c>
      <c r="C2057" s="3">
        <v>72000</v>
      </c>
      <c r="D2057" s="5" t="str">
        <f>VLOOKUP(C2057, 'DICIONÁRIO CNAES'!$A:$B, 2, FALSE)</f>
        <v>Pesquisa e desenvolvimento científico</v>
      </c>
      <c r="E2057" s="4">
        <v>489.17244615999999</v>
      </c>
      <c r="F2057" s="4">
        <v>1222931.1154</v>
      </c>
    </row>
    <row r="2058" spans="1:6" x14ac:dyDescent="0.3">
      <c r="A2058" s="3" t="s">
        <v>16</v>
      </c>
      <c r="B2058" s="7" t="str">
        <f>VLOOKUP(VALUE(A2058), 'DICIONÁRIO UF'!$A:$B, 2, FALSE)</f>
        <v>Pernambuco</v>
      </c>
      <c r="C2058" s="3">
        <v>73010</v>
      </c>
      <c r="D2058" s="5" t="str">
        <f>VLOOKUP(C2058, 'DICIONÁRIO CNAES'!$A:$B, 2, FALSE)</f>
        <v>Publicidade</v>
      </c>
      <c r="E2058" s="4">
        <v>8829.0904792099991</v>
      </c>
      <c r="F2058" s="4">
        <v>17709039.953221999</v>
      </c>
    </row>
    <row r="2059" spans="1:6" x14ac:dyDescent="0.3">
      <c r="A2059" s="3" t="s">
        <v>16</v>
      </c>
      <c r="B2059" s="7" t="str">
        <f>VLOOKUP(VALUE(A2059), 'DICIONÁRIO UF'!$A:$B, 2, FALSE)</f>
        <v>Pernambuco</v>
      </c>
      <c r="C2059" s="3">
        <v>73020</v>
      </c>
      <c r="D2059" s="5" t="str">
        <f>VLOOKUP(C2059, 'DICIONÁRIO CNAES'!$A:$B, 2, FALSE)</f>
        <v>Pesquisas de mercado e opinião pública</v>
      </c>
      <c r="E2059" s="4">
        <v>338.64913991999998</v>
      </c>
      <c r="F2059" s="4">
        <v>372514.05391199997</v>
      </c>
    </row>
    <row r="2060" spans="1:6" x14ac:dyDescent="0.3">
      <c r="A2060" s="3" t="s">
        <v>16</v>
      </c>
      <c r="B2060" s="7" t="str">
        <f>VLOOKUP(VALUE(A2060), 'DICIONÁRIO UF'!$A:$B, 2, FALSE)</f>
        <v>Pernambuco</v>
      </c>
      <c r="C2060" s="3">
        <v>74000</v>
      </c>
      <c r="D2060" s="5" t="str">
        <f>VLOOKUP(C2060, 'DICIONÁRIO CNAES'!$A:$B, 2, FALSE)</f>
        <v>Outras atividades profissionais, científicas e técnicas não especificadas anteriormente</v>
      </c>
      <c r="E2060" s="4">
        <v>6599.4233172599997</v>
      </c>
      <c r="F2060" s="4">
        <v>7496232.0480940007</v>
      </c>
    </row>
    <row r="2061" spans="1:6" x14ac:dyDescent="0.3">
      <c r="A2061" s="3" t="s">
        <v>16</v>
      </c>
      <c r="B2061" s="7" t="str">
        <f>VLOOKUP(VALUE(A2061), 'DICIONÁRIO UF'!$A:$B, 2, FALSE)</f>
        <v>Pernambuco</v>
      </c>
      <c r="C2061" s="3">
        <v>75000</v>
      </c>
      <c r="D2061" s="5" t="str">
        <f>VLOOKUP(C2061, 'DICIONÁRIO CNAES'!$A:$B, 2, FALSE)</f>
        <v>Atividades veterinárias</v>
      </c>
      <c r="E2061" s="4">
        <v>1633.8171862900001</v>
      </c>
      <c r="F2061" s="4">
        <v>3510532.0513650011</v>
      </c>
    </row>
    <row r="2062" spans="1:6" x14ac:dyDescent="0.3">
      <c r="A2062" s="3" t="s">
        <v>16</v>
      </c>
      <c r="B2062" s="7" t="str">
        <f>VLOOKUP(VALUE(A2062), 'DICIONÁRIO UF'!$A:$B, 2, FALSE)</f>
        <v>Pernambuco</v>
      </c>
      <c r="C2062" s="3">
        <v>77010</v>
      </c>
      <c r="D2062" s="5" t="str">
        <f>VLOOKUP(C2062, 'DICIONÁRIO CNAES'!$A:$B, 2, FALSE)</f>
        <v>Aluguel de objetos pessoais e domésticos</v>
      </c>
      <c r="E2062" s="4">
        <v>2167.4193423199999</v>
      </c>
      <c r="F2062" s="4">
        <v>494221.65367000003</v>
      </c>
    </row>
    <row r="2063" spans="1:6" x14ac:dyDescent="0.3">
      <c r="A2063" s="3" t="s">
        <v>16</v>
      </c>
      <c r="B2063" s="7" t="str">
        <f>VLOOKUP(VALUE(A2063), 'DICIONÁRIO UF'!$A:$B, 2, FALSE)</f>
        <v>Pernambuco</v>
      </c>
      <c r="C2063" s="3">
        <v>77020</v>
      </c>
      <c r="D2063" s="5" t="str">
        <f>VLOOKUP(C2063, 'DICIONÁRIO CNAES'!$A:$B, 2, FALSE)</f>
        <v>Aluguel de meios de transportes, maquinas e equipamentos sem operador e gestão de ativos intangíveis não financeiros</v>
      </c>
      <c r="E2063" s="4">
        <v>4971.1497387199997</v>
      </c>
      <c r="F2063" s="4">
        <v>9275006.1930043995</v>
      </c>
    </row>
    <row r="2064" spans="1:6" x14ac:dyDescent="0.3">
      <c r="A2064" s="3" t="s">
        <v>16</v>
      </c>
      <c r="B2064" s="7" t="str">
        <f>VLOOKUP(VALUE(A2064), 'DICIONÁRIO UF'!$A:$B, 2, FALSE)</f>
        <v>Pernambuco</v>
      </c>
      <c r="C2064" s="3">
        <v>78000</v>
      </c>
      <c r="D2064" s="5" t="str">
        <f>VLOOKUP(C2064, 'DICIONÁRIO CNAES'!$A:$B, 2, FALSE)</f>
        <v>Seleção, agenciamento e locação de mão-de-obra</v>
      </c>
      <c r="E2064" s="4">
        <v>30985.129754279998</v>
      </c>
      <c r="F2064" s="4">
        <v>42089079.703663997</v>
      </c>
    </row>
    <row r="2065" spans="1:6" x14ac:dyDescent="0.3">
      <c r="A2065" s="3" t="s">
        <v>16</v>
      </c>
      <c r="B2065" s="7" t="str">
        <f>VLOOKUP(VALUE(A2065), 'DICIONÁRIO UF'!$A:$B, 2, FALSE)</f>
        <v>Pernambuco</v>
      </c>
      <c r="C2065" s="3">
        <v>79000</v>
      </c>
      <c r="D2065" s="5" t="str">
        <f>VLOOKUP(C2065, 'DICIONÁRIO CNAES'!$A:$B, 2, FALSE)</f>
        <v>Agências de viagens, operadores turísticos e serviços de reservas</v>
      </c>
      <c r="E2065" s="4">
        <v>3205.6544594100001</v>
      </c>
      <c r="F2065" s="4">
        <v>5363195.8988819998</v>
      </c>
    </row>
    <row r="2066" spans="1:6" x14ac:dyDescent="0.3">
      <c r="A2066" s="3" t="s">
        <v>16</v>
      </c>
      <c r="B2066" s="7" t="str">
        <f>VLOOKUP(VALUE(A2066), 'DICIONÁRIO UF'!$A:$B, 2, FALSE)</f>
        <v>Pernambuco</v>
      </c>
      <c r="C2066" s="3">
        <v>80000</v>
      </c>
      <c r="D2066" s="5" t="str">
        <f>VLOOKUP(C2066, 'DICIONÁRIO CNAES'!$A:$B, 2, FALSE)</f>
        <v>Atividades de vigilância, segurança, transporte de valores e investigação</v>
      </c>
      <c r="E2066" s="4">
        <v>21621.425808430002</v>
      </c>
      <c r="F2066" s="4">
        <v>30351715.694051001</v>
      </c>
    </row>
    <row r="2067" spans="1:6" x14ac:dyDescent="0.3">
      <c r="A2067" s="3" t="s">
        <v>16</v>
      </c>
      <c r="B2067" s="7" t="str">
        <f>VLOOKUP(VALUE(A2067), 'DICIONÁRIO UF'!$A:$B, 2, FALSE)</f>
        <v>Pernambuco</v>
      </c>
      <c r="C2067" s="3">
        <v>81011</v>
      </c>
      <c r="D2067" s="5" t="str">
        <f>VLOOKUP(C2067, 'DICIONÁRIO CNAES'!$A:$B, 2, FALSE)</f>
        <v>Serviços de limpeza e de apoio a edifícios, exceto condomínios prediais</v>
      </c>
      <c r="E2067" s="4">
        <v>36535.623080799996</v>
      </c>
      <c r="F2067" s="4">
        <v>49392035.318902962</v>
      </c>
    </row>
    <row r="2068" spans="1:6" x14ac:dyDescent="0.3">
      <c r="A2068" s="3" t="s">
        <v>16</v>
      </c>
      <c r="B2068" s="7" t="str">
        <f>VLOOKUP(VALUE(A2068), 'DICIONÁRIO UF'!$A:$B, 2, FALSE)</f>
        <v>Pernambuco</v>
      </c>
      <c r="C2068" s="3">
        <v>81012</v>
      </c>
      <c r="D2068" s="5" t="str">
        <f>VLOOKUP(C2068, 'DICIONÁRIO CNAES'!$A:$B, 2, FALSE)</f>
        <v>Condomínios prediais</v>
      </c>
      <c r="E2068" s="4">
        <v>28460.962309049999</v>
      </c>
      <c r="F2068" s="4">
        <v>37483273.22783336</v>
      </c>
    </row>
    <row r="2069" spans="1:6" x14ac:dyDescent="0.3">
      <c r="A2069" s="3" t="s">
        <v>16</v>
      </c>
      <c r="B2069" s="7" t="str">
        <f>VLOOKUP(VALUE(A2069), 'DICIONÁRIO UF'!$A:$B, 2, FALSE)</f>
        <v>Pernambuco</v>
      </c>
      <c r="C2069" s="3">
        <v>81020</v>
      </c>
      <c r="D2069" s="5" t="str">
        <f>VLOOKUP(C2069, 'DICIONÁRIO CNAES'!$A:$B, 2, FALSE)</f>
        <v>Atividades paisagísticas</v>
      </c>
      <c r="E2069" s="4">
        <v>5419.00092245</v>
      </c>
      <c r="F2069" s="4">
        <v>10246822.983276</v>
      </c>
    </row>
    <row r="2070" spans="1:6" x14ac:dyDescent="0.3">
      <c r="A2070" s="3" t="s">
        <v>16</v>
      </c>
      <c r="B2070" s="7" t="str">
        <f>VLOOKUP(VALUE(A2070), 'DICIONÁRIO UF'!$A:$B, 2, FALSE)</f>
        <v>Pernambuco</v>
      </c>
      <c r="C2070" s="3">
        <v>82001</v>
      </c>
      <c r="D2070" s="5" t="str">
        <f>VLOOKUP(C2070, 'DICIONÁRIO CNAES'!$A:$B, 2, FALSE)</f>
        <v>Serviços de escritório e apoio administrativo</v>
      </c>
      <c r="E2070" s="4">
        <v>1161.56866539</v>
      </c>
      <c r="F2070" s="4">
        <v>3135941.5145100001</v>
      </c>
    </row>
    <row r="2071" spans="1:6" x14ac:dyDescent="0.3">
      <c r="A2071" s="3" t="s">
        <v>16</v>
      </c>
      <c r="B2071" s="7" t="str">
        <f>VLOOKUP(VALUE(A2071), 'DICIONÁRIO UF'!$A:$B, 2, FALSE)</f>
        <v>Pernambuco</v>
      </c>
      <c r="C2071" s="3">
        <v>82002</v>
      </c>
      <c r="D2071" s="5" t="str">
        <f>VLOOKUP(C2071, 'DICIONÁRIO CNAES'!$A:$B, 2, FALSE)</f>
        <v>Atividades de teleatendimento</v>
      </c>
      <c r="E2071" s="4">
        <v>14633.42949647</v>
      </c>
      <c r="F2071" s="4">
        <v>18086329.787025541</v>
      </c>
    </row>
    <row r="2072" spans="1:6" x14ac:dyDescent="0.3">
      <c r="A2072" s="3" t="s">
        <v>16</v>
      </c>
      <c r="B2072" s="7" t="str">
        <f>VLOOKUP(VALUE(A2072), 'DICIONÁRIO UF'!$A:$B, 2, FALSE)</f>
        <v>Pernambuco</v>
      </c>
      <c r="C2072" s="3">
        <v>82003</v>
      </c>
      <c r="D2072" s="5" t="str">
        <f>VLOOKUP(C2072, 'DICIONÁRIO CNAES'!$A:$B, 2, FALSE)</f>
        <v>Atividades de organização de eventos, exceto culturais e esportivos</v>
      </c>
      <c r="E2072" s="4">
        <v>4519.3697541299998</v>
      </c>
      <c r="F2072" s="4">
        <v>5409566.410007</v>
      </c>
    </row>
    <row r="2073" spans="1:6" x14ac:dyDescent="0.3">
      <c r="A2073" s="3" t="s">
        <v>16</v>
      </c>
      <c r="B2073" s="7" t="str">
        <f>VLOOKUP(VALUE(A2073), 'DICIONÁRIO UF'!$A:$B, 2, FALSE)</f>
        <v>Pernambuco</v>
      </c>
      <c r="C2073" s="3">
        <v>82009</v>
      </c>
      <c r="D2073" s="5" t="str">
        <f>VLOOKUP(C2073, 'DICIONÁRIO CNAES'!$A:$B, 2, FALSE)</f>
        <v>Outras atividades de serviços prestados principalmente às empresas</v>
      </c>
      <c r="E2073" s="4">
        <v>8276.87431139</v>
      </c>
      <c r="F2073" s="4">
        <v>8231622.2283381</v>
      </c>
    </row>
    <row r="2074" spans="1:6" x14ac:dyDescent="0.3">
      <c r="A2074" s="3" t="s">
        <v>16</v>
      </c>
      <c r="B2074" s="7" t="str">
        <f>VLOOKUP(VALUE(A2074), 'DICIONÁRIO UF'!$A:$B, 2, FALSE)</f>
        <v>Pernambuco</v>
      </c>
      <c r="C2074" s="3">
        <v>84011</v>
      </c>
      <c r="D2074" s="5" t="str">
        <f>VLOOKUP(C2074, 'DICIONÁRIO CNAES'!$A:$B, 2, FALSE)</f>
        <v>Administração publica e regulação da política econômica e social - Federal</v>
      </c>
      <c r="E2074" s="4">
        <v>6804.4371053200002</v>
      </c>
      <c r="F2074" s="4">
        <v>27396680.267650001</v>
      </c>
    </row>
    <row r="2075" spans="1:6" x14ac:dyDescent="0.3">
      <c r="A2075" s="3" t="s">
        <v>16</v>
      </c>
      <c r="B2075" s="7" t="str">
        <f>VLOOKUP(VALUE(A2075), 'DICIONÁRIO UF'!$A:$B, 2, FALSE)</f>
        <v>Pernambuco</v>
      </c>
      <c r="C2075" s="3">
        <v>84012</v>
      </c>
      <c r="D2075" s="5" t="str">
        <f>VLOOKUP(C2075, 'DICIONÁRIO CNAES'!$A:$B, 2, FALSE)</f>
        <v>Administração publica e regulação da política econômica e social - Estadual</v>
      </c>
      <c r="E2075" s="4">
        <v>14567.747492910001</v>
      </c>
      <c r="F2075" s="4">
        <v>153763038.3985672</v>
      </c>
    </row>
    <row r="2076" spans="1:6" x14ac:dyDescent="0.3">
      <c r="A2076" s="3" t="s">
        <v>16</v>
      </c>
      <c r="B2076" s="7" t="str">
        <f>VLOOKUP(VALUE(A2076), 'DICIONÁRIO UF'!$A:$B, 2, FALSE)</f>
        <v>Pernambuco</v>
      </c>
      <c r="C2076" s="3">
        <v>84013</v>
      </c>
      <c r="D2076" s="5" t="str">
        <f>VLOOKUP(C2076, 'DICIONÁRIO CNAES'!$A:$B, 2, FALSE)</f>
        <v>Administração publica e regulação da política econômica e social - Municipal</v>
      </c>
      <c r="E2076" s="4">
        <v>114935.35170938</v>
      </c>
      <c r="F2076" s="4">
        <v>233442247.84290811</v>
      </c>
    </row>
    <row r="2077" spans="1:6" x14ac:dyDescent="0.3">
      <c r="A2077" s="3" t="s">
        <v>16</v>
      </c>
      <c r="B2077" s="7" t="str">
        <f>VLOOKUP(VALUE(A2077), 'DICIONÁRIO UF'!$A:$B, 2, FALSE)</f>
        <v>Pernambuco</v>
      </c>
      <c r="C2077" s="3">
        <v>84014</v>
      </c>
      <c r="D2077" s="5" t="str">
        <f>VLOOKUP(C2077, 'DICIONÁRIO CNAES'!$A:$B, 2, FALSE)</f>
        <v>Defesa</v>
      </c>
      <c r="E2077" s="4">
        <v>9132.1602599199996</v>
      </c>
      <c r="F2077" s="4">
        <v>59841216.871065997</v>
      </c>
    </row>
    <row r="2078" spans="1:6" x14ac:dyDescent="0.3">
      <c r="A2078" s="3" t="s">
        <v>16</v>
      </c>
      <c r="B2078" s="7" t="str">
        <f>VLOOKUP(VALUE(A2078), 'DICIONÁRIO UF'!$A:$B, 2, FALSE)</f>
        <v>Pernambuco</v>
      </c>
      <c r="C2078" s="3">
        <v>84015</v>
      </c>
      <c r="D2078" s="5" t="str">
        <f>VLOOKUP(C2078, 'DICIONÁRIO CNAES'!$A:$B, 2, FALSE)</f>
        <v>Outros serviços coletivos prestados pela administração pública - Federal</v>
      </c>
      <c r="E2078" s="4">
        <v>5590.79651767</v>
      </c>
      <c r="F2078" s="4">
        <v>68217856.178412005</v>
      </c>
    </row>
    <row r="2079" spans="1:6" x14ac:dyDescent="0.3">
      <c r="A2079" s="3" t="s">
        <v>16</v>
      </c>
      <c r="B2079" s="7" t="str">
        <f>VLOOKUP(VALUE(A2079), 'DICIONÁRIO UF'!$A:$B, 2, FALSE)</f>
        <v>Pernambuco</v>
      </c>
      <c r="C2079" s="3">
        <v>84016</v>
      </c>
      <c r="D2079" s="5" t="str">
        <f>VLOOKUP(C2079, 'DICIONÁRIO CNAES'!$A:$B, 2, FALSE)</f>
        <v>Outros serviços coletivos prestados pela administração pública - Estadual</v>
      </c>
      <c r="E2079" s="4">
        <v>34600.492487639996</v>
      </c>
      <c r="F2079" s="4">
        <v>201425962.8532145</v>
      </c>
    </row>
    <row r="2080" spans="1:6" x14ac:dyDescent="0.3">
      <c r="A2080" s="3" t="s">
        <v>16</v>
      </c>
      <c r="B2080" s="7" t="str">
        <f>VLOOKUP(VALUE(A2080), 'DICIONÁRIO UF'!$A:$B, 2, FALSE)</f>
        <v>Pernambuco</v>
      </c>
      <c r="C2080" s="3">
        <v>84017</v>
      </c>
      <c r="D2080" s="5" t="str">
        <f>VLOOKUP(C2080, 'DICIONÁRIO CNAES'!$A:$B, 2, FALSE)</f>
        <v>Outros serviços coletivos prestados pela administração pública - Municipal</v>
      </c>
      <c r="E2080" s="4">
        <v>5411.0175493300003</v>
      </c>
      <c r="F2080" s="4">
        <v>10067939.157723</v>
      </c>
    </row>
    <row r="2081" spans="1:6" x14ac:dyDescent="0.3">
      <c r="A2081" s="3" t="s">
        <v>16</v>
      </c>
      <c r="B2081" s="7" t="str">
        <f>VLOOKUP(VALUE(A2081), 'DICIONÁRIO UF'!$A:$B, 2, FALSE)</f>
        <v>Pernambuco</v>
      </c>
      <c r="C2081" s="3">
        <v>84020</v>
      </c>
      <c r="D2081" s="5" t="str">
        <f>VLOOKUP(C2081, 'DICIONÁRIO CNAES'!$A:$B, 2, FALSE)</f>
        <v>Seguridade social obrigatória</v>
      </c>
      <c r="E2081" s="4">
        <v>789.02224862000003</v>
      </c>
      <c r="F2081" s="4">
        <v>3271329.5174599998</v>
      </c>
    </row>
    <row r="2082" spans="1:6" x14ac:dyDescent="0.3">
      <c r="A2082" s="3" t="s">
        <v>16</v>
      </c>
      <c r="B2082" s="7" t="str">
        <f>VLOOKUP(VALUE(A2082), 'DICIONÁRIO UF'!$A:$B, 2, FALSE)</f>
        <v>Pernambuco</v>
      </c>
      <c r="C2082" s="3">
        <v>85011</v>
      </c>
      <c r="D2082" s="5" t="str">
        <f>VLOOKUP(C2082, 'DICIONÁRIO CNAES'!$A:$B, 2, FALSE)</f>
        <v>Creche</v>
      </c>
      <c r="E2082" s="4">
        <v>7085.5280069299997</v>
      </c>
      <c r="F2082" s="4">
        <v>9296670.1109344792</v>
      </c>
    </row>
    <row r="2083" spans="1:6" x14ac:dyDescent="0.3">
      <c r="A2083" s="3" t="s">
        <v>16</v>
      </c>
      <c r="B2083" s="7" t="str">
        <f>VLOOKUP(VALUE(A2083), 'DICIONÁRIO UF'!$A:$B, 2, FALSE)</f>
        <v>Pernambuco</v>
      </c>
      <c r="C2083" s="3">
        <v>85012</v>
      </c>
      <c r="D2083" s="5" t="str">
        <f>VLOOKUP(C2083, 'DICIONÁRIO CNAES'!$A:$B, 2, FALSE)</f>
        <v>Pré-escola e ensino fundamental</v>
      </c>
      <c r="E2083" s="4">
        <v>90502.514024139993</v>
      </c>
      <c r="F2083" s="4">
        <v>179695653.29435831</v>
      </c>
    </row>
    <row r="2084" spans="1:6" x14ac:dyDescent="0.3">
      <c r="A2084" s="3" t="s">
        <v>16</v>
      </c>
      <c r="B2084" s="7" t="str">
        <f>VLOOKUP(VALUE(A2084), 'DICIONÁRIO UF'!$A:$B, 2, FALSE)</f>
        <v>Pernambuco</v>
      </c>
      <c r="C2084" s="3">
        <v>85013</v>
      </c>
      <c r="D2084" s="5" t="str">
        <f>VLOOKUP(C2084, 'DICIONÁRIO CNAES'!$A:$B, 2, FALSE)</f>
        <v>Ensino médio</v>
      </c>
      <c r="E2084" s="4">
        <v>55841.54519384</v>
      </c>
      <c r="F2084" s="4">
        <v>163223182.5281153</v>
      </c>
    </row>
    <row r="2085" spans="1:6" x14ac:dyDescent="0.3">
      <c r="A2085" s="3" t="s">
        <v>16</v>
      </c>
      <c r="B2085" s="7" t="str">
        <f>VLOOKUP(VALUE(A2085), 'DICIONÁRIO UF'!$A:$B, 2, FALSE)</f>
        <v>Pernambuco</v>
      </c>
      <c r="C2085" s="3">
        <v>85014</v>
      </c>
      <c r="D2085" s="5" t="str">
        <f>VLOOKUP(C2085, 'DICIONÁRIO CNAES'!$A:$B, 2, FALSE)</f>
        <v>Educação superior</v>
      </c>
      <c r="E2085" s="4">
        <v>18656.564894899999</v>
      </c>
      <c r="F2085" s="4">
        <v>54579437.510900497</v>
      </c>
    </row>
    <row r="2086" spans="1:6" x14ac:dyDescent="0.3">
      <c r="A2086" s="3" t="s">
        <v>16</v>
      </c>
      <c r="B2086" s="7" t="str">
        <f>VLOOKUP(VALUE(A2086), 'DICIONÁRIO UF'!$A:$B, 2, FALSE)</f>
        <v>Pernambuco</v>
      </c>
      <c r="C2086" s="3">
        <v>85029</v>
      </c>
      <c r="D2086" s="5" t="str">
        <f>VLOOKUP(C2086, 'DICIONÁRIO CNAES'!$A:$B, 2, FALSE)</f>
        <v>Outras atividades de ensino</v>
      </c>
      <c r="E2086" s="4">
        <v>25182.2631129</v>
      </c>
      <c r="F2086" s="4">
        <v>39698848.281202897</v>
      </c>
    </row>
    <row r="2087" spans="1:6" x14ac:dyDescent="0.3">
      <c r="A2087" s="3" t="s">
        <v>16</v>
      </c>
      <c r="B2087" s="7" t="str">
        <f>VLOOKUP(VALUE(A2087), 'DICIONÁRIO UF'!$A:$B, 2, FALSE)</f>
        <v>Pernambuco</v>
      </c>
      <c r="C2087" s="3">
        <v>86001</v>
      </c>
      <c r="D2087" s="5" t="str">
        <f>VLOOKUP(C2087, 'DICIONÁRIO CNAES'!$A:$B, 2, FALSE)</f>
        <v>Atividades de atendimento hospitalar</v>
      </c>
      <c r="E2087" s="4">
        <v>79172.953720370002</v>
      </c>
      <c r="F2087" s="4">
        <v>258257565.35305741</v>
      </c>
    </row>
    <row r="2088" spans="1:6" x14ac:dyDescent="0.3">
      <c r="A2088" s="3" t="s">
        <v>16</v>
      </c>
      <c r="B2088" s="7" t="str">
        <f>VLOOKUP(VALUE(A2088), 'DICIONÁRIO UF'!$A:$B, 2, FALSE)</f>
        <v>Pernambuco</v>
      </c>
      <c r="C2088" s="3">
        <v>86002</v>
      </c>
      <c r="D2088" s="5" t="str">
        <f>VLOOKUP(C2088, 'DICIONÁRIO CNAES'!$A:$B, 2, FALSE)</f>
        <v>Atividades de atenção ambulatorial executadas por médicos e odontólogos</v>
      </c>
      <c r="E2088" s="4">
        <v>53348.101240440003</v>
      </c>
      <c r="F2088" s="4">
        <v>105536877.9763585</v>
      </c>
    </row>
    <row r="2089" spans="1:6" x14ac:dyDescent="0.3">
      <c r="A2089" s="3" t="s">
        <v>16</v>
      </c>
      <c r="B2089" s="7" t="str">
        <f>VLOOKUP(VALUE(A2089), 'DICIONÁRIO UF'!$A:$B, 2, FALSE)</f>
        <v>Pernambuco</v>
      </c>
      <c r="C2089" s="3">
        <v>86003</v>
      </c>
      <c r="D2089" s="5" t="str">
        <f>VLOOKUP(C2089, 'DICIONÁRIO CNAES'!$A:$B, 2, FALSE)</f>
        <v>Atividades de serviços de complementação diagnóstica e terapêutica</v>
      </c>
      <c r="E2089" s="4">
        <v>5844.7625786799999</v>
      </c>
      <c r="F2089" s="4">
        <v>10822518.684687</v>
      </c>
    </row>
    <row r="2090" spans="1:6" x14ac:dyDescent="0.3">
      <c r="A2090" s="3" t="s">
        <v>16</v>
      </c>
      <c r="B2090" s="7" t="str">
        <f>VLOOKUP(VALUE(A2090), 'DICIONÁRIO UF'!$A:$B, 2, FALSE)</f>
        <v>Pernambuco</v>
      </c>
      <c r="C2090" s="3">
        <v>86004</v>
      </c>
      <c r="D2090" s="5" t="str">
        <f>VLOOKUP(C2090, 'DICIONÁRIO CNAES'!$A:$B, 2, FALSE)</f>
        <v>Atividades de profissionais da área de saúde, exceto médicos e odontólogos</v>
      </c>
      <c r="E2090" s="4">
        <v>12479.669979140001</v>
      </c>
      <c r="F2090" s="4">
        <v>24874887.700016402</v>
      </c>
    </row>
    <row r="2091" spans="1:6" x14ac:dyDescent="0.3">
      <c r="A2091" s="3" t="s">
        <v>16</v>
      </c>
      <c r="B2091" s="7" t="str">
        <f>VLOOKUP(VALUE(A2091), 'DICIONÁRIO UF'!$A:$B, 2, FALSE)</f>
        <v>Pernambuco</v>
      </c>
      <c r="C2091" s="3">
        <v>86009</v>
      </c>
      <c r="D2091" s="5" t="str">
        <f>VLOOKUP(C2091, 'DICIONÁRIO CNAES'!$A:$B, 2, FALSE)</f>
        <v>Atividades de atenção à saúde humana não especificadas anteriormente</v>
      </c>
      <c r="E2091" s="4">
        <v>781.45809381999993</v>
      </c>
      <c r="F2091" s="4">
        <v>1417275.9864080001</v>
      </c>
    </row>
    <row r="2092" spans="1:6" x14ac:dyDescent="0.3">
      <c r="A2092" s="3" t="s">
        <v>16</v>
      </c>
      <c r="B2092" s="7" t="str">
        <f>VLOOKUP(VALUE(A2092), 'DICIONÁRIO UF'!$A:$B, 2, FALSE)</f>
        <v>Pernambuco</v>
      </c>
      <c r="C2092" s="3">
        <v>87000</v>
      </c>
      <c r="D2092" s="5" t="str">
        <f>VLOOKUP(C2092, 'DICIONÁRIO CNAES'!$A:$B, 2, FALSE)</f>
        <v>Atividades de assistência à saude humana integradas com assistencia social, inclusive prestadas em residencias</v>
      </c>
      <c r="E2092" s="4">
        <v>3175.2222974299998</v>
      </c>
      <c r="F2092" s="4">
        <v>5283793.547398</v>
      </c>
    </row>
    <row r="2093" spans="1:6" x14ac:dyDescent="0.3">
      <c r="A2093" s="3" t="s">
        <v>16</v>
      </c>
      <c r="B2093" s="7" t="str">
        <f>VLOOKUP(VALUE(A2093), 'DICIONÁRIO UF'!$A:$B, 2, FALSE)</f>
        <v>Pernambuco</v>
      </c>
      <c r="C2093" s="3">
        <v>88000</v>
      </c>
      <c r="D2093" s="5" t="str">
        <f>VLOOKUP(C2093, 'DICIONÁRIO CNAES'!$A:$B, 2, FALSE)</f>
        <v>Serviços de assistência social sem alojamento</v>
      </c>
      <c r="E2093" s="4">
        <v>363.78356148</v>
      </c>
      <c r="F2093" s="4">
        <v>545675.34221999999</v>
      </c>
    </row>
    <row r="2094" spans="1:6" x14ac:dyDescent="0.3">
      <c r="A2094" s="3" t="s">
        <v>16</v>
      </c>
      <c r="B2094" s="7" t="str">
        <f>VLOOKUP(VALUE(A2094), 'DICIONÁRIO UF'!$A:$B, 2, FALSE)</f>
        <v>Pernambuco</v>
      </c>
      <c r="C2094" s="3">
        <v>90000</v>
      </c>
      <c r="D2094" s="5" t="str">
        <f>VLOOKUP(C2094, 'DICIONÁRIO CNAES'!$A:$B, 2, FALSE)</f>
        <v>Atividades artísticas, criativas e de espetáculos</v>
      </c>
      <c r="E2094" s="4">
        <v>4377.0544813799997</v>
      </c>
      <c r="F2094" s="4">
        <v>3691897.424011</v>
      </c>
    </row>
    <row r="2095" spans="1:6" x14ac:dyDescent="0.3">
      <c r="A2095" s="3" t="s">
        <v>16</v>
      </c>
      <c r="B2095" s="7" t="str">
        <f>VLOOKUP(VALUE(A2095), 'DICIONÁRIO UF'!$A:$B, 2, FALSE)</f>
        <v>Pernambuco</v>
      </c>
      <c r="C2095" s="3">
        <v>91000</v>
      </c>
      <c r="D2095" s="5" t="str">
        <f>VLOOKUP(C2095, 'DICIONÁRIO CNAES'!$A:$B, 2, FALSE)</f>
        <v>Atividades ligadas ao patrimônio cultural e ambiental</v>
      </c>
      <c r="E2095" s="4">
        <v>1885.87245723</v>
      </c>
      <c r="F2095" s="4">
        <v>2803169.1414299998</v>
      </c>
    </row>
    <row r="2096" spans="1:6" x14ac:dyDescent="0.3">
      <c r="A2096" s="3" t="s">
        <v>16</v>
      </c>
      <c r="B2096" s="7" t="str">
        <f>VLOOKUP(VALUE(A2096), 'DICIONÁRIO UF'!$A:$B, 2, FALSE)</f>
        <v>Pernambuco</v>
      </c>
      <c r="C2096" s="3">
        <v>92000</v>
      </c>
      <c r="D2096" s="5" t="str">
        <f>VLOOKUP(C2096, 'DICIONÁRIO CNAES'!$A:$B, 2, FALSE)</f>
        <v>Atividades de exploração de jogos de azar e apostas</v>
      </c>
      <c r="E2096" s="4">
        <v>22017.256597520001</v>
      </c>
      <c r="F2096" s="4">
        <v>13039617.570516299</v>
      </c>
    </row>
    <row r="2097" spans="1:6" x14ac:dyDescent="0.3">
      <c r="A2097" s="3" t="s">
        <v>16</v>
      </c>
      <c r="B2097" s="7" t="str">
        <f>VLOOKUP(VALUE(A2097), 'DICIONÁRIO UF'!$A:$B, 2, FALSE)</f>
        <v>Pernambuco</v>
      </c>
      <c r="C2097" s="3">
        <v>93011</v>
      </c>
      <c r="D2097" s="5" t="str">
        <f>VLOOKUP(C2097, 'DICIONÁRIO CNAES'!$A:$B, 2, FALSE)</f>
        <v>Atividades esportivas</v>
      </c>
      <c r="E2097" s="4">
        <v>729.83199653999998</v>
      </c>
      <c r="F2097" s="4">
        <v>328424.39844299998</v>
      </c>
    </row>
    <row r="2098" spans="1:6" x14ac:dyDescent="0.3">
      <c r="A2098" s="3" t="s">
        <v>16</v>
      </c>
      <c r="B2098" s="7" t="str">
        <f>VLOOKUP(VALUE(A2098), 'DICIONÁRIO UF'!$A:$B, 2, FALSE)</f>
        <v>Pernambuco</v>
      </c>
      <c r="C2098" s="3">
        <v>93012</v>
      </c>
      <c r="D2098" s="5" t="str">
        <f>VLOOKUP(C2098, 'DICIONÁRIO CNAES'!$A:$B, 2, FALSE)</f>
        <v>Atividades de condicionamento físico</v>
      </c>
      <c r="E2098" s="4">
        <v>10707.57739249</v>
      </c>
      <c r="F2098" s="4">
        <v>22924149.955964498</v>
      </c>
    </row>
    <row r="2099" spans="1:6" x14ac:dyDescent="0.3">
      <c r="A2099" s="3" t="s">
        <v>16</v>
      </c>
      <c r="B2099" s="7" t="str">
        <f>VLOOKUP(VALUE(A2099), 'DICIONÁRIO UF'!$A:$B, 2, FALSE)</f>
        <v>Pernambuco</v>
      </c>
      <c r="C2099" s="3">
        <v>93020</v>
      </c>
      <c r="D2099" s="5" t="str">
        <f>VLOOKUP(C2099, 'DICIONÁRIO CNAES'!$A:$B, 2, FALSE)</f>
        <v>Atividades de recreação e lazer</v>
      </c>
      <c r="E2099" s="4">
        <v>1974.18455556</v>
      </c>
      <c r="F2099" s="4">
        <v>2285179.3999330001</v>
      </c>
    </row>
    <row r="2100" spans="1:6" x14ac:dyDescent="0.3">
      <c r="A2100" s="3" t="s">
        <v>16</v>
      </c>
      <c r="B2100" s="7" t="str">
        <f>VLOOKUP(VALUE(A2100), 'DICIONÁRIO UF'!$A:$B, 2, FALSE)</f>
        <v>Pernambuco</v>
      </c>
      <c r="C2100" s="3">
        <v>94020</v>
      </c>
      <c r="D2100" s="5" t="str">
        <f>VLOOKUP(C2100, 'DICIONÁRIO CNAES'!$A:$B, 2, FALSE)</f>
        <v>Atividades de organizações sindicais</v>
      </c>
      <c r="E2100" s="4">
        <v>1781.93249483</v>
      </c>
      <c r="F2100" s="4">
        <v>4338424.5859401608</v>
      </c>
    </row>
    <row r="2101" spans="1:6" x14ac:dyDescent="0.3">
      <c r="A2101" s="3" t="s">
        <v>16</v>
      </c>
      <c r="B2101" s="7" t="str">
        <f>VLOOKUP(VALUE(A2101), 'DICIONÁRIO UF'!$A:$B, 2, FALSE)</f>
        <v>Pernambuco</v>
      </c>
      <c r="C2101" s="3">
        <v>94091</v>
      </c>
      <c r="D2101" s="5" t="str">
        <f>VLOOKUP(C2101, 'DICIONÁRIO CNAES'!$A:$B, 2, FALSE)</f>
        <v>Atividades de organizações religiosas e filosóficas</v>
      </c>
      <c r="E2101" s="4">
        <v>5059.4653875499998</v>
      </c>
      <c r="F2101" s="4">
        <v>7413017.4089182001</v>
      </c>
    </row>
    <row r="2102" spans="1:6" x14ac:dyDescent="0.3">
      <c r="A2102" s="3" t="s">
        <v>16</v>
      </c>
      <c r="B2102" s="7" t="str">
        <f>VLOOKUP(VALUE(A2102), 'DICIONÁRIO UF'!$A:$B, 2, FALSE)</f>
        <v>Pernambuco</v>
      </c>
      <c r="C2102" s="3">
        <v>94099</v>
      </c>
      <c r="D2102" s="5" t="str">
        <f>VLOOKUP(C2102, 'DICIONÁRIO CNAES'!$A:$B, 2, FALSE)</f>
        <v xml:space="preserve">Outras atividades associativas não especificadas anteriormente </v>
      </c>
      <c r="E2102" s="4">
        <v>2324.1445779599999</v>
      </c>
      <c r="F2102" s="4">
        <v>4943240.6365537997</v>
      </c>
    </row>
    <row r="2103" spans="1:6" x14ac:dyDescent="0.3">
      <c r="A2103" s="3" t="s">
        <v>16</v>
      </c>
      <c r="B2103" s="7" t="str">
        <f>VLOOKUP(VALUE(A2103), 'DICIONÁRIO UF'!$A:$B, 2, FALSE)</f>
        <v>Pernambuco</v>
      </c>
      <c r="C2103" s="3">
        <v>95010</v>
      </c>
      <c r="D2103" s="5" t="str">
        <f>VLOOKUP(C2103, 'DICIONÁRIO CNAES'!$A:$B, 2, FALSE)</f>
        <v>Reparação e manutenção de equipamentos de informática e comunicação</v>
      </c>
      <c r="E2103" s="4">
        <v>4973.1317659099996</v>
      </c>
      <c r="F2103" s="4">
        <v>7860001.9891734999</v>
      </c>
    </row>
    <row r="2104" spans="1:6" x14ac:dyDescent="0.3">
      <c r="A2104" s="3" t="s">
        <v>16</v>
      </c>
      <c r="B2104" s="7" t="str">
        <f>VLOOKUP(VALUE(A2104), 'DICIONÁRIO UF'!$A:$B, 2, FALSE)</f>
        <v>Pernambuco</v>
      </c>
      <c r="C2104" s="3">
        <v>95030</v>
      </c>
      <c r="D2104" s="5" t="str">
        <f>VLOOKUP(C2104, 'DICIONÁRIO CNAES'!$A:$B, 2, FALSE)</f>
        <v>Reparação e manutenção de objetos e equipamentos pessoais e domésticos</v>
      </c>
      <c r="E2104" s="4">
        <v>26325.54877813</v>
      </c>
      <c r="F2104" s="4">
        <v>44976198.939279199</v>
      </c>
    </row>
    <row r="2105" spans="1:6" x14ac:dyDescent="0.3">
      <c r="A2105" s="3" t="s">
        <v>16</v>
      </c>
      <c r="B2105" s="7" t="str">
        <f>VLOOKUP(VALUE(A2105), 'DICIONÁRIO UF'!$A:$B, 2, FALSE)</f>
        <v>Pernambuco</v>
      </c>
      <c r="C2105" s="3">
        <v>96010</v>
      </c>
      <c r="D2105" s="5" t="str">
        <f>VLOOKUP(C2105, 'DICIONÁRIO CNAES'!$A:$B, 2, FALSE)</f>
        <v>Lavanderias, tinturarias e toalheiros</v>
      </c>
      <c r="E2105" s="4">
        <v>7130.3263745300001</v>
      </c>
      <c r="F2105" s="4">
        <v>6771880.4536124999</v>
      </c>
    </row>
    <row r="2106" spans="1:6" x14ac:dyDescent="0.3">
      <c r="A2106" s="3" t="s">
        <v>16</v>
      </c>
      <c r="B2106" s="7" t="str">
        <f>VLOOKUP(VALUE(A2106), 'DICIONÁRIO UF'!$A:$B, 2, FALSE)</f>
        <v>Pernambuco</v>
      </c>
      <c r="C2106" s="3">
        <v>96020</v>
      </c>
      <c r="D2106" s="5" t="str">
        <f>VLOOKUP(C2106, 'DICIONÁRIO CNAES'!$A:$B, 2, FALSE)</f>
        <v>Cabeleireiros e outras atividades de tratamento de beleza</v>
      </c>
      <c r="E2106" s="4">
        <v>93770.820548379997</v>
      </c>
      <c r="F2106" s="4">
        <v>109251416.53052969</v>
      </c>
    </row>
    <row r="2107" spans="1:6" x14ac:dyDescent="0.3">
      <c r="A2107" s="3" t="s">
        <v>16</v>
      </c>
      <c r="B2107" s="7" t="str">
        <f>VLOOKUP(VALUE(A2107), 'DICIONÁRIO UF'!$A:$B, 2, FALSE)</f>
        <v>Pernambuco</v>
      </c>
      <c r="C2107" s="3">
        <v>96030</v>
      </c>
      <c r="D2107" s="5" t="str">
        <f>VLOOKUP(C2107, 'DICIONÁRIO CNAES'!$A:$B, 2, FALSE)</f>
        <v xml:space="preserve">Atividades funerárias e serviços relacionados </v>
      </c>
      <c r="E2107" s="4">
        <v>4207.1984240100001</v>
      </c>
      <c r="F2107" s="4">
        <v>5405318.4913309999</v>
      </c>
    </row>
    <row r="2108" spans="1:6" x14ac:dyDescent="0.3">
      <c r="A2108" s="3" t="s">
        <v>16</v>
      </c>
      <c r="B2108" s="7" t="str">
        <f>VLOOKUP(VALUE(A2108), 'DICIONÁRIO UF'!$A:$B, 2, FALSE)</f>
        <v>Pernambuco</v>
      </c>
      <c r="C2108" s="3">
        <v>96090</v>
      </c>
      <c r="D2108" s="5" t="str">
        <f>VLOOKUP(C2108, 'DICIONÁRIO CNAES'!$A:$B, 2, FALSE)</f>
        <v>Outras atividades de serviços pessoais</v>
      </c>
      <c r="E2108" s="4">
        <v>11022.37504085</v>
      </c>
      <c r="F2108" s="4">
        <v>17371116.644095998</v>
      </c>
    </row>
    <row r="2109" spans="1:6" x14ac:dyDescent="0.3">
      <c r="A2109" s="3" t="s">
        <v>16</v>
      </c>
      <c r="B2109" s="7" t="str">
        <f>VLOOKUP(VALUE(A2109), 'DICIONÁRIO UF'!$A:$B, 2, FALSE)</f>
        <v>Pernambuco</v>
      </c>
      <c r="C2109" s="3">
        <v>97000</v>
      </c>
      <c r="D2109" s="5" t="str">
        <f>VLOOKUP(C2109, 'DICIONÁRIO CNAES'!$A:$B, 2, FALSE)</f>
        <v>Serviços domésticos</v>
      </c>
      <c r="E2109" s="4">
        <v>187606.15330075001</v>
      </c>
      <c r="F2109" s="4">
        <v>128861694.6710099</v>
      </c>
    </row>
    <row r="2110" spans="1:6" x14ac:dyDescent="0.3">
      <c r="A2110" s="3" t="s">
        <v>17</v>
      </c>
      <c r="B2110" s="7" t="str">
        <f>VLOOKUP(VALUE(A2110), 'DICIONÁRIO UF'!$A:$B, 2, FALSE)</f>
        <v>Alagoas</v>
      </c>
      <c r="C2110" s="3">
        <v>1101</v>
      </c>
      <c r="D2110" s="5" t="str">
        <f>VLOOKUP(C2110, 'DICIONÁRIO CNAES'!$A:$B, 2, FALSE)</f>
        <v>Cultivo de arroz</v>
      </c>
      <c r="E2110" s="4">
        <v>435.85740556000002</v>
      </c>
      <c r="F2110" s="4">
        <v>408045.83877600002</v>
      </c>
    </row>
    <row r="2111" spans="1:6" x14ac:dyDescent="0.3">
      <c r="A2111" s="3" t="s">
        <v>17</v>
      </c>
      <c r="B2111" s="7" t="str">
        <f>VLOOKUP(VALUE(A2111), 'DICIONÁRIO UF'!$A:$B, 2, FALSE)</f>
        <v>Alagoas</v>
      </c>
      <c r="C2111" s="3">
        <v>1102</v>
      </c>
      <c r="D2111" s="5" t="str">
        <f>VLOOKUP(C2111, 'DICIONÁRIO CNAES'!$A:$B, 2, FALSE)</f>
        <v>Cultivo de milho</v>
      </c>
      <c r="E2111" s="4">
        <v>7776.3259996899997</v>
      </c>
      <c r="F2111" s="4">
        <v>3818704.7646339601</v>
      </c>
    </row>
    <row r="2112" spans="1:6" x14ac:dyDescent="0.3">
      <c r="A2112" s="3" t="s">
        <v>17</v>
      </c>
      <c r="B2112" s="7" t="str">
        <f>VLOOKUP(VALUE(A2112), 'DICIONÁRIO UF'!$A:$B, 2, FALSE)</f>
        <v>Alagoas</v>
      </c>
      <c r="C2112" s="3">
        <v>1104</v>
      </c>
      <c r="D2112" s="5" t="str">
        <f>VLOOKUP(C2112, 'DICIONÁRIO CNAES'!$A:$B, 2, FALSE)</f>
        <v>Cultivo de algodão</v>
      </c>
      <c r="E2112" s="4">
        <v>121.20042002</v>
      </c>
      <c r="F2112" s="4">
        <v>387841.344064</v>
      </c>
    </row>
    <row r="2113" spans="1:6" x14ac:dyDescent="0.3">
      <c r="A2113" s="3" t="s">
        <v>17</v>
      </c>
      <c r="B2113" s="7" t="str">
        <f>VLOOKUP(VALUE(A2113), 'DICIONÁRIO UF'!$A:$B, 2, FALSE)</f>
        <v>Alagoas</v>
      </c>
      <c r="C2113" s="3">
        <v>1105</v>
      </c>
      <c r="D2113" s="5" t="str">
        <f>VLOOKUP(C2113, 'DICIONÁRIO CNAES'!$A:$B, 2, FALSE)</f>
        <v>Cultivo de cana-de-açúcar</v>
      </c>
      <c r="E2113" s="4">
        <v>46097.932282610003</v>
      </c>
      <c r="F2113" s="4">
        <v>55860534.820202298</v>
      </c>
    </row>
    <row r="2114" spans="1:6" x14ac:dyDescent="0.3">
      <c r="A2114" s="3" t="s">
        <v>17</v>
      </c>
      <c r="B2114" s="7" t="str">
        <f>VLOOKUP(VALUE(A2114), 'DICIONÁRIO UF'!$A:$B, 2, FALSE)</f>
        <v>Alagoas</v>
      </c>
      <c r="C2114" s="3">
        <v>1106</v>
      </c>
      <c r="D2114" s="5" t="str">
        <f>VLOOKUP(C2114, 'DICIONÁRIO CNAES'!$A:$B, 2, FALSE)</f>
        <v>Cultivo de fumo</v>
      </c>
      <c r="E2114" s="4">
        <v>4792.6464247399999</v>
      </c>
      <c r="F2114" s="4">
        <v>3339059.2418181002</v>
      </c>
    </row>
    <row r="2115" spans="1:6" x14ac:dyDescent="0.3">
      <c r="A2115" s="3" t="s">
        <v>17</v>
      </c>
      <c r="B2115" s="7" t="str">
        <f>VLOOKUP(VALUE(A2115), 'DICIONÁRIO UF'!$A:$B, 2, FALSE)</f>
        <v>Alagoas</v>
      </c>
      <c r="C2115" s="3">
        <v>1107</v>
      </c>
      <c r="D2115" s="5" t="str">
        <f>VLOOKUP(C2115, 'DICIONÁRIO CNAES'!$A:$B, 2, FALSE)</f>
        <v>Cultivo de soja</v>
      </c>
      <c r="E2115" s="4">
        <v>38.193899500000001</v>
      </c>
      <c r="F2115" s="4">
        <v>53471.459300000002</v>
      </c>
    </row>
    <row r="2116" spans="1:6" x14ac:dyDescent="0.3">
      <c r="A2116" s="3" t="s">
        <v>17</v>
      </c>
      <c r="B2116" s="7" t="str">
        <f>VLOOKUP(VALUE(A2116), 'DICIONÁRIO UF'!$A:$B, 2, FALSE)</f>
        <v>Alagoas</v>
      </c>
      <c r="C2116" s="3">
        <v>1108</v>
      </c>
      <c r="D2116" s="5" t="str">
        <f>VLOOKUP(C2116, 'DICIONÁRIO CNAES'!$A:$B, 2, FALSE)</f>
        <v>Cultivo de mandioca</v>
      </c>
      <c r="E2116" s="4">
        <v>17094.41686053</v>
      </c>
      <c r="F2116" s="4">
        <v>6711880.5708910096</v>
      </c>
    </row>
    <row r="2117" spans="1:6" x14ac:dyDescent="0.3">
      <c r="A2117" s="3" t="s">
        <v>17</v>
      </c>
      <c r="B2117" s="7" t="str">
        <f>VLOOKUP(VALUE(A2117), 'DICIONÁRIO UF'!$A:$B, 2, FALSE)</f>
        <v>Alagoas</v>
      </c>
      <c r="C2117" s="3">
        <v>1109</v>
      </c>
      <c r="D2117" s="5" t="str">
        <f>VLOOKUP(C2117, 'DICIONÁRIO CNAES'!$A:$B, 2, FALSE)</f>
        <v>Cultivo de outras lavouras temporárias não especificadas anteriormente</v>
      </c>
      <c r="E2117" s="4">
        <v>13594.190260560001</v>
      </c>
      <c r="F2117" s="4">
        <v>6178900.6020921003</v>
      </c>
    </row>
    <row r="2118" spans="1:6" x14ac:dyDescent="0.3">
      <c r="A2118" s="3" t="s">
        <v>17</v>
      </c>
      <c r="B2118" s="7" t="str">
        <f>VLOOKUP(VALUE(A2118), 'DICIONÁRIO UF'!$A:$B, 2, FALSE)</f>
        <v>Alagoas</v>
      </c>
      <c r="C2118" s="3">
        <v>1110</v>
      </c>
      <c r="D2118" s="5" t="str">
        <f>VLOOKUP(C2118, 'DICIONÁRIO CNAES'!$A:$B, 2, FALSE)</f>
        <v>Horticultura</v>
      </c>
      <c r="E2118" s="4">
        <v>6884.4687431100001</v>
      </c>
      <c r="F2118" s="4">
        <v>4104010.3479104</v>
      </c>
    </row>
    <row r="2119" spans="1:6" x14ac:dyDescent="0.3">
      <c r="A2119" s="3" t="s">
        <v>17</v>
      </c>
      <c r="B2119" s="7" t="str">
        <f>VLOOKUP(VALUE(A2119), 'DICIONÁRIO UF'!$A:$B, 2, FALSE)</f>
        <v>Alagoas</v>
      </c>
      <c r="C2119" s="3">
        <v>1112</v>
      </c>
      <c r="D2119" s="5" t="str">
        <f>VLOOKUP(C2119, 'DICIONÁRIO CNAES'!$A:$B, 2, FALSE)</f>
        <v>Cultivo de frutas cítricas</v>
      </c>
      <c r="E2119" s="4">
        <v>563.08154809999996</v>
      </c>
      <c r="F2119" s="4">
        <v>456949.07561910001</v>
      </c>
    </row>
    <row r="2120" spans="1:6" x14ac:dyDescent="0.3">
      <c r="A2120" s="3" t="s">
        <v>17</v>
      </c>
      <c r="B2120" s="7" t="str">
        <f>VLOOKUP(VALUE(A2120), 'DICIONÁRIO UF'!$A:$B, 2, FALSE)</f>
        <v>Alagoas</v>
      </c>
      <c r="C2120" s="3">
        <v>1116</v>
      </c>
      <c r="D2120" s="5" t="str">
        <f>VLOOKUP(C2120, 'DICIONÁRIO CNAES'!$A:$B, 2, FALSE)</f>
        <v>Cultivo de banana</v>
      </c>
      <c r="E2120" s="4">
        <v>1102.29811051</v>
      </c>
      <c r="F2120" s="4">
        <v>902689.35072450002</v>
      </c>
    </row>
    <row r="2121" spans="1:6" x14ac:dyDescent="0.3">
      <c r="A2121" s="3" t="s">
        <v>17</v>
      </c>
      <c r="B2121" s="7" t="str">
        <f>VLOOKUP(VALUE(A2121), 'DICIONÁRIO UF'!$A:$B, 2, FALSE)</f>
        <v>Alagoas</v>
      </c>
      <c r="C2121" s="3">
        <v>1117</v>
      </c>
      <c r="D2121" s="5" t="str">
        <f>VLOOKUP(C2121, 'DICIONÁRIO CNAES'!$A:$B, 2, FALSE)</f>
        <v>Cultivo de outras plantas e frutas de lavoura permanente não especificadas anteriormente</v>
      </c>
      <c r="E2121" s="4">
        <v>856.95699074000004</v>
      </c>
      <c r="F2121" s="4">
        <v>902377.28627919999</v>
      </c>
    </row>
    <row r="2122" spans="1:6" x14ac:dyDescent="0.3">
      <c r="A2122" s="3" t="s">
        <v>17</v>
      </c>
      <c r="B2122" s="7" t="str">
        <f>VLOOKUP(VALUE(A2122), 'DICIONÁRIO UF'!$A:$B, 2, FALSE)</f>
        <v>Alagoas</v>
      </c>
      <c r="C2122" s="3">
        <v>1118</v>
      </c>
      <c r="D2122" s="5" t="str">
        <f>VLOOKUP(C2122, 'DICIONÁRIO CNAES'!$A:$B, 2, FALSE)</f>
        <v>Produção de sementes e mudas certificadas</v>
      </c>
      <c r="E2122" s="4">
        <v>120.87220372</v>
      </c>
      <c r="F2122" s="4">
        <v>132959.424092</v>
      </c>
    </row>
    <row r="2123" spans="1:6" x14ac:dyDescent="0.3">
      <c r="A2123" s="3" t="s">
        <v>17</v>
      </c>
      <c r="B2123" s="7" t="str">
        <f>VLOOKUP(VALUE(A2123), 'DICIONÁRIO UF'!$A:$B, 2, FALSE)</f>
        <v>Alagoas</v>
      </c>
      <c r="C2123" s="3">
        <v>1119</v>
      </c>
      <c r="D2123" s="5" t="str">
        <f>VLOOKUP(C2123, 'DICIONÁRIO CNAES'!$A:$B, 2, FALSE)</f>
        <v>Lavoura não especificada</v>
      </c>
      <c r="E2123" s="4">
        <v>144.62616113000001</v>
      </c>
      <c r="F2123" s="4">
        <v>154325.300712</v>
      </c>
    </row>
    <row r="2124" spans="1:6" x14ac:dyDescent="0.3">
      <c r="A2124" s="3" t="s">
        <v>17</v>
      </c>
      <c r="B2124" s="7" t="str">
        <f>VLOOKUP(VALUE(A2124), 'DICIONÁRIO UF'!$A:$B, 2, FALSE)</f>
        <v>Alagoas</v>
      </c>
      <c r="C2124" s="3">
        <v>1201</v>
      </c>
      <c r="D2124" s="5" t="str">
        <f>VLOOKUP(C2124, 'DICIONÁRIO CNAES'!$A:$B, 2, FALSE)</f>
        <v>Criação de bovinos</v>
      </c>
      <c r="E2124" s="4">
        <v>20824.23188471</v>
      </c>
      <c r="F2124" s="4">
        <v>22040418.75940267</v>
      </c>
    </row>
    <row r="2125" spans="1:6" x14ac:dyDescent="0.3">
      <c r="A2125" s="3" t="s">
        <v>17</v>
      </c>
      <c r="B2125" s="7" t="str">
        <f>VLOOKUP(VALUE(A2125), 'DICIONÁRIO UF'!$A:$B, 2, FALSE)</f>
        <v>Alagoas</v>
      </c>
      <c r="C2125" s="3">
        <v>1202</v>
      </c>
      <c r="D2125" s="5" t="str">
        <f>VLOOKUP(C2125, 'DICIONÁRIO CNAES'!$A:$B, 2, FALSE)</f>
        <v>Criação de outros animais de grande porte não especificados anteriormente</v>
      </c>
      <c r="E2125" s="4">
        <v>1308.4764971</v>
      </c>
      <c r="F2125" s="4">
        <v>1497900.5838315</v>
      </c>
    </row>
    <row r="2126" spans="1:6" x14ac:dyDescent="0.3">
      <c r="A2126" s="3" t="s">
        <v>17</v>
      </c>
      <c r="B2126" s="7" t="str">
        <f>VLOOKUP(VALUE(A2126), 'DICIONÁRIO UF'!$A:$B, 2, FALSE)</f>
        <v>Alagoas</v>
      </c>
      <c r="C2126" s="3">
        <v>1203</v>
      </c>
      <c r="D2126" s="5" t="str">
        <f>VLOOKUP(C2126, 'DICIONÁRIO CNAES'!$A:$B, 2, FALSE)</f>
        <v>Criação de caprinos e ovinos</v>
      </c>
      <c r="E2126" s="4">
        <v>522.40809243000001</v>
      </c>
      <c r="F2126" s="4">
        <v>375702.73526500002</v>
      </c>
    </row>
    <row r="2127" spans="1:6" x14ac:dyDescent="0.3">
      <c r="A2127" s="3" t="s">
        <v>17</v>
      </c>
      <c r="B2127" s="7" t="str">
        <f>VLOOKUP(VALUE(A2127), 'DICIONÁRIO UF'!$A:$B, 2, FALSE)</f>
        <v>Alagoas</v>
      </c>
      <c r="C2127" s="3">
        <v>1204</v>
      </c>
      <c r="D2127" s="5" t="str">
        <f>VLOOKUP(C2127, 'DICIONÁRIO CNAES'!$A:$B, 2, FALSE)</f>
        <v>Criação de suínos</v>
      </c>
      <c r="E2127" s="4">
        <v>636.66652047000002</v>
      </c>
      <c r="F2127" s="4">
        <v>4785628.8819010006</v>
      </c>
    </row>
    <row r="2128" spans="1:6" x14ac:dyDescent="0.3">
      <c r="A2128" s="3" t="s">
        <v>17</v>
      </c>
      <c r="B2128" s="7" t="str">
        <f>VLOOKUP(VALUE(A2128), 'DICIONÁRIO UF'!$A:$B, 2, FALSE)</f>
        <v>Alagoas</v>
      </c>
      <c r="C2128" s="3">
        <v>1205</v>
      </c>
      <c r="D2128" s="5" t="str">
        <f>VLOOKUP(C2128, 'DICIONÁRIO CNAES'!$A:$B, 2, FALSE)</f>
        <v>Criação de aves</v>
      </c>
      <c r="E2128" s="4">
        <v>1088.3593209799999</v>
      </c>
      <c r="F2128" s="4">
        <v>864456.22422007995</v>
      </c>
    </row>
    <row r="2129" spans="1:6" x14ac:dyDescent="0.3">
      <c r="A2129" s="3" t="s">
        <v>17</v>
      </c>
      <c r="B2129" s="7" t="str">
        <f>VLOOKUP(VALUE(A2129), 'DICIONÁRIO UF'!$A:$B, 2, FALSE)</f>
        <v>Alagoas</v>
      </c>
      <c r="C2129" s="3">
        <v>1401</v>
      </c>
      <c r="D2129" s="5" t="str">
        <f>VLOOKUP(C2129, 'DICIONÁRIO CNAES'!$A:$B, 2, FALSE)</f>
        <v>Atividades de apoio à agricultura e pós-colheita</v>
      </c>
      <c r="E2129" s="4">
        <v>1189.62555608</v>
      </c>
      <c r="F2129" s="4">
        <v>707074.48975259997</v>
      </c>
    </row>
    <row r="2130" spans="1:6" x14ac:dyDescent="0.3">
      <c r="A2130" s="3" t="s">
        <v>17</v>
      </c>
      <c r="B2130" s="7" t="str">
        <f>VLOOKUP(VALUE(A2130), 'DICIONÁRIO UF'!$A:$B, 2, FALSE)</f>
        <v>Alagoas</v>
      </c>
      <c r="C2130" s="3">
        <v>1402</v>
      </c>
      <c r="D2130" s="5" t="str">
        <f>VLOOKUP(C2130, 'DICIONÁRIO CNAES'!$A:$B, 2, FALSE)</f>
        <v xml:space="preserve">Atividades de apoio à pecuária </v>
      </c>
      <c r="E2130" s="4">
        <v>105.27691511</v>
      </c>
      <c r="F2130" s="4">
        <v>105276.91511</v>
      </c>
    </row>
    <row r="2131" spans="1:6" x14ac:dyDescent="0.3">
      <c r="A2131" s="3" t="s">
        <v>17</v>
      </c>
      <c r="B2131" s="7" t="str">
        <f>VLOOKUP(VALUE(A2131), 'DICIONÁRIO UF'!$A:$B, 2, FALSE)</f>
        <v>Alagoas</v>
      </c>
      <c r="C2131" s="3">
        <v>2000</v>
      </c>
      <c r="D2131" s="5" t="str">
        <f>VLOOKUP(C2131, 'DICIONÁRIO CNAES'!$A:$B, 2, FALSE)</f>
        <v xml:space="preserve">Produção florestal </v>
      </c>
      <c r="E2131" s="4">
        <v>1354.0988716500001</v>
      </c>
      <c r="F2131" s="4">
        <v>1455676.7989850801</v>
      </c>
    </row>
    <row r="2132" spans="1:6" x14ac:dyDescent="0.3">
      <c r="A2132" s="3" t="s">
        <v>17</v>
      </c>
      <c r="B2132" s="7" t="str">
        <f>VLOOKUP(VALUE(A2132), 'DICIONÁRIO UF'!$A:$B, 2, FALSE)</f>
        <v>Alagoas</v>
      </c>
      <c r="C2132" s="3">
        <v>3001</v>
      </c>
      <c r="D2132" s="5" t="str">
        <f>VLOOKUP(C2132, 'DICIONÁRIO CNAES'!$A:$B, 2, FALSE)</f>
        <v>Pesca</v>
      </c>
      <c r="E2132" s="4">
        <v>11466.4548101</v>
      </c>
      <c r="F2132" s="4">
        <v>5117746.0576898502</v>
      </c>
    </row>
    <row r="2133" spans="1:6" x14ac:dyDescent="0.3">
      <c r="A2133" s="3" t="s">
        <v>17</v>
      </c>
      <c r="B2133" s="7" t="str">
        <f>VLOOKUP(VALUE(A2133), 'DICIONÁRIO UF'!$A:$B, 2, FALSE)</f>
        <v>Alagoas</v>
      </c>
      <c r="C2133" s="3">
        <v>3002</v>
      </c>
      <c r="D2133" s="5" t="str">
        <f>VLOOKUP(C2133, 'DICIONÁRIO CNAES'!$A:$B, 2, FALSE)</f>
        <v>Aqüicultura</v>
      </c>
      <c r="E2133" s="4">
        <v>83.910029960000003</v>
      </c>
      <c r="F2133" s="4">
        <v>25173.008988000001</v>
      </c>
    </row>
    <row r="2134" spans="1:6" x14ac:dyDescent="0.3">
      <c r="A2134" s="3" t="s">
        <v>17</v>
      </c>
      <c r="B2134" s="7" t="str">
        <f>VLOOKUP(VALUE(A2134), 'DICIONÁRIO UF'!$A:$B, 2, FALSE)</f>
        <v>Alagoas</v>
      </c>
      <c r="C2134" s="3">
        <v>6000</v>
      </c>
      <c r="D2134" s="5" t="str">
        <f>VLOOKUP(C2134, 'DICIONÁRIO CNAES'!$A:$B, 2, FALSE)</f>
        <v xml:space="preserve">Extração de petróleo e gás natural </v>
      </c>
      <c r="E2134" s="4">
        <v>413.73645037</v>
      </c>
      <c r="F2134" s="4">
        <v>2999673.0630350001</v>
      </c>
    </row>
    <row r="2135" spans="1:6" x14ac:dyDescent="0.3">
      <c r="A2135" s="3" t="s">
        <v>17</v>
      </c>
      <c r="B2135" s="7" t="str">
        <f>VLOOKUP(VALUE(A2135), 'DICIONÁRIO UF'!$A:$B, 2, FALSE)</f>
        <v>Alagoas</v>
      </c>
      <c r="C2135" s="3">
        <v>7002</v>
      </c>
      <c r="D2135" s="5" t="str">
        <f>VLOOKUP(C2135, 'DICIONÁRIO CNAES'!$A:$B, 2, FALSE)</f>
        <v xml:space="preserve">Extração de minerais metálicos não especificados anteriormente </v>
      </c>
      <c r="E2135" s="4">
        <v>1154.6125197399999</v>
      </c>
      <c r="F2135" s="4">
        <v>2045965.074973</v>
      </c>
    </row>
    <row r="2136" spans="1:6" x14ac:dyDescent="0.3">
      <c r="A2136" s="3" t="s">
        <v>17</v>
      </c>
      <c r="B2136" s="7" t="str">
        <f>VLOOKUP(VALUE(A2136), 'DICIONÁRIO UF'!$A:$B, 2, FALSE)</f>
        <v>Alagoas</v>
      </c>
      <c r="C2136" s="3">
        <v>8001</v>
      </c>
      <c r="D2136" s="5" t="str">
        <f>VLOOKUP(C2136, 'DICIONÁRIO CNAES'!$A:$B, 2, FALSE)</f>
        <v>Extração de pedras, areia e argila</v>
      </c>
      <c r="E2136" s="4">
        <v>1197.3936324700001</v>
      </c>
      <c r="F2136" s="4">
        <v>1427342.1617320001</v>
      </c>
    </row>
    <row r="2137" spans="1:6" x14ac:dyDescent="0.3">
      <c r="A2137" s="3" t="s">
        <v>17</v>
      </c>
      <c r="B2137" s="7" t="str">
        <f>VLOOKUP(VALUE(A2137), 'DICIONÁRIO UF'!$A:$B, 2, FALSE)</f>
        <v>Alagoas</v>
      </c>
      <c r="C2137" s="3">
        <v>9000</v>
      </c>
      <c r="D2137" s="5" t="str">
        <f>VLOOKUP(C2137, 'DICIONÁRIO CNAES'!$A:$B, 2, FALSE)</f>
        <v>Atividades de apoio à extração de minerais</v>
      </c>
      <c r="E2137" s="4">
        <v>154.84185597999999</v>
      </c>
      <c r="F2137" s="4">
        <v>433557.19674400002</v>
      </c>
    </row>
    <row r="2138" spans="1:6" x14ac:dyDescent="0.3">
      <c r="A2138" s="3" t="s">
        <v>17</v>
      </c>
      <c r="B2138" s="7" t="str">
        <f>VLOOKUP(VALUE(A2138), 'DICIONÁRIO UF'!$A:$B, 2, FALSE)</f>
        <v>Alagoas</v>
      </c>
      <c r="C2138" s="3">
        <v>10010</v>
      </c>
      <c r="D2138" s="5" t="str">
        <f>VLOOKUP(C2138, 'DICIONÁRIO CNAES'!$A:$B, 2, FALSE)</f>
        <v xml:space="preserve">Abate e fabricação de produtos de carne e pescado </v>
      </c>
      <c r="E2138" s="4">
        <v>572.74899264999999</v>
      </c>
      <c r="F2138" s="4">
        <v>757401.01609799999</v>
      </c>
    </row>
    <row r="2139" spans="1:6" x14ac:dyDescent="0.3">
      <c r="A2139" s="3" t="s">
        <v>17</v>
      </c>
      <c r="B2139" s="7" t="str">
        <f>VLOOKUP(VALUE(A2139), 'DICIONÁRIO UF'!$A:$B, 2, FALSE)</f>
        <v>Alagoas</v>
      </c>
      <c r="C2139" s="3">
        <v>10021</v>
      </c>
      <c r="D2139" s="5" t="str">
        <f>VLOOKUP(C2139, 'DICIONÁRIO CNAES'!$A:$B, 2, FALSE)</f>
        <v>Fabricação de conservas de frutas, legumes e outros vegetais</v>
      </c>
      <c r="E2139" s="4">
        <v>944.53033672999993</v>
      </c>
      <c r="F2139" s="4">
        <v>1145276.0574306</v>
      </c>
    </row>
    <row r="2140" spans="1:6" x14ac:dyDescent="0.3">
      <c r="A2140" s="3" t="s">
        <v>17</v>
      </c>
      <c r="B2140" s="7" t="str">
        <f>VLOOKUP(VALUE(A2140), 'DICIONÁRIO UF'!$A:$B, 2, FALSE)</f>
        <v>Alagoas</v>
      </c>
      <c r="C2140" s="3">
        <v>10030</v>
      </c>
      <c r="D2140" s="5" t="str">
        <f>VLOOKUP(C2140, 'DICIONÁRIO CNAES'!$A:$B, 2, FALSE)</f>
        <v>Laticínios</v>
      </c>
      <c r="E2140" s="4">
        <v>2250.5997588700002</v>
      </c>
      <c r="F2140" s="4">
        <v>2397157.3082651999</v>
      </c>
    </row>
    <row r="2141" spans="1:6" x14ac:dyDescent="0.3">
      <c r="A2141" s="3" t="s">
        <v>17</v>
      </c>
      <c r="B2141" s="7" t="str">
        <f>VLOOKUP(VALUE(A2141), 'DICIONÁRIO UF'!$A:$B, 2, FALSE)</f>
        <v>Alagoas</v>
      </c>
      <c r="C2141" s="3">
        <v>10091</v>
      </c>
      <c r="D2141" s="5" t="str">
        <f>VLOOKUP(C2141, 'DICIONÁRIO CNAES'!$A:$B, 2, FALSE)</f>
        <v>Moagem, fabricação de produtos amiláceos e de alimentos para animais</v>
      </c>
      <c r="E2141" s="4">
        <v>1182.8006672500001</v>
      </c>
      <c r="F2141" s="4">
        <v>1241238.3315204</v>
      </c>
    </row>
    <row r="2142" spans="1:6" x14ac:dyDescent="0.3">
      <c r="A2142" s="3" t="s">
        <v>17</v>
      </c>
      <c r="B2142" s="7" t="str">
        <f>VLOOKUP(VALUE(A2142), 'DICIONÁRIO UF'!$A:$B, 2, FALSE)</f>
        <v>Alagoas</v>
      </c>
      <c r="C2142" s="3">
        <v>10092</v>
      </c>
      <c r="D2142" s="5" t="str">
        <f>VLOOKUP(C2142, 'DICIONÁRIO CNAES'!$A:$B, 2, FALSE)</f>
        <v>Fabricação e refino do açúcar</v>
      </c>
      <c r="E2142" s="4">
        <v>17370.767746400001</v>
      </c>
      <c r="F2142" s="4">
        <v>30060744.869148061</v>
      </c>
    </row>
    <row r="2143" spans="1:6" x14ac:dyDescent="0.3">
      <c r="A2143" s="3" t="s">
        <v>17</v>
      </c>
      <c r="B2143" s="7" t="str">
        <f>VLOOKUP(VALUE(A2143), 'DICIONÁRIO UF'!$A:$B, 2, FALSE)</f>
        <v>Alagoas</v>
      </c>
      <c r="C2143" s="3">
        <v>10099</v>
      </c>
      <c r="D2143" s="5" t="str">
        <f>VLOOKUP(C2143, 'DICIONÁRIO CNAES'!$A:$B, 2, FALSE)</f>
        <v>Fabricação de outros produtos alimentícios</v>
      </c>
      <c r="E2143" s="4">
        <v>1661.8862441799999</v>
      </c>
      <c r="F2143" s="4">
        <v>2000852.016109</v>
      </c>
    </row>
    <row r="2144" spans="1:6" x14ac:dyDescent="0.3">
      <c r="A2144" s="3" t="s">
        <v>17</v>
      </c>
      <c r="B2144" s="7" t="str">
        <f>VLOOKUP(VALUE(A2144), 'DICIONÁRIO UF'!$A:$B, 2, FALSE)</f>
        <v>Alagoas</v>
      </c>
      <c r="C2144" s="3">
        <v>11000</v>
      </c>
      <c r="D2144" s="5" t="str">
        <f>VLOOKUP(C2144, 'DICIONÁRIO CNAES'!$A:$B, 2, FALSE)</f>
        <v>Fabricação de bebidas</v>
      </c>
      <c r="E2144" s="4">
        <v>555.36364616000003</v>
      </c>
      <c r="F2144" s="4">
        <v>739642.84310116002</v>
      </c>
    </row>
    <row r="2145" spans="1:6" x14ac:dyDescent="0.3">
      <c r="A2145" s="3" t="s">
        <v>17</v>
      </c>
      <c r="B2145" s="7" t="str">
        <f>VLOOKUP(VALUE(A2145), 'DICIONÁRIO UF'!$A:$B, 2, FALSE)</f>
        <v>Alagoas</v>
      </c>
      <c r="C2145" s="3">
        <v>12000</v>
      </c>
      <c r="D2145" s="5" t="str">
        <f>VLOOKUP(C2145, 'DICIONÁRIO CNAES'!$A:$B, 2, FALSE)</f>
        <v>Processamento industrial e fabricação de produtos do fumo</v>
      </c>
      <c r="E2145" s="4">
        <v>362.64546222000001</v>
      </c>
      <c r="F2145" s="4">
        <v>1033539.567327</v>
      </c>
    </row>
    <row r="2146" spans="1:6" x14ac:dyDescent="0.3">
      <c r="A2146" s="3" t="s">
        <v>17</v>
      </c>
      <c r="B2146" s="7" t="str">
        <f>VLOOKUP(VALUE(A2146), 'DICIONÁRIO UF'!$A:$B, 2, FALSE)</f>
        <v>Alagoas</v>
      </c>
      <c r="C2146" s="3">
        <v>13001</v>
      </c>
      <c r="D2146" s="5" t="str">
        <f>VLOOKUP(C2146, 'DICIONÁRIO CNAES'!$A:$B, 2, FALSE)</f>
        <v>Preparação de fibras, fiação e tecelagem</v>
      </c>
      <c r="E2146" s="4">
        <v>88.607779030000003</v>
      </c>
      <c r="F2146" s="4">
        <v>8860.7779030000002</v>
      </c>
    </row>
    <row r="2147" spans="1:6" x14ac:dyDescent="0.3">
      <c r="A2147" s="3" t="s">
        <v>17</v>
      </c>
      <c r="B2147" s="7" t="str">
        <f>VLOOKUP(VALUE(A2147), 'DICIONÁRIO UF'!$A:$B, 2, FALSE)</f>
        <v>Alagoas</v>
      </c>
      <c r="C2147" s="3">
        <v>13002</v>
      </c>
      <c r="D2147" s="5" t="str">
        <f>VLOOKUP(C2147, 'DICIONÁRIO CNAES'!$A:$B, 2, FALSE)</f>
        <v>Fabricação de artefatos têxteis, exceto vestuário</v>
      </c>
      <c r="E2147" s="4">
        <v>4536.4895935000004</v>
      </c>
      <c r="F2147" s="4">
        <v>2940279.9241077998</v>
      </c>
    </row>
    <row r="2148" spans="1:6" x14ac:dyDescent="0.3">
      <c r="A2148" s="3" t="s">
        <v>17</v>
      </c>
      <c r="B2148" s="7" t="str">
        <f>VLOOKUP(VALUE(A2148), 'DICIONÁRIO UF'!$A:$B, 2, FALSE)</f>
        <v>Alagoas</v>
      </c>
      <c r="C2148" s="3">
        <v>14001</v>
      </c>
      <c r="D2148" s="5" t="str">
        <f>VLOOKUP(C2148, 'DICIONÁRIO CNAES'!$A:$B, 2, FALSE)</f>
        <v>Confecção de artigos do vestuário e acessórios, exceto sob medida</v>
      </c>
      <c r="E2148" s="4">
        <v>2554.8224774400001</v>
      </c>
      <c r="F2148" s="4">
        <v>1676347.89702</v>
      </c>
    </row>
    <row r="2149" spans="1:6" x14ac:dyDescent="0.3">
      <c r="A2149" s="3" t="s">
        <v>17</v>
      </c>
      <c r="B2149" s="7" t="str">
        <f>VLOOKUP(VALUE(A2149), 'DICIONÁRIO UF'!$A:$B, 2, FALSE)</f>
        <v>Alagoas</v>
      </c>
      <c r="C2149" s="3">
        <v>14002</v>
      </c>
      <c r="D2149" s="5" t="str">
        <f>VLOOKUP(C2149, 'DICIONÁRIO CNAES'!$A:$B, 2, FALSE)</f>
        <v>Confecção, sob medida, de artigos do vestuário</v>
      </c>
      <c r="E2149" s="4">
        <v>2670.3724466200001</v>
      </c>
      <c r="F2149" s="4">
        <v>2059649.806847</v>
      </c>
    </row>
    <row r="2150" spans="1:6" x14ac:dyDescent="0.3">
      <c r="A2150" s="3" t="s">
        <v>17</v>
      </c>
      <c r="B2150" s="7" t="str">
        <f>VLOOKUP(VALUE(A2150), 'DICIONÁRIO UF'!$A:$B, 2, FALSE)</f>
        <v>Alagoas</v>
      </c>
      <c r="C2150" s="3">
        <v>15012</v>
      </c>
      <c r="D2150" s="5" t="str">
        <f>VLOOKUP(C2150, 'DICIONÁRIO CNAES'!$A:$B, 2, FALSE)</f>
        <v>Fabricação de artigos de viagem e de artefatos diversos de couro</v>
      </c>
      <c r="E2150" s="4">
        <v>270.56170778000001</v>
      </c>
      <c r="F2150" s="4">
        <v>105486.246978</v>
      </c>
    </row>
    <row r="2151" spans="1:6" x14ac:dyDescent="0.3">
      <c r="A2151" s="3" t="s">
        <v>17</v>
      </c>
      <c r="B2151" s="7" t="str">
        <f>VLOOKUP(VALUE(A2151), 'DICIONÁRIO UF'!$A:$B, 2, FALSE)</f>
        <v>Alagoas</v>
      </c>
      <c r="C2151" s="3">
        <v>15020</v>
      </c>
      <c r="D2151" s="5" t="str">
        <f>VLOOKUP(C2151, 'DICIONÁRIO CNAES'!$A:$B, 2, FALSE)</f>
        <v>Fabricação de calçados e partes para calçados, de qualquer material</v>
      </c>
      <c r="E2151" s="4">
        <v>486.94631163999998</v>
      </c>
      <c r="F2151" s="4">
        <v>1005916.6644464</v>
      </c>
    </row>
    <row r="2152" spans="1:6" x14ac:dyDescent="0.3">
      <c r="A2152" s="3" t="s">
        <v>17</v>
      </c>
      <c r="B2152" s="7" t="str">
        <f>VLOOKUP(VALUE(A2152), 'DICIONÁRIO UF'!$A:$B, 2, FALSE)</f>
        <v>Alagoas</v>
      </c>
      <c r="C2152" s="3">
        <v>16001</v>
      </c>
      <c r="D2152" s="5" t="str">
        <f>VLOOKUP(C2152, 'DICIONÁRIO CNAES'!$A:$B, 2, FALSE)</f>
        <v>Serrarias</v>
      </c>
      <c r="E2152" s="4">
        <v>86.638416190000001</v>
      </c>
      <c r="F2152" s="4">
        <v>95302.257809000002</v>
      </c>
    </row>
    <row r="2153" spans="1:6" x14ac:dyDescent="0.3">
      <c r="A2153" s="3" t="s">
        <v>17</v>
      </c>
      <c r="B2153" s="7" t="str">
        <f>VLOOKUP(VALUE(A2153), 'DICIONÁRIO UF'!$A:$B, 2, FALSE)</f>
        <v>Alagoas</v>
      </c>
      <c r="C2153" s="3">
        <v>16002</v>
      </c>
      <c r="D2153" s="5" t="str">
        <f>VLOOKUP(C2153, 'DICIONÁRIO CNAES'!$A:$B, 2, FALSE)</f>
        <v>Fabricação de produtos de madeira, cortiça e material trançado, exceto móveis</v>
      </c>
      <c r="E2153" s="4">
        <v>1606.0971349599999</v>
      </c>
      <c r="F2153" s="4">
        <v>1857728.7855499999</v>
      </c>
    </row>
    <row r="2154" spans="1:6" x14ac:dyDescent="0.3">
      <c r="A2154" s="3" t="s">
        <v>17</v>
      </c>
      <c r="B2154" s="7" t="str">
        <f>VLOOKUP(VALUE(A2154), 'DICIONÁRIO UF'!$A:$B, 2, FALSE)</f>
        <v>Alagoas</v>
      </c>
      <c r="C2154" s="3">
        <v>18000</v>
      </c>
      <c r="D2154" s="5" t="str">
        <f>VLOOKUP(C2154, 'DICIONÁRIO CNAES'!$A:$B, 2, FALSE)</f>
        <v>Impressão e reprodução de gravações</v>
      </c>
      <c r="E2154" s="4">
        <v>1547.8468131499999</v>
      </c>
      <c r="F2154" s="4">
        <v>3930918.4438248002</v>
      </c>
    </row>
    <row r="2155" spans="1:6" x14ac:dyDescent="0.3">
      <c r="A2155" s="3" t="s">
        <v>17</v>
      </c>
      <c r="B2155" s="7" t="str">
        <f>VLOOKUP(VALUE(A2155), 'DICIONÁRIO UF'!$A:$B, 2, FALSE)</f>
        <v>Alagoas</v>
      </c>
      <c r="C2155" s="3">
        <v>19030</v>
      </c>
      <c r="D2155" s="5" t="str">
        <f>VLOOKUP(C2155, 'DICIONÁRIO CNAES'!$A:$B, 2, FALSE)</f>
        <v>Produção de biocombustíveis</v>
      </c>
      <c r="E2155" s="4">
        <v>551.80726962999995</v>
      </c>
      <c r="F2155" s="4">
        <v>1123060.7606434999</v>
      </c>
    </row>
    <row r="2156" spans="1:6" x14ac:dyDescent="0.3">
      <c r="A2156" s="3" t="s">
        <v>17</v>
      </c>
      <c r="B2156" s="7" t="str">
        <f>VLOOKUP(VALUE(A2156), 'DICIONÁRIO UF'!$A:$B, 2, FALSE)</f>
        <v>Alagoas</v>
      </c>
      <c r="C2156" s="3">
        <v>20020</v>
      </c>
      <c r="D2156" s="5" t="str">
        <f>VLOOKUP(C2156, 'DICIONÁRIO CNAES'!$A:$B, 2, FALSE)</f>
        <v>Fabricação de sabões, detergentes, produtos de limpeza, cosméticos, produtos de perfumaria e de higiene pessoal</v>
      </c>
      <c r="E2156" s="4">
        <v>543.94362249000005</v>
      </c>
      <c r="F2156" s="4">
        <v>450803.15820100001</v>
      </c>
    </row>
    <row r="2157" spans="1:6" x14ac:dyDescent="0.3">
      <c r="A2157" s="3" t="s">
        <v>17</v>
      </c>
      <c r="B2157" s="7" t="str">
        <f>VLOOKUP(VALUE(A2157), 'DICIONÁRIO UF'!$A:$B, 2, FALSE)</f>
        <v>Alagoas</v>
      </c>
      <c r="C2157" s="3">
        <v>20090</v>
      </c>
      <c r="D2157" s="5" t="str">
        <f>VLOOKUP(C2157, 'DICIONÁRIO CNAES'!$A:$B, 2, FALSE)</f>
        <v>Fabricação de outros produtos químicos não especificados anteriormente</v>
      </c>
      <c r="E2157" s="4">
        <v>487.27644715999998</v>
      </c>
      <c r="F2157" s="4">
        <v>536004.09187599993</v>
      </c>
    </row>
    <row r="2158" spans="1:6" x14ac:dyDescent="0.3">
      <c r="A2158" s="3" t="s">
        <v>17</v>
      </c>
      <c r="B2158" s="7" t="str">
        <f>VLOOKUP(VALUE(A2158), 'DICIONÁRIO UF'!$A:$B, 2, FALSE)</f>
        <v>Alagoas</v>
      </c>
      <c r="C2158" s="3">
        <v>21000</v>
      </c>
      <c r="D2158" s="5" t="str">
        <f>VLOOKUP(C2158, 'DICIONÁRIO CNAES'!$A:$B, 2, FALSE)</f>
        <v>Fabricação de produtos farmoquimicos e farmacêuticos</v>
      </c>
      <c r="E2158" s="4">
        <v>82.31579705</v>
      </c>
      <c r="F2158" s="4">
        <v>90547.376755000005</v>
      </c>
    </row>
    <row r="2159" spans="1:6" x14ac:dyDescent="0.3">
      <c r="A2159" s="3" t="s">
        <v>17</v>
      </c>
      <c r="B2159" s="7" t="str">
        <f>VLOOKUP(VALUE(A2159), 'DICIONÁRIO UF'!$A:$B, 2, FALSE)</f>
        <v>Alagoas</v>
      </c>
      <c r="C2159" s="3">
        <v>22020</v>
      </c>
      <c r="D2159" s="5" t="str">
        <f>VLOOKUP(C2159, 'DICIONÁRIO CNAES'!$A:$B, 2, FALSE)</f>
        <v>Fabricação de produtos de material plástico</v>
      </c>
      <c r="E2159" s="4">
        <v>2431.84807658</v>
      </c>
      <c r="F2159" s="4">
        <v>5703253.2796695</v>
      </c>
    </row>
    <row r="2160" spans="1:6" x14ac:dyDescent="0.3">
      <c r="A2160" s="3" t="s">
        <v>17</v>
      </c>
      <c r="B2160" s="7" t="str">
        <f>VLOOKUP(VALUE(A2160), 'DICIONÁRIO UF'!$A:$B, 2, FALSE)</f>
        <v>Alagoas</v>
      </c>
      <c r="C2160" s="3">
        <v>23010</v>
      </c>
      <c r="D2160" s="5" t="str">
        <f>VLOOKUP(C2160, 'DICIONÁRIO CNAES'!$A:$B, 2, FALSE)</f>
        <v>Fabricação de vidro e produtos de vidro</v>
      </c>
      <c r="E2160" s="4">
        <v>523.44060411999999</v>
      </c>
      <c r="F2160" s="4">
        <v>575784.66453199997</v>
      </c>
    </row>
    <row r="2161" spans="1:6" x14ac:dyDescent="0.3">
      <c r="A2161" s="3" t="s">
        <v>17</v>
      </c>
      <c r="B2161" s="7" t="str">
        <f>VLOOKUP(VALUE(A2161), 'DICIONÁRIO UF'!$A:$B, 2, FALSE)</f>
        <v>Alagoas</v>
      </c>
      <c r="C2161" s="3">
        <v>23091</v>
      </c>
      <c r="D2161" s="5" t="str">
        <f>VLOOKUP(C2161, 'DICIONÁRIO CNAES'!$A:$B, 2, FALSE)</f>
        <v>Fabricação de produtos cerâmicos</v>
      </c>
      <c r="E2161" s="4">
        <v>1124.80721169</v>
      </c>
      <c r="F2161" s="4">
        <v>765229.14645000012</v>
      </c>
    </row>
    <row r="2162" spans="1:6" x14ac:dyDescent="0.3">
      <c r="A2162" s="3" t="s">
        <v>17</v>
      </c>
      <c r="B2162" s="7" t="str">
        <f>VLOOKUP(VALUE(A2162), 'DICIONÁRIO UF'!$A:$B, 2, FALSE)</f>
        <v>Alagoas</v>
      </c>
      <c r="C2162" s="3">
        <v>23099</v>
      </c>
      <c r="D2162" s="5" t="str">
        <f>VLOOKUP(C2162, 'DICIONÁRIO CNAES'!$A:$B, 2, FALSE)</f>
        <v>Fabricação de outros produtos de minerais não-metálicos não especificados anteriormente</v>
      </c>
      <c r="E2162" s="4">
        <v>2870.5872842600002</v>
      </c>
      <c r="F2162" s="4">
        <v>3888846.1058399999</v>
      </c>
    </row>
    <row r="2163" spans="1:6" x14ac:dyDescent="0.3">
      <c r="A2163" s="3" t="s">
        <v>17</v>
      </c>
      <c r="B2163" s="7" t="str">
        <f>VLOOKUP(VALUE(A2163), 'DICIONÁRIO UF'!$A:$B, 2, FALSE)</f>
        <v>Alagoas</v>
      </c>
      <c r="C2163" s="3">
        <v>24001</v>
      </c>
      <c r="D2163" s="5" t="str">
        <f>VLOOKUP(C2163, 'DICIONÁRIO CNAES'!$A:$B, 2, FALSE)</f>
        <v>Fabricação de produtos siderúrgicos</v>
      </c>
      <c r="E2163" s="4">
        <v>141.71058736000001</v>
      </c>
      <c r="F2163" s="4">
        <v>240907.99851199999</v>
      </c>
    </row>
    <row r="2164" spans="1:6" x14ac:dyDescent="0.3">
      <c r="A2164" s="3" t="s">
        <v>17</v>
      </c>
      <c r="B2164" s="7" t="str">
        <f>VLOOKUP(VALUE(A2164), 'DICIONÁRIO UF'!$A:$B, 2, FALSE)</f>
        <v>Alagoas</v>
      </c>
      <c r="C2164" s="3">
        <v>24002</v>
      </c>
      <c r="D2164" s="5" t="str">
        <f>VLOOKUP(C2164, 'DICIONÁRIO CNAES'!$A:$B, 2, FALSE)</f>
        <v>Metalurgia dos metais não-ferrosos</v>
      </c>
      <c r="E2164" s="4">
        <v>518.49314930000003</v>
      </c>
      <c r="F2164" s="4">
        <v>777739.72395000001</v>
      </c>
    </row>
    <row r="2165" spans="1:6" x14ac:dyDescent="0.3">
      <c r="A2165" s="3" t="s">
        <v>17</v>
      </c>
      <c r="B2165" s="7" t="str">
        <f>VLOOKUP(VALUE(A2165), 'DICIONÁRIO UF'!$A:$B, 2, FALSE)</f>
        <v>Alagoas</v>
      </c>
      <c r="C2165" s="3">
        <v>25001</v>
      </c>
      <c r="D2165" s="5" t="str">
        <f>VLOOKUP(C2165, 'DICIONÁRIO CNAES'!$A:$B, 2, FALSE)</f>
        <v>Fabricação de produtos de metal, exceto máquinas e equipamentos</v>
      </c>
      <c r="E2165" s="4">
        <v>2833.9418959300001</v>
      </c>
      <c r="F2165" s="4">
        <v>2736165.8077766001</v>
      </c>
    </row>
    <row r="2166" spans="1:6" x14ac:dyDescent="0.3">
      <c r="A2166" s="3" t="s">
        <v>17</v>
      </c>
      <c r="B2166" s="7" t="str">
        <f>VLOOKUP(VALUE(A2166), 'DICIONÁRIO UF'!$A:$B, 2, FALSE)</f>
        <v>Alagoas</v>
      </c>
      <c r="C2166" s="3">
        <v>25002</v>
      </c>
      <c r="D2166" s="5" t="str">
        <f>VLOOKUP(C2166, 'DICIONÁRIO CNAES'!$A:$B, 2, FALSE)</f>
        <v>Forjaria, estamparia, metalurgia do pó e serviços de tratamento de metais</v>
      </c>
      <c r="E2166" s="4">
        <v>203.11500240999999</v>
      </c>
      <c r="F2166" s="4">
        <v>304672.50361499999</v>
      </c>
    </row>
    <row r="2167" spans="1:6" x14ac:dyDescent="0.3">
      <c r="A2167" s="3" t="s">
        <v>17</v>
      </c>
      <c r="B2167" s="7" t="str">
        <f>VLOOKUP(VALUE(A2167), 'DICIONÁRIO UF'!$A:$B, 2, FALSE)</f>
        <v>Alagoas</v>
      </c>
      <c r="C2167" s="3">
        <v>30010</v>
      </c>
      <c r="D2167" s="5" t="str">
        <f>VLOOKUP(C2167, 'DICIONÁRIO CNAES'!$A:$B, 2, FALSE)</f>
        <v xml:space="preserve">Construção de embarcações </v>
      </c>
      <c r="E2167" s="4">
        <v>116.55191336</v>
      </c>
      <c r="F2167" s="4">
        <v>93241.530687999999</v>
      </c>
    </row>
    <row r="2168" spans="1:6" x14ac:dyDescent="0.3">
      <c r="A2168" s="3" t="s">
        <v>17</v>
      </c>
      <c r="B2168" s="7" t="str">
        <f>VLOOKUP(VALUE(A2168), 'DICIONÁRIO UF'!$A:$B, 2, FALSE)</f>
        <v>Alagoas</v>
      </c>
      <c r="C2168" s="3">
        <v>31000</v>
      </c>
      <c r="D2168" s="5" t="str">
        <f>VLOOKUP(C2168, 'DICIONÁRIO CNAES'!$A:$B, 2, FALSE)</f>
        <v>Fabricação de móveis</v>
      </c>
      <c r="E2168" s="4">
        <v>4131.1720202200004</v>
      </c>
      <c r="F2168" s="4">
        <v>7035503.7481935006</v>
      </c>
    </row>
    <row r="2169" spans="1:6" x14ac:dyDescent="0.3">
      <c r="A2169" s="3" t="s">
        <v>17</v>
      </c>
      <c r="B2169" s="7" t="str">
        <f>VLOOKUP(VALUE(A2169), 'DICIONÁRIO UF'!$A:$B, 2, FALSE)</f>
        <v>Alagoas</v>
      </c>
      <c r="C2169" s="3">
        <v>32001</v>
      </c>
      <c r="D2169" s="5" t="str">
        <f>VLOOKUP(C2169, 'DICIONÁRIO CNAES'!$A:$B, 2, FALSE)</f>
        <v>Fabricação de artigos de joalheria, bijuteria e semelhantes</v>
      </c>
      <c r="E2169" s="4">
        <v>276.18616207000002</v>
      </c>
      <c r="F2169" s="4">
        <v>344222.66502000001</v>
      </c>
    </row>
    <row r="2170" spans="1:6" x14ac:dyDescent="0.3">
      <c r="A2170" s="3" t="s">
        <v>17</v>
      </c>
      <c r="B2170" s="7" t="str">
        <f>VLOOKUP(VALUE(A2170), 'DICIONÁRIO UF'!$A:$B, 2, FALSE)</f>
        <v>Alagoas</v>
      </c>
      <c r="C2170" s="3">
        <v>32009</v>
      </c>
      <c r="D2170" s="5" t="str">
        <f>VLOOKUP(C2170, 'DICIONÁRIO CNAES'!$A:$B, 2, FALSE)</f>
        <v>Fabricação de produtos diversos</v>
      </c>
      <c r="E2170" s="4">
        <v>380.18199249000003</v>
      </c>
      <c r="F2170" s="4">
        <v>950454.981225</v>
      </c>
    </row>
    <row r="2171" spans="1:6" x14ac:dyDescent="0.3">
      <c r="A2171" s="3" t="s">
        <v>17</v>
      </c>
      <c r="B2171" s="7" t="str">
        <f>VLOOKUP(VALUE(A2171), 'DICIONÁRIO UF'!$A:$B, 2, FALSE)</f>
        <v>Alagoas</v>
      </c>
      <c r="C2171" s="3">
        <v>33001</v>
      </c>
      <c r="D2171" s="5" t="str">
        <f>VLOOKUP(C2171, 'DICIONÁRIO CNAES'!$A:$B, 2, FALSE)</f>
        <v>Manutenção e reparação de máquinas e equipamentos</v>
      </c>
      <c r="E2171" s="4">
        <v>2415.8314197300001</v>
      </c>
      <c r="F2171" s="4">
        <v>3571822.5897260001</v>
      </c>
    </row>
    <row r="2172" spans="1:6" x14ac:dyDescent="0.3">
      <c r="A2172" s="3" t="s">
        <v>17</v>
      </c>
      <c r="B2172" s="7" t="str">
        <f>VLOOKUP(VALUE(A2172), 'DICIONÁRIO UF'!$A:$B, 2, FALSE)</f>
        <v>Alagoas</v>
      </c>
      <c r="C2172" s="3">
        <v>33002</v>
      </c>
      <c r="D2172" s="5" t="str">
        <f>VLOOKUP(C2172, 'DICIONÁRIO CNAES'!$A:$B, 2, FALSE)</f>
        <v>Instalação de máquinas e equipamentos</v>
      </c>
      <c r="E2172" s="4">
        <v>461.83961004999998</v>
      </c>
      <c r="F2172" s="4">
        <v>664708.03176799999</v>
      </c>
    </row>
    <row r="2173" spans="1:6" x14ac:dyDescent="0.3">
      <c r="A2173" s="3" t="s">
        <v>17</v>
      </c>
      <c r="B2173" s="7" t="str">
        <f>VLOOKUP(VALUE(A2173), 'DICIONÁRIO UF'!$A:$B, 2, FALSE)</f>
        <v>Alagoas</v>
      </c>
      <c r="C2173" s="3">
        <v>35010</v>
      </c>
      <c r="D2173" s="5" t="str">
        <f>VLOOKUP(C2173, 'DICIONÁRIO CNAES'!$A:$B, 2, FALSE)</f>
        <v>Geração, transmissão e distribuição de energia elétrica</v>
      </c>
      <c r="E2173" s="4">
        <v>3492.3399724300002</v>
      </c>
      <c r="F2173" s="4">
        <v>5071104.2162535004</v>
      </c>
    </row>
    <row r="2174" spans="1:6" x14ac:dyDescent="0.3">
      <c r="A2174" s="3" t="s">
        <v>17</v>
      </c>
      <c r="B2174" s="7" t="str">
        <f>VLOOKUP(VALUE(A2174), 'DICIONÁRIO UF'!$A:$B, 2, FALSE)</f>
        <v>Alagoas</v>
      </c>
      <c r="C2174" s="3">
        <v>36000</v>
      </c>
      <c r="D2174" s="5" t="str">
        <f>VLOOKUP(C2174, 'DICIONÁRIO CNAES'!$A:$B, 2, FALSE)</f>
        <v>Captação, tratamento e distribuição de água</v>
      </c>
      <c r="E2174" s="4">
        <v>1916.16264273</v>
      </c>
      <c r="F2174" s="4">
        <v>4236796.2674592799</v>
      </c>
    </row>
    <row r="2175" spans="1:6" x14ac:dyDescent="0.3">
      <c r="A2175" s="3" t="s">
        <v>17</v>
      </c>
      <c r="B2175" s="7" t="str">
        <f>VLOOKUP(VALUE(A2175), 'DICIONÁRIO UF'!$A:$B, 2, FALSE)</f>
        <v>Alagoas</v>
      </c>
      <c r="C2175" s="3">
        <v>38000</v>
      </c>
      <c r="D2175" s="5" t="str">
        <f>VLOOKUP(C2175, 'DICIONÁRIO CNAES'!$A:$B, 2, FALSE)</f>
        <v>Coleta, tratamento e disposição de resíduos; recuperação de materiais</v>
      </c>
      <c r="E2175" s="4">
        <v>7999.7252405099998</v>
      </c>
      <c r="F2175" s="4">
        <v>9726370.7209740002</v>
      </c>
    </row>
    <row r="2176" spans="1:6" x14ac:dyDescent="0.3">
      <c r="A2176" s="3" t="s">
        <v>17</v>
      </c>
      <c r="B2176" s="7" t="str">
        <f>VLOOKUP(VALUE(A2176), 'DICIONÁRIO UF'!$A:$B, 2, FALSE)</f>
        <v>Alagoas</v>
      </c>
      <c r="C2176" s="3">
        <v>41000</v>
      </c>
      <c r="D2176" s="5" t="str">
        <f>VLOOKUP(C2176, 'DICIONÁRIO CNAES'!$A:$B, 2, FALSE)</f>
        <v>Construção de edifícios</v>
      </c>
      <c r="E2176" s="4">
        <v>78899.550861080003</v>
      </c>
      <c r="F2176" s="4">
        <v>96870852.037502065</v>
      </c>
    </row>
    <row r="2177" spans="1:6" x14ac:dyDescent="0.3">
      <c r="A2177" s="3" t="s">
        <v>17</v>
      </c>
      <c r="B2177" s="7" t="str">
        <f>VLOOKUP(VALUE(A2177), 'DICIONÁRIO UF'!$A:$B, 2, FALSE)</f>
        <v>Alagoas</v>
      </c>
      <c r="C2177" s="3">
        <v>42000</v>
      </c>
      <c r="D2177" s="5" t="str">
        <f>VLOOKUP(C2177, 'DICIONÁRIO CNAES'!$A:$B, 2, FALSE)</f>
        <v>Construção de obras de infra-estrutura</v>
      </c>
      <c r="E2177" s="4">
        <v>7357.2162559999997</v>
      </c>
      <c r="F2177" s="4">
        <v>17388416.061259311</v>
      </c>
    </row>
    <row r="2178" spans="1:6" x14ac:dyDescent="0.3">
      <c r="A2178" s="3" t="s">
        <v>17</v>
      </c>
      <c r="B2178" s="7" t="str">
        <f>VLOOKUP(VALUE(A2178), 'DICIONÁRIO UF'!$A:$B, 2, FALSE)</f>
        <v>Alagoas</v>
      </c>
      <c r="C2178" s="3">
        <v>43000</v>
      </c>
      <c r="D2178" s="5" t="str">
        <f>VLOOKUP(C2178, 'DICIONÁRIO CNAES'!$A:$B, 2, FALSE)</f>
        <v>Serviços especializados para construção</v>
      </c>
      <c r="E2178" s="4">
        <v>22066.084035330001</v>
      </c>
      <c r="F2178" s="4">
        <v>32563656.7269389</v>
      </c>
    </row>
    <row r="2179" spans="1:6" x14ac:dyDescent="0.3">
      <c r="A2179" s="3" t="s">
        <v>17</v>
      </c>
      <c r="B2179" s="7" t="str">
        <f>VLOOKUP(VALUE(A2179), 'DICIONÁRIO UF'!$A:$B, 2, FALSE)</f>
        <v>Alagoas</v>
      </c>
      <c r="C2179" s="3">
        <v>45010</v>
      </c>
      <c r="D2179" s="5" t="str">
        <f>VLOOKUP(C2179, 'DICIONÁRIO CNAES'!$A:$B, 2, FALSE)</f>
        <v>Comércio de veículos automotores</v>
      </c>
      <c r="E2179" s="4">
        <v>3568.0805921599999</v>
      </c>
      <c r="F2179" s="4">
        <v>8717711.8910729997</v>
      </c>
    </row>
    <row r="2180" spans="1:6" x14ac:dyDescent="0.3">
      <c r="A2180" s="3" t="s">
        <v>17</v>
      </c>
      <c r="B2180" s="7" t="str">
        <f>VLOOKUP(VALUE(A2180), 'DICIONÁRIO UF'!$A:$B, 2, FALSE)</f>
        <v>Alagoas</v>
      </c>
      <c r="C2180" s="3">
        <v>45020</v>
      </c>
      <c r="D2180" s="5" t="str">
        <f>VLOOKUP(C2180, 'DICIONÁRIO CNAES'!$A:$B, 2, FALSE)</f>
        <v>Manutenção e reparação de veículos automotores</v>
      </c>
      <c r="E2180" s="4">
        <v>23402.660996570001</v>
      </c>
      <c r="F2180" s="4">
        <v>30651719.7901433</v>
      </c>
    </row>
    <row r="2181" spans="1:6" x14ac:dyDescent="0.3">
      <c r="A2181" s="3" t="s">
        <v>17</v>
      </c>
      <c r="B2181" s="7" t="str">
        <f>VLOOKUP(VALUE(A2181), 'DICIONÁRIO UF'!$A:$B, 2, FALSE)</f>
        <v>Alagoas</v>
      </c>
      <c r="C2181" s="3">
        <v>45030</v>
      </c>
      <c r="D2181" s="5" t="str">
        <f>VLOOKUP(C2181, 'DICIONÁRIO CNAES'!$A:$B, 2, FALSE)</f>
        <v>Comércio de peças e acessórios para veículos automotores</v>
      </c>
      <c r="E2181" s="4">
        <v>3268.1554096</v>
      </c>
      <c r="F2181" s="4">
        <v>26270918.586851999</v>
      </c>
    </row>
    <row r="2182" spans="1:6" x14ac:dyDescent="0.3">
      <c r="A2182" s="3" t="s">
        <v>17</v>
      </c>
      <c r="B2182" s="7" t="str">
        <f>VLOOKUP(VALUE(A2182), 'DICIONÁRIO UF'!$A:$B, 2, FALSE)</f>
        <v>Alagoas</v>
      </c>
      <c r="C2182" s="3">
        <v>45040</v>
      </c>
      <c r="D2182" s="5" t="str">
        <f>VLOOKUP(C2182, 'DICIONÁRIO CNAES'!$A:$B, 2, FALSE)</f>
        <v>Comércio, manutenção e reparação de motocicletas, peças e acessórios</v>
      </c>
      <c r="E2182" s="4">
        <v>3640.3773943400001</v>
      </c>
      <c r="F2182" s="4">
        <v>5222587.8146195002</v>
      </c>
    </row>
    <row r="2183" spans="1:6" x14ac:dyDescent="0.3">
      <c r="A2183" s="3" t="s">
        <v>17</v>
      </c>
      <c r="B2183" s="7" t="str">
        <f>VLOOKUP(VALUE(A2183), 'DICIONÁRIO UF'!$A:$B, 2, FALSE)</f>
        <v>Alagoas</v>
      </c>
      <c r="C2183" s="3">
        <v>48010</v>
      </c>
      <c r="D2183" s="5" t="str">
        <f>VLOOKUP(C2183, 'DICIONÁRIO CNAES'!$A:$B, 2, FALSE)</f>
        <v>Representantes comerciais e agentes do comércio, exceto de veículos automotores e motocicletas</v>
      </c>
      <c r="E2183" s="4">
        <v>368.69024783999998</v>
      </c>
      <c r="F2183" s="4">
        <v>742317.18577199988</v>
      </c>
    </row>
    <row r="2184" spans="1:6" x14ac:dyDescent="0.3">
      <c r="A2184" s="3" t="s">
        <v>17</v>
      </c>
      <c r="B2184" s="7" t="str">
        <f>VLOOKUP(VALUE(A2184), 'DICIONÁRIO UF'!$A:$B, 2, FALSE)</f>
        <v>Alagoas</v>
      </c>
      <c r="C2184" s="3">
        <v>48020</v>
      </c>
      <c r="D2184" s="5" t="str">
        <f>VLOOKUP(C2184, 'DICIONÁRIO CNAES'!$A:$B, 2, FALSE)</f>
        <v>Comércio de matérias-primas agrícolas e animais vivos</v>
      </c>
      <c r="E2184" s="4">
        <v>1314.4157990000001</v>
      </c>
      <c r="F2184" s="4">
        <v>1307087.5154029999</v>
      </c>
    </row>
    <row r="2185" spans="1:6" x14ac:dyDescent="0.3">
      <c r="A2185" s="3" t="s">
        <v>17</v>
      </c>
      <c r="B2185" s="7" t="str">
        <f>VLOOKUP(VALUE(A2185), 'DICIONÁRIO UF'!$A:$B, 2, FALSE)</f>
        <v>Alagoas</v>
      </c>
      <c r="C2185" s="3">
        <v>48030</v>
      </c>
      <c r="D2185" s="5" t="str">
        <f>VLOOKUP(C2185, 'DICIONÁRIO CNAES'!$A:$B, 2, FALSE)</f>
        <v>Comércio de produtos alimentícios, bebidas e fumo</v>
      </c>
      <c r="E2185" s="4">
        <v>66876.373535909996</v>
      </c>
      <c r="F2185" s="4">
        <v>100778101.0961346</v>
      </c>
    </row>
    <row r="2186" spans="1:6" x14ac:dyDescent="0.3">
      <c r="A2186" s="3" t="s">
        <v>17</v>
      </c>
      <c r="B2186" s="7" t="str">
        <f>VLOOKUP(VALUE(A2186), 'DICIONÁRIO UF'!$A:$B, 2, FALSE)</f>
        <v>Alagoas</v>
      </c>
      <c r="C2186" s="3">
        <v>48041</v>
      </c>
      <c r="D2186" s="5" t="str">
        <f>VLOOKUP(C2186, 'DICIONÁRIO CNAES'!$A:$B, 2, FALSE)</f>
        <v>Comércio de tecidos, artefatos de tecidos e armarinho</v>
      </c>
      <c r="E2186" s="4">
        <v>3134.8768151899999</v>
      </c>
      <c r="F2186" s="4">
        <v>3786530.1310031498</v>
      </c>
    </row>
    <row r="2187" spans="1:6" x14ac:dyDescent="0.3">
      <c r="A2187" s="3" t="s">
        <v>17</v>
      </c>
      <c r="B2187" s="7" t="str">
        <f>VLOOKUP(VALUE(A2187), 'DICIONÁRIO UF'!$A:$B, 2, FALSE)</f>
        <v>Alagoas</v>
      </c>
      <c r="C2187" s="3">
        <v>48042</v>
      </c>
      <c r="D2187" s="5" t="str">
        <f>VLOOKUP(C2187, 'DICIONÁRIO CNAES'!$A:$B, 2, FALSE)</f>
        <v>Comércio de artigos do vestuário, complementos, calçados e artigos de viagem</v>
      </c>
      <c r="E2187" s="4">
        <v>24908.926945039999</v>
      </c>
      <c r="F2187" s="4">
        <v>32773942.643773671</v>
      </c>
    </row>
    <row r="2188" spans="1:6" x14ac:dyDescent="0.3">
      <c r="A2188" s="3" t="s">
        <v>17</v>
      </c>
      <c r="B2188" s="7" t="str">
        <f>VLOOKUP(VALUE(A2188), 'DICIONÁRIO UF'!$A:$B, 2, FALSE)</f>
        <v>Alagoas</v>
      </c>
      <c r="C2188" s="3">
        <v>48050</v>
      </c>
      <c r="D2188" s="5" t="str">
        <f>VLOOKUP(C2188, 'DICIONÁRIO CNAES'!$A:$B, 2, FALSE)</f>
        <v>Comércio de madeira, material de construção, ferragens e ferramentas</v>
      </c>
      <c r="E2188" s="4">
        <v>14721.92320512</v>
      </c>
      <c r="F2188" s="4">
        <v>25038990.127512999</v>
      </c>
    </row>
    <row r="2189" spans="1:6" x14ac:dyDescent="0.3">
      <c r="A2189" s="3" t="s">
        <v>17</v>
      </c>
      <c r="B2189" s="7" t="str">
        <f>VLOOKUP(VALUE(A2189), 'DICIONÁRIO UF'!$A:$B, 2, FALSE)</f>
        <v>Alagoas</v>
      </c>
      <c r="C2189" s="3">
        <v>48060</v>
      </c>
      <c r="D2189" s="5" t="str">
        <f>VLOOKUP(C2189, 'DICIONÁRIO CNAES'!$A:$B, 2, FALSE)</f>
        <v>Comércio de combustíveis para veículos automotores</v>
      </c>
      <c r="E2189" s="4">
        <v>4278.3575402099996</v>
      </c>
      <c r="F2189" s="4">
        <v>5244715.7365009999</v>
      </c>
    </row>
    <row r="2190" spans="1:6" x14ac:dyDescent="0.3">
      <c r="A2190" s="3" t="s">
        <v>17</v>
      </c>
      <c r="B2190" s="7" t="str">
        <f>VLOOKUP(VALUE(A2190), 'DICIONÁRIO UF'!$A:$B, 2, FALSE)</f>
        <v>Alagoas</v>
      </c>
      <c r="C2190" s="3">
        <v>48071</v>
      </c>
      <c r="D2190" s="5" t="str">
        <f>VLOOKUP(C2190, 'DICIONÁRIO CNAES'!$A:$B, 2, FALSE)</f>
        <v>Comércio de produtos farmaceuticos, médicos, ortopédicos, odontológicos e de cosméticos e perfumaria</v>
      </c>
      <c r="E2190" s="4">
        <v>23235.438697910002</v>
      </c>
      <c r="F2190" s="4">
        <v>35888904.161455378</v>
      </c>
    </row>
    <row r="2191" spans="1:6" x14ac:dyDescent="0.3">
      <c r="A2191" s="3" t="s">
        <v>17</v>
      </c>
      <c r="B2191" s="7" t="str">
        <f>VLOOKUP(VALUE(A2191), 'DICIONÁRIO UF'!$A:$B, 2, FALSE)</f>
        <v>Alagoas</v>
      </c>
      <c r="C2191" s="3">
        <v>48072</v>
      </c>
      <c r="D2191" s="5" t="str">
        <f>VLOOKUP(C2191, 'DICIONÁRIO CNAES'!$A:$B, 2, FALSE)</f>
        <v>Comércio de artigos de escritório e de papelaria; livros, jornais e outras publicações</v>
      </c>
      <c r="E2191" s="4">
        <v>2050.5694135099998</v>
      </c>
      <c r="F2191" s="4">
        <v>1949985.6549235999</v>
      </c>
    </row>
    <row r="2192" spans="1:6" x14ac:dyDescent="0.3">
      <c r="A2192" s="3" t="s">
        <v>17</v>
      </c>
      <c r="B2192" s="7" t="str">
        <f>VLOOKUP(VALUE(A2192), 'DICIONÁRIO UF'!$A:$B, 2, FALSE)</f>
        <v>Alagoas</v>
      </c>
      <c r="C2192" s="3">
        <v>48073</v>
      </c>
      <c r="D2192" s="5" t="str">
        <f>VLOOKUP(C2192, 'DICIONÁRIO CNAES'!$A:$B, 2, FALSE)</f>
        <v>Comércio de eletrodomésticos, móveis e outros artigos de residência</v>
      </c>
      <c r="E2192" s="4">
        <v>9603.1830932800003</v>
      </c>
      <c r="F2192" s="4">
        <v>11317390.6963256</v>
      </c>
    </row>
    <row r="2193" spans="1:6" x14ac:dyDescent="0.3">
      <c r="A2193" s="3" t="s">
        <v>17</v>
      </c>
      <c r="B2193" s="7" t="str">
        <f>VLOOKUP(VALUE(A2193), 'DICIONÁRIO UF'!$A:$B, 2, FALSE)</f>
        <v>Alagoas</v>
      </c>
      <c r="C2193" s="3">
        <v>48074</v>
      </c>
      <c r="D2193" s="5" t="str">
        <f>VLOOKUP(C2193, 'DICIONÁRIO CNAES'!$A:$B, 2, FALSE)</f>
        <v>Comércio de equipamentos e produtos de tecnologias de informação e comunicação</v>
      </c>
      <c r="E2193" s="4">
        <v>2081.8390159300002</v>
      </c>
      <c r="F2193" s="4">
        <v>2739295.5550903999</v>
      </c>
    </row>
    <row r="2194" spans="1:6" x14ac:dyDescent="0.3">
      <c r="A2194" s="3" t="s">
        <v>17</v>
      </c>
      <c r="B2194" s="7" t="str">
        <f>VLOOKUP(VALUE(A2194), 'DICIONÁRIO UF'!$A:$B, 2, FALSE)</f>
        <v>Alagoas</v>
      </c>
      <c r="C2194" s="3">
        <v>48075</v>
      </c>
      <c r="D2194" s="5" t="str">
        <f>VLOOKUP(C2194, 'DICIONÁRIO CNAES'!$A:$B, 2, FALSE)</f>
        <v xml:space="preserve">Comércio de máquinas, aparelhos e equipamentos, exceto eletrodomésticos </v>
      </c>
      <c r="E2194" s="4">
        <v>771.88471963999996</v>
      </c>
      <c r="F2194" s="4">
        <v>1123447.598341</v>
      </c>
    </row>
    <row r="2195" spans="1:6" x14ac:dyDescent="0.3">
      <c r="A2195" s="3" t="s">
        <v>17</v>
      </c>
      <c r="B2195" s="7" t="str">
        <f>VLOOKUP(VALUE(A2195), 'DICIONÁRIO UF'!$A:$B, 2, FALSE)</f>
        <v>Alagoas</v>
      </c>
      <c r="C2195" s="3">
        <v>48076</v>
      </c>
      <c r="D2195" s="5" t="str">
        <f>VLOOKUP(C2195, 'DICIONÁRIO CNAES'!$A:$B, 2, FALSE)</f>
        <v>Comércio de combustíveis sólidos, líquidos e gasosos, exceto para veículos automotores</v>
      </c>
      <c r="E2195" s="4">
        <v>3733.2693728099998</v>
      </c>
      <c r="F2195" s="4">
        <v>4990100.4796257997</v>
      </c>
    </row>
    <row r="2196" spans="1:6" x14ac:dyDescent="0.3">
      <c r="A2196" s="3" t="s">
        <v>17</v>
      </c>
      <c r="B2196" s="7" t="str">
        <f>VLOOKUP(VALUE(A2196), 'DICIONÁRIO UF'!$A:$B, 2, FALSE)</f>
        <v>Alagoas</v>
      </c>
      <c r="C2196" s="3">
        <v>48077</v>
      </c>
      <c r="D2196" s="5" t="str">
        <f>VLOOKUP(C2196, 'DICIONÁRIO CNAES'!$A:$B, 2, FALSE)</f>
        <v>Comércio de produtos usados</v>
      </c>
      <c r="E2196" s="4">
        <v>333.21713175999997</v>
      </c>
      <c r="F2196" s="4">
        <v>356468.69623399997</v>
      </c>
    </row>
    <row r="2197" spans="1:6" x14ac:dyDescent="0.3">
      <c r="A2197" s="3" t="s">
        <v>17</v>
      </c>
      <c r="B2197" s="7" t="str">
        <f>VLOOKUP(VALUE(A2197), 'DICIONÁRIO UF'!$A:$B, 2, FALSE)</f>
        <v>Alagoas</v>
      </c>
      <c r="C2197" s="3">
        <v>48078</v>
      </c>
      <c r="D2197" s="5" t="str">
        <f>VLOOKUP(C2197, 'DICIONÁRIO CNAES'!$A:$B, 2, FALSE)</f>
        <v>Comercio de residuos e sucatas</v>
      </c>
      <c r="E2197" s="4">
        <v>6569.8899972099998</v>
      </c>
      <c r="F2197" s="4">
        <v>3515660.4322931999</v>
      </c>
    </row>
    <row r="2198" spans="1:6" x14ac:dyDescent="0.3">
      <c r="A2198" s="3" t="s">
        <v>17</v>
      </c>
      <c r="B2198" s="7" t="str">
        <f>VLOOKUP(VALUE(A2198), 'DICIONÁRIO UF'!$A:$B, 2, FALSE)</f>
        <v>Alagoas</v>
      </c>
      <c r="C2198" s="3">
        <v>48079</v>
      </c>
      <c r="D2198" s="5" t="str">
        <f>VLOOKUP(C2198, 'DICIONÁRIO CNAES'!$A:$B, 2, FALSE)</f>
        <v>Comércio de produtos novos não especificados anteriormente</v>
      </c>
      <c r="E2198" s="4">
        <v>12024.6074663</v>
      </c>
      <c r="F2198" s="4">
        <v>17057545.650915671</v>
      </c>
    </row>
    <row r="2199" spans="1:6" x14ac:dyDescent="0.3">
      <c r="A2199" s="3" t="s">
        <v>17</v>
      </c>
      <c r="B2199" s="7" t="str">
        <f>VLOOKUP(VALUE(A2199), 'DICIONÁRIO UF'!$A:$B, 2, FALSE)</f>
        <v>Alagoas</v>
      </c>
      <c r="C2199" s="3">
        <v>48080</v>
      </c>
      <c r="D2199" s="5" t="str">
        <f>VLOOKUP(C2199, 'DICIONÁRIO CNAES'!$A:$B, 2, FALSE)</f>
        <v>Supermercado e hipermercado</v>
      </c>
      <c r="E2199" s="4">
        <v>27847.69433776</v>
      </c>
      <c r="F2199" s="4">
        <v>45137792.771615848</v>
      </c>
    </row>
    <row r="2200" spans="1:6" x14ac:dyDescent="0.3">
      <c r="A2200" s="3" t="s">
        <v>17</v>
      </c>
      <c r="B2200" s="7" t="str">
        <f>VLOOKUP(VALUE(A2200), 'DICIONÁRIO UF'!$A:$B, 2, FALSE)</f>
        <v>Alagoas</v>
      </c>
      <c r="C2200" s="3">
        <v>48090</v>
      </c>
      <c r="D2200" s="5" t="str">
        <f>VLOOKUP(C2200, 'DICIONÁRIO CNAES'!$A:$B, 2, FALSE)</f>
        <v>Lojas de departamento e outros comércios não especializados, sem predominância de produtos alimentícios</v>
      </c>
      <c r="E2200" s="4">
        <v>1964.60867076</v>
      </c>
      <c r="F2200" s="4">
        <v>1865244.5343025001</v>
      </c>
    </row>
    <row r="2201" spans="1:6" x14ac:dyDescent="0.3">
      <c r="A2201" s="3" t="s">
        <v>17</v>
      </c>
      <c r="B2201" s="7" t="str">
        <f>VLOOKUP(VALUE(A2201), 'DICIONÁRIO UF'!$A:$B, 2, FALSE)</f>
        <v>Alagoas</v>
      </c>
      <c r="C2201" s="3">
        <v>48100</v>
      </c>
      <c r="D2201" s="5" t="str">
        <f>VLOOKUP(C2201, 'DICIONÁRIO CNAES'!$A:$B, 2, FALSE)</f>
        <v>Comércio ambulante e feiras</v>
      </c>
      <c r="E2201" s="4">
        <v>22247.187609240002</v>
      </c>
      <c r="F2201" s="4">
        <v>25667407.216968998</v>
      </c>
    </row>
    <row r="2202" spans="1:6" x14ac:dyDescent="0.3">
      <c r="A2202" s="3" t="s">
        <v>17</v>
      </c>
      <c r="B2202" s="7" t="str">
        <f>VLOOKUP(VALUE(A2202), 'DICIONÁRIO UF'!$A:$B, 2, FALSE)</f>
        <v>Alagoas</v>
      </c>
      <c r="C2202" s="3">
        <v>49030</v>
      </c>
      <c r="D2202" s="5" t="str">
        <f>VLOOKUP(C2202, 'DICIONÁRIO CNAES'!$A:$B, 2, FALSE)</f>
        <v>Transporte rodoviário de passageiros</v>
      </c>
      <c r="E2202" s="4">
        <v>30712.443657330001</v>
      </c>
      <c r="F2202" s="4">
        <v>42803432.758100122</v>
      </c>
    </row>
    <row r="2203" spans="1:6" x14ac:dyDescent="0.3">
      <c r="A2203" s="3" t="s">
        <v>17</v>
      </c>
      <c r="B2203" s="7" t="str">
        <f>VLOOKUP(VALUE(A2203), 'DICIONÁRIO UF'!$A:$B, 2, FALSE)</f>
        <v>Alagoas</v>
      </c>
      <c r="C2203" s="3">
        <v>49040</v>
      </c>
      <c r="D2203" s="5" t="str">
        <f>VLOOKUP(C2203, 'DICIONÁRIO CNAES'!$A:$B, 2, FALSE)</f>
        <v>Transporte rodoviário de carga</v>
      </c>
      <c r="E2203" s="4">
        <v>12240.9273208</v>
      </c>
      <c r="F2203" s="4">
        <v>20470486.909241699</v>
      </c>
    </row>
    <row r="2204" spans="1:6" x14ac:dyDescent="0.3">
      <c r="A2204" s="3" t="s">
        <v>17</v>
      </c>
      <c r="B2204" s="7" t="str">
        <f>VLOOKUP(VALUE(A2204), 'DICIONÁRIO UF'!$A:$B, 2, FALSE)</f>
        <v>Alagoas</v>
      </c>
      <c r="C2204" s="3">
        <v>50000</v>
      </c>
      <c r="D2204" s="5" t="str">
        <f>VLOOKUP(C2204, 'DICIONÁRIO CNAES'!$A:$B, 2, FALSE)</f>
        <v>Transporte Aquaviário</v>
      </c>
      <c r="E2204" s="4">
        <v>410.86572116000002</v>
      </c>
      <c r="F2204" s="4">
        <v>314808.71771200001</v>
      </c>
    </row>
    <row r="2205" spans="1:6" x14ac:dyDescent="0.3">
      <c r="A2205" s="3" t="s">
        <v>17</v>
      </c>
      <c r="B2205" s="7" t="str">
        <f>VLOOKUP(VALUE(A2205), 'DICIONÁRIO UF'!$A:$B, 2, FALSE)</f>
        <v>Alagoas</v>
      </c>
      <c r="C2205" s="3">
        <v>51000</v>
      </c>
      <c r="D2205" s="5" t="str">
        <f>VLOOKUP(C2205, 'DICIONÁRIO CNAES'!$A:$B, 2, FALSE)</f>
        <v>Transporte Aéreo</v>
      </c>
      <c r="E2205" s="4">
        <v>136.90583787</v>
      </c>
      <c r="F2205" s="4">
        <v>191668.173018</v>
      </c>
    </row>
    <row r="2206" spans="1:6" x14ac:dyDescent="0.3">
      <c r="A2206" s="3" t="s">
        <v>17</v>
      </c>
      <c r="B2206" s="7" t="str">
        <f>VLOOKUP(VALUE(A2206), 'DICIONÁRIO UF'!$A:$B, 2, FALSE)</f>
        <v>Alagoas</v>
      </c>
      <c r="C2206" s="3">
        <v>52020</v>
      </c>
      <c r="D2206" s="5" t="str">
        <f>VLOOKUP(C2206, 'DICIONÁRIO CNAES'!$A:$B, 2, FALSE)</f>
        <v xml:space="preserve">Atividades auxiliares dos transportes e atividades relacionadas à organização do transporte de carga </v>
      </c>
      <c r="E2206" s="4">
        <v>2436.0157788699998</v>
      </c>
      <c r="F2206" s="4">
        <v>2600624.5869319998</v>
      </c>
    </row>
    <row r="2207" spans="1:6" x14ac:dyDescent="0.3">
      <c r="A2207" s="3" t="s">
        <v>17</v>
      </c>
      <c r="B2207" s="7" t="str">
        <f>VLOOKUP(VALUE(A2207), 'DICIONÁRIO UF'!$A:$B, 2, FALSE)</f>
        <v>Alagoas</v>
      </c>
      <c r="C2207" s="3">
        <v>53001</v>
      </c>
      <c r="D2207" s="5" t="str">
        <f>VLOOKUP(C2207, 'DICIONÁRIO CNAES'!$A:$B, 2, FALSE)</f>
        <v>Atividades de Correio</v>
      </c>
      <c r="E2207" s="4">
        <v>722.00041763000002</v>
      </c>
      <c r="F2207" s="4">
        <v>2975454.6392692998</v>
      </c>
    </row>
    <row r="2208" spans="1:6" x14ac:dyDescent="0.3">
      <c r="A2208" s="3" t="s">
        <v>17</v>
      </c>
      <c r="B2208" s="7" t="str">
        <f>VLOOKUP(VALUE(A2208), 'DICIONÁRIO UF'!$A:$B, 2, FALSE)</f>
        <v>Alagoas</v>
      </c>
      <c r="C2208" s="3">
        <v>53002</v>
      </c>
      <c r="D2208" s="5" t="str">
        <f>VLOOKUP(C2208, 'DICIONÁRIO CNAES'!$A:$B, 2, FALSE)</f>
        <v>Atividades de malote e de entrega</v>
      </c>
      <c r="E2208" s="4">
        <v>2348.4942283199998</v>
      </c>
      <c r="F2208" s="4">
        <v>2467074.282528</v>
      </c>
    </row>
    <row r="2209" spans="1:6" x14ac:dyDescent="0.3">
      <c r="A2209" s="3" t="s">
        <v>17</v>
      </c>
      <c r="B2209" s="7" t="str">
        <f>VLOOKUP(VALUE(A2209), 'DICIONÁRIO UF'!$A:$B, 2, FALSE)</f>
        <v>Alagoas</v>
      </c>
      <c r="C2209" s="3">
        <v>55000</v>
      </c>
      <c r="D2209" s="5" t="str">
        <f>VLOOKUP(C2209, 'DICIONÁRIO CNAES'!$A:$B, 2, FALSE)</f>
        <v>Alojamento</v>
      </c>
      <c r="E2209" s="4">
        <v>7744.3068591700003</v>
      </c>
      <c r="F2209" s="4">
        <v>11206145.199698901</v>
      </c>
    </row>
    <row r="2210" spans="1:6" x14ac:dyDescent="0.3">
      <c r="A2210" s="3" t="s">
        <v>17</v>
      </c>
      <c r="B2210" s="7" t="str">
        <f>VLOOKUP(VALUE(A2210), 'DICIONÁRIO UF'!$A:$B, 2, FALSE)</f>
        <v>Alagoas</v>
      </c>
      <c r="C2210" s="3">
        <v>56011</v>
      </c>
      <c r="D2210" s="5" t="str">
        <f>VLOOKUP(C2210, 'DICIONÁRIO CNAES'!$A:$B, 2, FALSE)</f>
        <v>Restaurantes e outros estabelecimentos de serviços de alimentação e bebidas</v>
      </c>
      <c r="E2210" s="4">
        <v>40196.084650509998</v>
      </c>
      <c r="F2210" s="4">
        <v>40425158.884321302</v>
      </c>
    </row>
    <row r="2211" spans="1:6" x14ac:dyDescent="0.3">
      <c r="A2211" s="3" t="s">
        <v>17</v>
      </c>
      <c r="B2211" s="7" t="str">
        <f>VLOOKUP(VALUE(A2211), 'DICIONÁRIO UF'!$A:$B, 2, FALSE)</f>
        <v>Alagoas</v>
      </c>
      <c r="C2211" s="3">
        <v>56012</v>
      </c>
      <c r="D2211" s="5" t="str">
        <f>VLOOKUP(C2211, 'DICIONÁRIO CNAES'!$A:$B, 2, FALSE)</f>
        <v>Serviços de catering, bufê e outros serviços de comida preparada</v>
      </c>
      <c r="E2211" s="4">
        <v>12075.27864314</v>
      </c>
      <c r="F2211" s="4">
        <v>9789772.4997982997</v>
      </c>
    </row>
    <row r="2212" spans="1:6" x14ac:dyDescent="0.3">
      <c r="A2212" s="3" t="s">
        <v>17</v>
      </c>
      <c r="B2212" s="7" t="str">
        <f>VLOOKUP(VALUE(A2212), 'DICIONÁRIO UF'!$A:$B, 2, FALSE)</f>
        <v>Alagoas</v>
      </c>
      <c r="C2212" s="3">
        <v>56020</v>
      </c>
      <c r="D2212" s="5" t="str">
        <f>VLOOKUP(C2212, 'DICIONÁRIO CNAES'!$A:$B, 2, FALSE)</f>
        <v>Serviços ambulantes de alimentação</v>
      </c>
      <c r="E2212" s="4">
        <v>10003.548928460001</v>
      </c>
      <c r="F2212" s="4">
        <v>6382717.3360976996</v>
      </c>
    </row>
    <row r="2213" spans="1:6" x14ac:dyDescent="0.3">
      <c r="A2213" s="3" t="s">
        <v>17</v>
      </c>
      <c r="B2213" s="7" t="str">
        <f>VLOOKUP(VALUE(A2213), 'DICIONÁRIO UF'!$A:$B, 2, FALSE)</f>
        <v>Alagoas</v>
      </c>
      <c r="C2213" s="3">
        <v>60001</v>
      </c>
      <c r="D2213" s="5" t="str">
        <f>VLOOKUP(C2213, 'DICIONÁRIO CNAES'!$A:$B, 2, FALSE)</f>
        <v>Atividades de rádio</v>
      </c>
      <c r="E2213" s="4">
        <v>546.60188115999995</v>
      </c>
      <c r="F2213" s="4">
        <v>1173743.347414</v>
      </c>
    </row>
    <row r="2214" spans="1:6" x14ac:dyDescent="0.3">
      <c r="A2214" s="3" t="s">
        <v>17</v>
      </c>
      <c r="B2214" s="7" t="str">
        <f>VLOOKUP(VALUE(A2214), 'DICIONÁRIO UF'!$A:$B, 2, FALSE)</f>
        <v>Alagoas</v>
      </c>
      <c r="C2214" s="3">
        <v>61000</v>
      </c>
      <c r="D2214" s="5" t="str">
        <f>VLOOKUP(C2214, 'DICIONÁRIO CNAES'!$A:$B, 2, FALSE)</f>
        <v>Telecomunicações</v>
      </c>
      <c r="E2214" s="4">
        <v>4209.5890347599998</v>
      </c>
      <c r="F2214" s="4">
        <v>5832685.68256348</v>
      </c>
    </row>
    <row r="2215" spans="1:6" x14ac:dyDescent="0.3">
      <c r="A2215" s="3" t="s">
        <v>17</v>
      </c>
      <c r="B2215" s="7" t="str">
        <f>VLOOKUP(VALUE(A2215), 'DICIONÁRIO UF'!$A:$B, 2, FALSE)</f>
        <v>Alagoas</v>
      </c>
      <c r="C2215" s="3">
        <v>62000</v>
      </c>
      <c r="D2215" s="5" t="str">
        <f>VLOOKUP(C2215, 'DICIONÁRIO CNAES'!$A:$B, 2, FALSE)</f>
        <v>Atividades dos serviços de tecnologia da informação</v>
      </c>
      <c r="E2215" s="4">
        <v>1514.7500223699999</v>
      </c>
      <c r="F2215" s="4">
        <v>3609213.450865</v>
      </c>
    </row>
    <row r="2216" spans="1:6" x14ac:dyDescent="0.3">
      <c r="A2216" s="3" t="s">
        <v>17</v>
      </c>
      <c r="B2216" s="7" t="str">
        <f>VLOOKUP(VALUE(A2216), 'DICIONÁRIO UF'!$A:$B, 2, FALSE)</f>
        <v>Alagoas</v>
      </c>
      <c r="C2216" s="3">
        <v>63000</v>
      </c>
      <c r="D2216" s="5" t="str">
        <f>VLOOKUP(C2216, 'DICIONÁRIO CNAES'!$A:$B, 2, FALSE)</f>
        <v>Atividades de prestação de serviços de informação</v>
      </c>
      <c r="E2216" s="4">
        <v>1878.4423543600001</v>
      </c>
      <c r="F2216" s="4">
        <v>5087089.284825</v>
      </c>
    </row>
    <row r="2217" spans="1:6" x14ac:dyDescent="0.3">
      <c r="A2217" s="3" t="s">
        <v>17</v>
      </c>
      <c r="B2217" s="7" t="str">
        <f>VLOOKUP(VALUE(A2217), 'DICIONÁRIO UF'!$A:$B, 2, FALSE)</f>
        <v>Alagoas</v>
      </c>
      <c r="C2217" s="3">
        <v>64000</v>
      </c>
      <c r="D2217" s="5" t="str">
        <f>VLOOKUP(C2217, 'DICIONÁRIO CNAES'!$A:$B, 2, FALSE)</f>
        <v>Serviços financeiros</v>
      </c>
      <c r="E2217" s="4">
        <v>6155.26241691</v>
      </c>
      <c r="F2217" s="4">
        <v>32871890.95428279</v>
      </c>
    </row>
    <row r="2218" spans="1:6" x14ac:dyDescent="0.3">
      <c r="A2218" s="3" t="s">
        <v>17</v>
      </c>
      <c r="B2218" s="7" t="str">
        <f>VLOOKUP(VALUE(A2218), 'DICIONÁRIO UF'!$A:$B, 2, FALSE)</f>
        <v>Alagoas</v>
      </c>
      <c r="C2218" s="3">
        <v>65000</v>
      </c>
      <c r="D2218" s="5" t="str">
        <f>VLOOKUP(C2218, 'DICIONÁRIO CNAES'!$A:$B, 2, FALSE)</f>
        <v>Seguros e previdência privada</v>
      </c>
      <c r="E2218" s="4">
        <v>1309.5544614600001</v>
      </c>
      <c r="F2218" s="4">
        <v>2411736.4440319999</v>
      </c>
    </row>
    <row r="2219" spans="1:6" x14ac:dyDescent="0.3">
      <c r="A2219" s="3" t="s">
        <v>17</v>
      </c>
      <c r="B2219" s="7" t="str">
        <f>VLOOKUP(VALUE(A2219), 'DICIONÁRIO UF'!$A:$B, 2, FALSE)</f>
        <v>Alagoas</v>
      </c>
      <c r="C2219" s="3">
        <v>66001</v>
      </c>
      <c r="D2219" s="5" t="str">
        <f>VLOOKUP(C2219, 'DICIONÁRIO CNAES'!$A:$B, 2, FALSE)</f>
        <v>Atividades auxiliares dos serviços financeiros</v>
      </c>
      <c r="E2219" s="4">
        <v>310.21029121999999</v>
      </c>
      <c r="F2219" s="4">
        <v>620420.58244000003</v>
      </c>
    </row>
    <row r="2220" spans="1:6" x14ac:dyDescent="0.3">
      <c r="A2220" s="3" t="s">
        <v>17</v>
      </c>
      <c r="B2220" s="7" t="str">
        <f>VLOOKUP(VALUE(A2220), 'DICIONÁRIO UF'!$A:$B, 2, FALSE)</f>
        <v>Alagoas</v>
      </c>
      <c r="C2220" s="3">
        <v>66002</v>
      </c>
      <c r="D2220" s="5" t="str">
        <f>VLOOKUP(C2220, 'DICIONÁRIO CNAES'!$A:$B, 2, FALSE)</f>
        <v>Atividades auxiliares dos seguros, da previdência complementar e dos planos de saúde</v>
      </c>
      <c r="E2220" s="4">
        <v>346.51598139999999</v>
      </c>
      <c r="F2220" s="4">
        <v>732666.192988</v>
      </c>
    </row>
    <row r="2221" spans="1:6" x14ac:dyDescent="0.3">
      <c r="A2221" s="3" t="s">
        <v>17</v>
      </c>
      <c r="B2221" s="7" t="str">
        <f>VLOOKUP(VALUE(A2221), 'DICIONÁRIO UF'!$A:$B, 2, FALSE)</f>
        <v>Alagoas</v>
      </c>
      <c r="C2221" s="3">
        <v>68000</v>
      </c>
      <c r="D2221" s="5" t="str">
        <f>VLOOKUP(C2221, 'DICIONÁRIO CNAES'!$A:$B, 2, FALSE)</f>
        <v>Atividades imobiliárias</v>
      </c>
      <c r="E2221" s="4">
        <v>6356.1930788099999</v>
      </c>
      <c r="F2221" s="4">
        <v>12257307.3034891</v>
      </c>
    </row>
    <row r="2222" spans="1:6" x14ac:dyDescent="0.3">
      <c r="A2222" s="3" t="s">
        <v>17</v>
      </c>
      <c r="B2222" s="7" t="str">
        <f>VLOOKUP(VALUE(A2222), 'DICIONÁRIO UF'!$A:$B, 2, FALSE)</f>
        <v>Alagoas</v>
      </c>
      <c r="C2222" s="3">
        <v>69000</v>
      </c>
      <c r="D2222" s="5" t="str">
        <f>VLOOKUP(C2222, 'DICIONÁRIO CNAES'!$A:$B, 2, FALSE)</f>
        <v xml:space="preserve">Atividades jurídicas, de contabilidade e de auditoria </v>
      </c>
      <c r="E2222" s="4">
        <v>15218.76830372</v>
      </c>
      <c r="F2222" s="4">
        <v>43352929.637574397</v>
      </c>
    </row>
    <row r="2223" spans="1:6" x14ac:dyDescent="0.3">
      <c r="A2223" s="3" t="s">
        <v>17</v>
      </c>
      <c r="B2223" s="7" t="str">
        <f>VLOOKUP(VALUE(A2223), 'DICIONÁRIO UF'!$A:$B, 2, FALSE)</f>
        <v>Alagoas</v>
      </c>
      <c r="C2223" s="3">
        <v>70000</v>
      </c>
      <c r="D2223" s="5" t="str">
        <f>VLOOKUP(C2223, 'DICIONÁRIO CNAES'!$A:$B, 2, FALSE)</f>
        <v>Atividades de consultoria em gestão empresarial</v>
      </c>
      <c r="E2223" s="4">
        <v>1105.6477629599999</v>
      </c>
      <c r="F2223" s="4">
        <v>2031163.2693779999</v>
      </c>
    </row>
    <row r="2224" spans="1:6" x14ac:dyDescent="0.3">
      <c r="A2224" s="3" t="s">
        <v>17</v>
      </c>
      <c r="B2224" s="7" t="str">
        <f>VLOOKUP(VALUE(A2224), 'DICIONÁRIO UF'!$A:$B, 2, FALSE)</f>
        <v>Alagoas</v>
      </c>
      <c r="C2224" s="3">
        <v>71000</v>
      </c>
      <c r="D2224" s="5" t="str">
        <f>VLOOKUP(C2224, 'DICIONÁRIO CNAES'!$A:$B, 2, FALSE)</f>
        <v>Serviços de arquitetura e engenharia e atividades técnicas relacionadas; Testes e análises técnicas</v>
      </c>
      <c r="E2224" s="4">
        <v>4930.8983731899998</v>
      </c>
      <c r="F2224" s="4">
        <v>25205610.940124001</v>
      </c>
    </row>
    <row r="2225" spans="1:6" x14ac:dyDescent="0.3">
      <c r="A2225" s="3" t="s">
        <v>17</v>
      </c>
      <c r="B2225" s="7" t="str">
        <f>VLOOKUP(VALUE(A2225), 'DICIONÁRIO UF'!$A:$B, 2, FALSE)</f>
        <v>Alagoas</v>
      </c>
      <c r="C2225" s="3">
        <v>72000</v>
      </c>
      <c r="D2225" s="5" t="str">
        <f>VLOOKUP(C2225, 'DICIONÁRIO CNAES'!$A:$B, 2, FALSE)</f>
        <v>Pesquisa e desenvolvimento científico</v>
      </c>
      <c r="E2225" s="4">
        <v>422.26396620999998</v>
      </c>
      <c r="F2225" s="4">
        <v>580892.31041899999</v>
      </c>
    </row>
    <row r="2226" spans="1:6" x14ac:dyDescent="0.3">
      <c r="A2226" s="3" t="s">
        <v>17</v>
      </c>
      <c r="B2226" s="7" t="str">
        <f>VLOOKUP(VALUE(A2226), 'DICIONÁRIO UF'!$A:$B, 2, FALSE)</f>
        <v>Alagoas</v>
      </c>
      <c r="C2226" s="3">
        <v>73010</v>
      </c>
      <c r="D2226" s="5" t="str">
        <f>VLOOKUP(C2226, 'DICIONÁRIO CNAES'!$A:$B, 2, FALSE)</f>
        <v>Publicidade</v>
      </c>
      <c r="E2226" s="4">
        <v>2735.7593901599998</v>
      </c>
      <c r="F2226" s="4">
        <v>5696360.3066779999</v>
      </c>
    </row>
    <row r="2227" spans="1:6" x14ac:dyDescent="0.3">
      <c r="A2227" s="3" t="s">
        <v>17</v>
      </c>
      <c r="B2227" s="7" t="str">
        <f>VLOOKUP(VALUE(A2227), 'DICIONÁRIO UF'!$A:$B, 2, FALSE)</f>
        <v>Alagoas</v>
      </c>
      <c r="C2227" s="3">
        <v>74000</v>
      </c>
      <c r="D2227" s="5" t="str">
        <f>VLOOKUP(C2227, 'DICIONÁRIO CNAES'!$A:$B, 2, FALSE)</f>
        <v>Outras atividades profissionais, científicas e técnicas não especificadas anteriormente</v>
      </c>
      <c r="E2227" s="4">
        <v>2554.6246902799999</v>
      </c>
      <c r="F2227" s="4">
        <v>5795256.0985949999</v>
      </c>
    </row>
    <row r="2228" spans="1:6" x14ac:dyDescent="0.3">
      <c r="A2228" s="3" t="s">
        <v>17</v>
      </c>
      <c r="B2228" s="7" t="str">
        <f>VLOOKUP(VALUE(A2228), 'DICIONÁRIO UF'!$A:$B, 2, FALSE)</f>
        <v>Alagoas</v>
      </c>
      <c r="C2228" s="3">
        <v>75000</v>
      </c>
      <c r="D2228" s="5" t="str">
        <f>VLOOKUP(C2228, 'DICIONÁRIO CNAES'!$A:$B, 2, FALSE)</f>
        <v>Atividades veterinárias</v>
      </c>
      <c r="E2228" s="4">
        <v>1396.7710302099999</v>
      </c>
      <c r="F2228" s="4">
        <v>1650593.6288852601</v>
      </c>
    </row>
    <row r="2229" spans="1:6" x14ac:dyDescent="0.3">
      <c r="A2229" s="3" t="s">
        <v>17</v>
      </c>
      <c r="B2229" s="7" t="str">
        <f>VLOOKUP(VALUE(A2229), 'DICIONÁRIO UF'!$A:$B, 2, FALSE)</f>
        <v>Alagoas</v>
      </c>
      <c r="C2229" s="3">
        <v>77010</v>
      </c>
      <c r="D2229" s="5" t="str">
        <f>VLOOKUP(C2229, 'DICIONÁRIO CNAES'!$A:$B, 2, FALSE)</f>
        <v>Aluguel de objetos pessoais e domésticos</v>
      </c>
      <c r="E2229" s="4">
        <v>317.83066946999998</v>
      </c>
      <c r="F2229" s="4">
        <v>206361.56746300001</v>
      </c>
    </row>
    <row r="2230" spans="1:6" x14ac:dyDescent="0.3">
      <c r="A2230" s="3" t="s">
        <v>17</v>
      </c>
      <c r="B2230" s="7" t="str">
        <f>VLOOKUP(VALUE(A2230), 'DICIONÁRIO UF'!$A:$B, 2, FALSE)</f>
        <v>Alagoas</v>
      </c>
      <c r="C2230" s="3">
        <v>77020</v>
      </c>
      <c r="D2230" s="5" t="str">
        <f>VLOOKUP(C2230, 'DICIONÁRIO CNAES'!$A:$B, 2, FALSE)</f>
        <v>Aluguel de meios de transportes, maquinas e equipamentos sem operador e gestão de ativos intangíveis não financeiros</v>
      </c>
      <c r="E2230" s="4">
        <v>440.90120936000011</v>
      </c>
      <c r="F2230" s="4">
        <v>843362.17572699999</v>
      </c>
    </row>
    <row r="2231" spans="1:6" x14ac:dyDescent="0.3">
      <c r="A2231" s="3" t="s">
        <v>17</v>
      </c>
      <c r="B2231" s="7" t="str">
        <f>VLOOKUP(VALUE(A2231), 'DICIONÁRIO UF'!$A:$B, 2, FALSE)</f>
        <v>Alagoas</v>
      </c>
      <c r="C2231" s="3">
        <v>78000</v>
      </c>
      <c r="D2231" s="5" t="str">
        <f>VLOOKUP(C2231, 'DICIONÁRIO CNAES'!$A:$B, 2, FALSE)</f>
        <v>Seleção, agenciamento e locação de mão-de-obra</v>
      </c>
      <c r="E2231" s="4">
        <v>4785.6453610899998</v>
      </c>
      <c r="F2231" s="4">
        <v>6545893.2999122003</v>
      </c>
    </row>
    <row r="2232" spans="1:6" x14ac:dyDescent="0.3">
      <c r="A2232" s="3" t="s">
        <v>17</v>
      </c>
      <c r="B2232" s="7" t="str">
        <f>VLOOKUP(VALUE(A2232), 'DICIONÁRIO UF'!$A:$B, 2, FALSE)</f>
        <v>Alagoas</v>
      </c>
      <c r="C2232" s="3">
        <v>79000</v>
      </c>
      <c r="D2232" s="5" t="str">
        <f>VLOOKUP(C2232, 'DICIONÁRIO CNAES'!$A:$B, 2, FALSE)</f>
        <v>Agências de viagens, operadores turísticos e serviços de reservas</v>
      </c>
      <c r="E2232" s="4">
        <v>2531.8425161499999</v>
      </c>
      <c r="F2232" s="4">
        <v>4824510.9115559999</v>
      </c>
    </row>
    <row r="2233" spans="1:6" x14ac:dyDescent="0.3">
      <c r="A2233" s="3" t="s">
        <v>17</v>
      </c>
      <c r="B2233" s="7" t="str">
        <f>VLOOKUP(VALUE(A2233), 'DICIONÁRIO UF'!$A:$B, 2, FALSE)</f>
        <v>Alagoas</v>
      </c>
      <c r="C2233" s="3">
        <v>80000</v>
      </c>
      <c r="D2233" s="5" t="str">
        <f>VLOOKUP(C2233, 'DICIONÁRIO CNAES'!$A:$B, 2, FALSE)</f>
        <v>Atividades de vigilância, segurança, transporte de valores e investigação</v>
      </c>
      <c r="E2233" s="4">
        <v>5846.6632178399996</v>
      </c>
      <c r="F2233" s="4">
        <v>7891745.5413549999</v>
      </c>
    </row>
    <row r="2234" spans="1:6" x14ac:dyDescent="0.3">
      <c r="A2234" s="3" t="s">
        <v>17</v>
      </c>
      <c r="B2234" s="7" t="str">
        <f>VLOOKUP(VALUE(A2234), 'DICIONÁRIO UF'!$A:$B, 2, FALSE)</f>
        <v>Alagoas</v>
      </c>
      <c r="C2234" s="3">
        <v>81011</v>
      </c>
      <c r="D2234" s="5" t="str">
        <f>VLOOKUP(C2234, 'DICIONÁRIO CNAES'!$A:$B, 2, FALSE)</f>
        <v>Serviços de limpeza e de apoio a edifícios, exceto condomínios prediais</v>
      </c>
      <c r="E2234" s="4">
        <v>7082.3580420899998</v>
      </c>
      <c r="F2234" s="4">
        <v>8629645.5825989004</v>
      </c>
    </row>
    <row r="2235" spans="1:6" x14ac:dyDescent="0.3">
      <c r="A2235" s="3" t="s">
        <v>17</v>
      </c>
      <c r="B2235" s="7" t="str">
        <f>VLOOKUP(VALUE(A2235), 'DICIONÁRIO UF'!$A:$B, 2, FALSE)</f>
        <v>Alagoas</v>
      </c>
      <c r="C2235" s="3">
        <v>81012</v>
      </c>
      <c r="D2235" s="5" t="str">
        <f>VLOOKUP(C2235, 'DICIONÁRIO CNAES'!$A:$B, 2, FALSE)</f>
        <v>Condomínios prediais</v>
      </c>
      <c r="E2235" s="4">
        <v>3270.9717579799999</v>
      </c>
      <c r="F2235" s="4">
        <v>3815736.9489944</v>
      </c>
    </row>
    <row r="2236" spans="1:6" x14ac:dyDescent="0.3">
      <c r="A2236" s="3" t="s">
        <v>17</v>
      </c>
      <c r="B2236" s="7" t="str">
        <f>VLOOKUP(VALUE(A2236), 'DICIONÁRIO UF'!$A:$B, 2, FALSE)</f>
        <v>Alagoas</v>
      </c>
      <c r="C2236" s="3">
        <v>81020</v>
      </c>
      <c r="D2236" s="5" t="str">
        <f>VLOOKUP(C2236, 'DICIONÁRIO CNAES'!$A:$B, 2, FALSE)</f>
        <v>Atividades paisagísticas</v>
      </c>
      <c r="E2236" s="4">
        <v>377.48439822</v>
      </c>
      <c r="F2236" s="4">
        <v>306698.21356200002</v>
      </c>
    </row>
    <row r="2237" spans="1:6" x14ac:dyDescent="0.3">
      <c r="A2237" s="3" t="s">
        <v>17</v>
      </c>
      <c r="B2237" s="7" t="str">
        <f>VLOOKUP(VALUE(A2237), 'DICIONÁRIO UF'!$A:$B, 2, FALSE)</f>
        <v>Alagoas</v>
      </c>
      <c r="C2237" s="3">
        <v>82001</v>
      </c>
      <c r="D2237" s="5" t="str">
        <f>VLOOKUP(C2237, 'DICIONÁRIO CNAES'!$A:$B, 2, FALSE)</f>
        <v>Serviços de escritório e apoio administrativo</v>
      </c>
      <c r="E2237" s="4">
        <v>2408.9208480900002</v>
      </c>
      <c r="F2237" s="4">
        <v>3045904.3472600002</v>
      </c>
    </row>
    <row r="2238" spans="1:6" x14ac:dyDescent="0.3">
      <c r="A2238" s="3" t="s">
        <v>17</v>
      </c>
      <c r="B2238" s="7" t="str">
        <f>VLOOKUP(VALUE(A2238), 'DICIONÁRIO UF'!$A:$B, 2, FALSE)</f>
        <v>Alagoas</v>
      </c>
      <c r="C2238" s="3">
        <v>82002</v>
      </c>
      <c r="D2238" s="5" t="str">
        <f>VLOOKUP(C2238, 'DICIONÁRIO CNAES'!$A:$B, 2, FALSE)</f>
        <v>Atividades de teleatendimento</v>
      </c>
      <c r="E2238" s="4">
        <v>7979.0071493400001</v>
      </c>
      <c r="F2238" s="4">
        <v>8889162.313786</v>
      </c>
    </row>
    <row r="2239" spans="1:6" x14ac:dyDescent="0.3">
      <c r="A2239" s="3" t="s">
        <v>17</v>
      </c>
      <c r="B2239" s="7" t="str">
        <f>VLOOKUP(VALUE(A2239), 'DICIONÁRIO UF'!$A:$B, 2, FALSE)</f>
        <v>Alagoas</v>
      </c>
      <c r="C2239" s="3">
        <v>82003</v>
      </c>
      <c r="D2239" s="5" t="str">
        <f>VLOOKUP(C2239, 'DICIONÁRIO CNAES'!$A:$B, 2, FALSE)</f>
        <v>Atividades de organização de eventos, exceto culturais e esportivos</v>
      </c>
      <c r="E2239" s="4">
        <v>588.98181638000005</v>
      </c>
      <c r="F2239" s="4">
        <v>1548998.5936439999</v>
      </c>
    </row>
    <row r="2240" spans="1:6" x14ac:dyDescent="0.3">
      <c r="A2240" s="3" t="s">
        <v>17</v>
      </c>
      <c r="B2240" s="7" t="str">
        <f>VLOOKUP(VALUE(A2240), 'DICIONÁRIO UF'!$A:$B, 2, FALSE)</f>
        <v>Alagoas</v>
      </c>
      <c r="C2240" s="3">
        <v>82009</v>
      </c>
      <c r="D2240" s="5" t="str">
        <f>VLOOKUP(C2240, 'DICIONÁRIO CNAES'!$A:$B, 2, FALSE)</f>
        <v>Outras atividades de serviços prestados principalmente às empresas</v>
      </c>
      <c r="E2240" s="4">
        <v>1519.58044464</v>
      </c>
      <c r="F2240" s="4">
        <v>2769854.7782200002</v>
      </c>
    </row>
    <row r="2241" spans="1:6" x14ac:dyDescent="0.3">
      <c r="A2241" s="3" t="s">
        <v>17</v>
      </c>
      <c r="B2241" s="7" t="str">
        <f>VLOOKUP(VALUE(A2241), 'DICIONÁRIO UF'!$A:$B, 2, FALSE)</f>
        <v>Alagoas</v>
      </c>
      <c r="C2241" s="3">
        <v>84011</v>
      </c>
      <c r="D2241" s="5" t="str">
        <f>VLOOKUP(C2241, 'DICIONÁRIO CNAES'!$A:$B, 2, FALSE)</f>
        <v>Administração publica e regulação da política econômica e social - Federal</v>
      </c>
      <c r="E2241" s="4">
        <v>3074.19318071</v>
      </c>
      <c r="F2241" s="4">
        <v>41526820.478515498</v>
      </c>
    </row>
    <row r="2242" spans="1:6" x14ac:dyDescent="0.3">
      <c r="A2242" s="3" t="s">
        <v>17</v>
      </c>
      <c r="B2242" s="7" t="str">
        <f>VLOOKUP(VALUE(A2242), 'DICIONÁRIO UF'!$A:$B, 2, FALSE)</f>
        <v>Alagoas</v>
      </c>
      <c r="C2242" s="3">
        <v>84012</v>
      </c>
      <c r="D2242" s="5" t="str">
        <f>VLOOKUP(C2242, 'DICIONÁRIO CNAES'!$A:$B, 2, FALSE)</f>
        <v>Administração publica e regulação da política econômica e social - Estadual</v>
      </c>
      <c r="E2242" s="4">
        <v>5917.7683849499999</v>
      </c>
      <c r="F2242" s="4">
        <v>27100217.24659143</v>
      </c>
    </row>
    <row r="2243" spans="1:6" x14ac:dyDescent="0.3">
      <c r="A2243" s="3" t="s">
        <v>17</v>
      </c>
      <c r="B2243" s="7" t="str">
        <f>VLOOKUP(VALUE(A2243), 'DICIONÁRIO UF'!$A:$B, 2, FALSE)</f>
        <v>Alagoas</v>
      </c>
      <c r="C2243" s="3">
        <v>84013</v>
      </c>
      <c r="D2243" s="5" t="str">
        <f>VLOOKUP(C2243, 'DICIONÁRIO CNAES'!$A:$B, 2, FALSE)</f>
        <v>Administração publica e regulação da política econômica e social - Municipal</v>
      </c>
      <c r="E2243" s="4">
        <v>35195.127382500003</v>
      </c>
      <c r="F2243" s="4">
        <v>71785159.158322766</v>
      </c>
    </row>
    <row r="2244" spans="1:6" x14ac:dyDescent="0.3">
      <c r="A2244" s="3" t="s">
        <v>17</v>
      </c>
      <c r="B2244" s="7" t="str">
        <f>VLOOKUP(VALUE(A2244), 'DICIONÁRIO UF'!$A:$B, 2, FALSE)</f>
        <v>Alagoas</v>
      </c>
      <c r="C2244" s="3">
        <v>84014</v>
      </c>
      <c r="D2244" s="5" t="str">
        <f>VLOOKUP(C2244, 'DICIONÁRIO CNAES'!$A:$B, 2, FALSE)</f>
        <v>Defesa</v>
      </c>
      <c r="E2244" s="4">
        <v>360.10455114000001</v>
      </c>
      <c r="F2244" s="4">
        <v>1531387.482816</v>
      </c>
    </row>
    <row r="2245" spans="1:6" x14ac:dyDescent="0.3">
      <c r="A2245" s="3" t="s">
        <v>17</v>
      </c>
      <c r="B2245" s="7" t="str">
        <f>VLOOKUP(VALUE(A2245), 'DICIONÁRIO UF'!$A:$B, 2, FALSE)</f>
        <v>Alagoas</v>
      </c>
      <c r="C2245" s="3">
        <v>84015</v>
      </c>
      <c r="D2245" s="5" t="str">
        <f>VLOOKUP(C2245, 'DICIONÁRIO CNAES'!$A:$B, 2, FALSE)</f>
        <v>Outros serviços coletivos prestados pela administração pública - Federal</v>
      </c>
      <c r="E2245" s="4">
        <v>1210.6339683399999</v>
      </c>
      <c r="F2245" s="4">
        <v>13282462.972961251</v>
      </c>
    </row>
    <row r="2246" spans="1:6" x14ac:dyDescent="0.3">
      <c r="A2246" s="3" t="s">
        <v>17</v>
      </c>
      <c r="B2246" s="7" t="str">
        <f>VLOOKUP(VALUE(A2246), 'DICIONÁRIO UF'!$A:$B, 2, FALSE)</f>
        <v>Alagoas</v>
      </c>
      <c r="C2246" s="3">
        <v>84016</v>
      </c>
      <c r="D2246" s="5" t="str">
        <f>VLOOKUP(C2246, 'DICIONÁRIO CNAES'!$A:$B, 2, FALSE)</f>
        <v>Outros serviços coletivos prestados pela administração pública - Estadual</v>
      </c>
      <c r="E2246" s="4">
        <v>17001.114324040002</v>
      </c>
      <c r="F2246" s="4">
        <v>104836886.6456212</v>
      </c>
    </row>
    <row r="2247" spans="1:6" x14ac:dyDescent="0.3">
      <c r="A2247" s="3" t="s">
        <v>17</v>
      </c>
      <c r="B2247" s="7" t="str">
        <f>VLOOKUP(VALUE(A2247), 'DICIONÁRIO UF'!$A:$B, 2, FALSE)</f>
        <v>Alagoas</v>
      </c>
      <c r="C2247" s="3">
        <v>84017</v>
      </c>
      <c r="D2247" s="5" t="str">
        <f>VLOOKUP(C2247, 'DICIONÁRIO CNAES'!$A:$B, 2, FALSE)</f>
        <v>Outros serviços coletivos prestados pela administração pública - Municipal</v>
      </c>
      <c r="E2247" s="4">
        <v>2776.2006027699999</v>
      </c>
      <c r="F2247" s="4">
        <v>7197228.2262850003</v>
      </c>
    </row>
    <row r="2248" spans="1:6" x14ac:dyDescent="0.3">
      <c r="A2248" s="3" t="s">
        <v>17</v>
      </c>
      <c r="B2248" s="7" t="str">
        <f>VLOOKUP(VALUE(A2248), 'DICIONÁRIO UF'!$A:$B, 2, FALSE)</f>
        <v>Alagoas</v>
      </c>
      <c r="C2248" s="3">
        <v>84020</v>
      </c>
      <c r="D2248" s="5" t="str">
        <f>VLOOKUP(C2248, 'DICIONÁRIO CNAES'!$A:$B, 2, FALSE)</f>
        <v>Seguridade social obrigatória</v>
      </c>
      <c r="E2248" s="4">
        <v>1449.5071417199999</v>
      </c>
      <c r="F2248" s="4">
        <v>4683885.3199690003</v>
      </c>
    </row>
    <row r="2249" spans="1:6" x14ac:dyDescent="0.3">
      <c r="A2249" s="3" t="s">
        <v>17</v>
      </c>
      <c r="B2249" s="7" t="str">
        <f>VLOOKUP(VALUE(A2249), 'DICIONÁRIO UF'!$A:$B, 2, FALSE)</f>
        <v>Alagoas</v>
      </c>
      <c r="C2249" s="3">
        <v>85011</v>
      </c>
      <c r="D2249" s="5" t="str">
        <f>VLOOKUP(C2249, 'DICIONÁRIO CNAES'!$A:$B, 2, FALSE)</f>
        <v>Creche</v>
      </c>
      <c r="E2249" s="4">
        <v>3706.2540799399999</v>
      </c>
      <c r="F2249" s="4">
        <v>5089012.4987081997</v>
      </c>
    </row>
    <row r="2250" spans="1:6" x14ac:dyDescent="0.3">
      <c r="A2250" s="3" t="s">
        <v>17</v>
      </c>
      <c r="B2250" s="7" t="str">
        <f>VLOOKUP(VALUE(A2250), 'DICIONÁRIO UF'!$A:$B, 2, FALSE)</f>
        <v>Alagoas</v>
      </c>
      <c r="C2250" s="3">
        <v>85012</v>
      </c>
      <c r="D2250" s="5" t="str">
        <f>VLOOKUP(C2250, 'DICIONÁRIO CNAES'!$A:$B, 2, FALSE)</f>
        <v>Pré-escola e ensino fundamental</v>
      </c>
      <c r="E2250" s="4">
        <v>58895.273027399999</v>
      </c>
      <c r="F2250" s="4">
        <v>111283293.8243445</v>
      </c>
    </row>
    <row r="2251" spans="1:6" x14ac:dyDescent="0.3">
      <c r="A2251" s="3" t="s">
        <v>17</v>
      </c>
      <c r="B2251" s="7" t="str">
        <f>VLOOKUP(VALUE(A2251), 'DICIONÁRIO UF'!$A:$B, 2, FALSE)</f>
        <v>Alagoas</v>
      </c>
      <c r="C2251" s="3">
        <v>85013</v>
      </c>
      <c r="D2251" s="5" t="str">
        <f>VLOOKUP(C2251, 'DICIONÁRIO CNAES'!$A:$B, 2, FALSE)</f>
        <v>Ensino médio</v>
      </c>
      <c r="E2251" s="4">
        <v>17916.32655337</v>
      </c>
      <c r="F2251" s="4">
        <v>54664850.910350069</v>
      </c>
    </row>
    <row r="2252" spans="1:6" x14ac:dyDescent="0.3">
      <c r="A2252" s="3" t="s">
        <v>17</v>
      </c>
      <c r="B2252" s="7" t="str">
        <f>VLOOKUP(VALUE(A2252), 'DICIONÁRIO UF'!$A:$B, 2, FALSE)</f>
        <v>Alagoas</v>
      </c>
      <c r="C2252" s="3">
        <v>85014</v>
      </c>
      <c r="D2252" s="5" t="str">
        <f>VLOOKUP(C2252, 'DICIONÁRIO CNAES'!$A:$B, 2, FALSE)</f>
        <v>Educação superior</v>
      </c>
      <c r="E2252" s="4">
        <v>4986.6400203499998</v>
      </c>
      <c r="F2252" s="4">
        <v>33925814.26434584</v>
      </c>
    </row>
    <row r="2253" spans="1:6" x14ac:dyDescent="0.3">
      <c r="A2253" s="3" t="s">
        <v>17</v>
      </c>
      <c r="B2253" s="7" t="str">
        <f>VLOOKUP(VALUE(A2253), 'DICIONÁRIO UF'!$A:$B, 2, FALSE)</f>
        <v>Alagoas</v>
      </c>
      <c r="C2253" s="3">
        <v>85029</v>
      </c>
      <c r="D2253" s="5" t="str">
        <f>VLOOKUP(C2253, 'DICIONÁRIO CNAES'!$A:$B, 2, FALSE)</f>
        <v>Outras atividades de ensino</v>
      </c>
      <c r="E2253" s="4">
        <v>4263.0851559299999</v>
      </c>
      <c r="F2253" s="4">
        <v>6428297.7201487999</v>
      </c>
    </row>
    <row r="2254" spans="1:6" x14ac:dyDescent="0.3">
      <c r="A2254" s="3" t="s">
        <v>17</v>
      </c>
      <c r="B2254" s="7" t="str">
        <f>VLOOKUP(VALUE(A2254), 'DICIONÁRIO UF'!$A:$B, 2, FALSE)</f>
        <v>Alagoas</v>
      </c>
      <c r="C2254" s="3">
        <v>86001</v>
      </c>
      <c r="D2254" s="5" t="str">
        <f>VLOOKUP(C2254, 'DICIONÁRIO CNAES'!$A:$B, 2, FALSE)</f>
        <v>Atividades de atendimento hospitalar</v>
      </c>
      <c r="E2254" s="4">
        <v>29585.533896969999</v>
      </c>
      <c r="F2254" s="4">
        <v>82311516.601769805</v>
      </c>
    </row>
    <row r="2255" spans="1:6" x14ac:dyDescent="0.3">
      <c r="A2255" s="3" t="s">
        <v>17</v>
      </c>
      <c r="B2255" s="7" t="str">
        <f>VLOOKUP(VALUE(A2255), 'DICIONÁRIO UF'!$A:$B, 2, FALSE)</f>
        <v>Alagoas</v>
      </c>
      <c r="C2255" s="3">
        <v>86002</v>
      </c>
      <c r="D2255" s="5" t="str">
        <f>VLOOKUP(C2255, 'DICIONÁRIO CNAES'!$A:$B, 2, FALSE)</f>
        <v>Atividades de atenção ambulatorial executadas por médicos e odontólogos</v>
      </c>
      <c r="E2255" s="4">
        <v>28920.001309570001</v>
      </c>
      <c r="F2255" s="4">
        <v>90288601.340709254</v>
      </c>
    </row>
    <row r="2256" spans="1:6" x14ac:dyDescent="0.3">
      <c r="A2256" s="3" t="s">
        <v>17</v>
      </c>
      <c r="B2256" s="7" t="str">
        <f>VLOOKUP(VALUE(A2256), 'DICIONÁRIO UF'!$A:$B, 2, FALSE)</f>
        <v>Alagoas</v>
      </c>
      <c r="C2256" s="3">
        <v>86003</v>
      </c>
      <c r="D2256" s="5" t="str">
        <f>VLOOKUP(C2256, 'DICIONÁRIO CNAES'!$A:$B, 2, FALSE)</f>
        <v>Atividades de serviços de complementação diagnóstica e terapêutica</v>
      </c>
      <c r="E2256" s="4">
        <v>2307.7327509699999</v>
      </c>
      <c r="F2256" s="4">
        <v>4643432.9773392202</v>
      </c>
    </row>
    <row r="2257" spans="1:6" x14ac:dyDescent="0.3">
      <c r="A2257" s="3" t="s">
        <v>17</v>
      </c>
      <c r="B2257" s="7" t="str">
        <f>VLOOKUP(VALUE(A2257), 'DICIONÁRIO UF'!$A:$B, 2, FALSE)</f>
        <v>Alagoas</v>
      </c>
      <c r="C2257" s="3">
        <v>86004</v>
      </c>
      <c r="D2257" s="5" t="str">
        <f>VLOOKUP(C2257, 'DICIONÁRIO CNAES'!$A:$B, 2, FALSE)</f>
        <v>Atividades de profissionais da área de saúde, exceto médicos e odontólogos</v>
      </c>
      <c r="E2257" s="4">
        <v>4333.1502542199996</v>
      </c>
      <c r="F2257" s="4">
        <v>11290479.081931001</v>
      </c>
    </row>
    <row r="2258" spans="1:6" x14ac:dyDescent="0.3">
      <c r="A2258" s="3" t="s">
        <v>17</v>
      </c>
      <c r="B2258" s="7" t="str">
        <f>VLOOKUP(VALUE(A2258), 'DICIONÁRIO UF'!$A:$B, 2, FALSE)</f>
        <v>Alagoas</v>
      </c>
      <c r="C2258" s="3">
        <v>86009</v>
      </c>
      <c r="D2258" s="5" t="str">
        <f>VLOOKUP(C2258, 'DICIONÁRIO CNAES'!$A:$B, 2, FALSE)</f>
        <v>Atividades de atenção à saúde humana não especificadas anteriormente</v>
      </c>
      <c r="E2258" s="4">
        <v>634.29201527999999</v>
      </c>
      <c r="F2258" s="4">
        <v>1306663.72164053</v>
      </c>
    </row>
    <row r="2259" spans="1:6" x14ac:dyDescent="0.3">
      <c r="A2259" s="3" t="s">
        <v>17</v>
      </c>
      <c r="B2259" s="7" t="str">
        <f>VLOOKUP(VALUE(A2259), 'DICIONÁRIO UF'!$A:$B, 2, FALSE)</f>
        <v>Alagoas</v>
      </c>
      <c r="C2259" s="3">
        <v>87000</v>
      </c>
      <c r="D2259" s="5" t="str">
        <f>VLOOKUP(C2259, 'DICIONÁRIO CNAES'!$A:$B, 2, FALSE)</f>
        <v>Atividades de assistência à saude humana integradas com assistencia social, inclusive prestadas em residencias</v>
      </c>
      <c r="E2259" s="4">
        <v>4981.3702058199997</v>
      </c>
      <c r="F2259" s="4">
        <v>15484779.3579213</v>
      </c>
    </row>
    <row r="2260" spans="1:6" x14ac:dyDescent="0.3">
      <c r="A2260" s="3" t="s">
        <v>17</v>
      </c>
      <c r="B2260" s="7" t="str">
        <f>VLOOKUP(VALUE(A2260), 'DICIONÁRIO UF'!$A:$B, 2, FALSE)</f>
        <v>Alagoas</v>
      </c>
      <c r="C2260" s="3">
        <v>88000</v>
      </c>
      <c r="D2260" s="5" t="str">
        <f>VLOOKUP(C2260, 'DICIONÁRIO CNAES'!$A:$B, 2, FALSE)</f>
        <v>Serviços de assistência social sem alojamento</v>
      </c>
      <c r="E2260" s="4">
        <v>1107.67510606</v>
      </c>
      <c r="F2260" s="4">
        <v>2446903.3261119998</v>
      </c>
    </row>
    <row r="2261" spans="1:6" x14ac:dyDescent="0.3">
      <c r="A2261" s="3" t="s">
        <v>17</v>
      </c>
      <c r="B2261" s="7" t="str">
        <f>VLOOKUP(VALUE(A2261), 'DICIONÁRIO UF'!$A:$B, 2, FALSE)</f>
        <v>Alagoas</v>
      </c>
      <c r="C2261" s="3">
        <v>90000</v>
      </c>
      <c r="D2261" s="5" t="str">
        <f>VLOOKUP(C2261, 'DICIONÁRIO CNAES'!$A:$B, 2, FALSE)</f>
        <v>Atividades artísticas, criativas e de espetáculos</v>
      </c>
      <c r="E2261" s="4">
        <v>2874.6753541799999</v>
      </c>
      <c r="F2261" s="4">
        <v>4084855.5028530001</v>
      </c>
    </row>
    <row r="2262" spans="1:6" x14ac:dyDescent="0.3">
      <c r="A2262" s="3" t="s">
        <v>17</v>
      </c>
      <c r="B2262" s="7" t="str">
        <f>VLOOKUP(VALUE(A2262), 'DICIONÁRIO UF'!$A:$B, 2, FALSE)</f>
        <v>Alagoas</v>
      </c>
      <c r="C2262" s="3">
        <v>92000</v>
      </c>
      <c r="D2262" s="5" t="str">
        <f>VLOOKUP(C2262, 'DICIONÁRIO CNAES'!$A:$B, 2, FALSE)</f>
        <v>Atividades de exploração de jogos de azar e apostas</v>
      </c>
      <c r="E2262" s="4">
        <v>794.29704758000003</v>
      </c>
      <c r="F2262" s="4">
        <v>628644.55058549996</v>
      </c>
    </row>
    <row r="2263" spans="1:6" x14ac:dyDescent="0.3">
      <c r="A2263" s="3" t="s">
        <v>17</v>
      </c>
      <c r="B2263" s="7" t="str">
        <f>VLOOKUP(VALUE(A2263), 'DICIONÁRIO UF'!$A:$B, 2, FALSE)</f>
        <v>Alagoas</v>
      </c>
      <c r="C2263" s="3">
        <v>93011</v>
      </c>
      <c r="D2263" s="5" t="str">
        <f>VLOOKUP(C2263, 'DICIONÁRIO CNAES'!$A:$B, 2, FALSE)</f>
        <v>Atividades esportivas</v>
      </c>
      <c r="E2263" s="4">
        <v>1173.8580049</v>
      </c>
      <c r="F2263" s="4">
        <v>11439494.2130135</v>
      </c>
    </row>
    <row r="2264" spans="1:6" x14ac:dyDescent="0.3">
      <c r="A2264" s="3" t="s">
        <v>17</v>
      </c>
      <c r="B2264" s="7" t="str">
        <f>VLOOKUP(VALUE(A2264), 'DICIONÁRIO UF'!$A:$B, 2, FALSE)</f>
        <v>Alagoas</v>
      </c>
      <c r="C2264" s="3">
        <v>93012</v>
      </c>
      <c r="D2264" s="5" t="str">
        <f>VLOOKUP(C2264, 'DICIONÁRIO CNAES'!$A:$B, 2, FALSE)</f>
        <v>Atividades de condicionamento físico</v>
      </c>
      <c r="E2264" s="4">
        <v>3980.8110388300001</v>
      </c>
      <c r="F2264" s="4">
        <v>4868579.528469</v>
      </c>
    </row>
    <row r="2265" spans="1:6" x14ac:dyDescent="0.3">
      <c r="A2265" s="3" t="s">
        <v>17</v>
      </c>
      <c r="B2265" s="7" t="str">
        <f>VLOOKUP(VALUE(A2265), 'DICIONÁRIO UF'!$A:$B, 2, FALSE)</f>
        <v>Alagoas</v>
      </c>
      <c r="C2265" s="3">
        <v>93020</v>
      </c>
      <c r="D2265" s="5" t="str">
        <f>VLOOKUP(C2265, 'DICIONÁRIO CNAES'!$A:$B, 2, FALSE)</f>
        <v>Atividades de recreação e lazer</v>
      </c>
      <c r="E2265" s="4">
        <v>1502.6890503100001</v>
      </c>
      <c r="F2265" s="4">
        <v>1143267.1068694999</v>
      </c>
    </row>
    <row r="2266" spans="1:6" x14ac:dyDescent="0.3">
      <c r="A2266" s="3" t="s">
        <v>17</v>
      </c>
      <c r="B2266" s="7" t="str">
        <f>VLOOKUP(VALUE(A2266), 'DICIONÁRIO UF'!$A:$B, 2, FALSE)</f>
        <v>Alagoas</v>
      </c>
      <c r="C2266" s="3">
        <v>94010</v>
      </c>
      <c r="D2266" s="5" t="str">
        <f>VLOOKUP(C2266, 'DICIONÁRIO CNAES'!$A:$B, 2, FALSE)</f>
        <v>Atividades de organizações associativas patronais, empresariais e profissionais</v>
      </c>
      <c r="E2266" s="4">
        <v>831.42867765000005</v>
      </c>
      <c r="F2266" s="4">
        <v>654001.53849149996</v>
      </c>
    </row>
    <row r="2267" spans="1:6" x14ac:dyDescent="0.3">
      <c r="A2267" s="3" t="s">
        <v>17</v>
      </c>
      <c r="B2267" s="7" t="str">
        <f>VLOOKUP(VALUE(A2267), 'DICIONÁRIO UF'!$A:$B, 2, FALSE)</f>
        <v>Alagoas</v>
      </c>
      <c r="C2267" s="3">
        <v>94020</v>
      </c>
      <c r="D2267" s="5" t="str">
        <f>VLOOKUP(C2267, 'DICIONÁRIO CNAES'!$A:$B, 2, FALSE)</f>
        <v>Atividades de organizações sindicais</v>
      </c>
      <c r="E2267" s="4">
        <v>484.0878333</v>
      </c>
      <c r="F2267" s="4">
        <v>424943.78042999998</v>
      </c>
    </row>
    <row r="2268" spans="1:6" x14ac:dyDescent="0.3">
      <c r="A2268" s="3" t="s">
        <v>17</v>
      </c>
      <c r="B2268" s="7" t="str">
        <f>VLOOKUP(VALUE(A2268), 'DICIONÁRIO UF'!$A:$B, 2, FALSE)</f>
        <v>Alagoas</v>
      </c>
      <c r="C2268" s="3">
        <v>94091</v>
      </c>
      <c r="D2268" s="5" t="str">
        <f>VLOOKUP(C2268, 'DICIONÁRIO CNAES'!$A:$B, 2, FALSE)</f>
        <v>Atividades de organizações religiosas e filosóficas</v>
      </c>
      <c r="E2268" s="4">
        <v>2135.56440118</v>
      </c>
      <c r="F2268" s="4">
        <v>2824695.3048930001</v>
      </c>
    </row>
    <row r="2269" spans="1:6" x14ac:dyDescent="0.3">
      <c r="A2269" s="3" t="s">
        <v>17</v>
      </c>
      <c r="B2269" s="7" t="str">
        <f>VLOOKUP(VALUE(A2269), 'DICIONÁRIO UF'!$A:$B, 2, FALSE)</f>
        <v>Alagoas</v>
      </c>
      <c r="C2269" s="3">
        <v>94099</v>
      </c>
      <c r="D2269" s="5" t="str">
        <f>VLOOKUP(C2269, 'DICIONÁRIO CNAES'!$A:$B, 2, FALSE)</f>
        <v xml:space="preserve">Outras atividades associativas não especificadas anteriormente </v>
      </c>
      <c r="E2269" s="4">
        <v>145.06895678999999</v>
      </c>
      <c r="F2269" s="4">
        <v>159575.852469</v>
      </c>
    </row>
    <row r="2270" spans="1:6" x14ac:dyDescent="0.3">
      <c r="A2270" s="3" t="s">
        <v>17</v>
      </c>
      <c r="B2270" s="7" t="str">
        <f>VLOOKUP(VALUE(A2270), 'DICIONÁRIO UF'!$A:$B, 2, FALSE)</f>
        <v>Alagoas</v>
      </c>
      <c r="C2270" s="3">
        <v>95010</v>
      </c>
      <c r="D2270" s="5" t="str">
        <f>VLOOKUP(C2270, 'DICIONÁRIO CNAES'!$A:$B, 2, FALSE)</f>
        <v>Reparação e manutenção de equipamentos de informática e comunicação</v>
      </c>
      <c r="E2270" s="4">
        <v>1900.35477939</v>
      </c>
      <c r="F2270" s="4">
        <v>2423334.3573119999</v>
      </c>
    </row>
    <row r="2271" spans="1:6" x14ac:dyDescent="0.3">
      <c r="A2271" s="3" t="s">
        <v>17</v>
      </c>
      <c r="B2271" s="7" t="str">
        <f>VLOOKUP(VALUE(A2271), 'DICIONÁRIO UF'!$A:$B, 2, FALSE)</f>
        <v>Alagoas</v>
      </c>
      <c r="C2271" s="3">
        <v>95030</v>
      </c>
      <c r="D2271" s="5" t="str">
        <f>VLOOKUP(C2271, 'DICIONÁRIO CNAES'!$A:$B, 2, FALSE)</f>
        <v>Reparação e manutenção de objetos e equipamentos pessoais e domésticos</v>
      </c>
      <c r="E2271" s="4">
        <v>10093.813218970001</v>
      </c>
      <c r="F2271" s="4">
        <v>11524191.940042</v>
      </c>
    </row>
    <row r="2272" spans="1:6" x14ac:dyDescent="0.3">
      <c r="A2272" s="3" t="s">
        <v>17</v>
      </c>
      <c r="B2272" s="7" t="str">
        <f>VLOOKUP(VALUE(A2272), 'DICIONÁRIO UF'!$A:$B, 2, FALSE)</f>
        <v>Alagoas</v>
      </c>
      <c r="C2272" s="3">
        <v>96020</v>
      </c>
      <c r="D2272" s="5" t="str">
        <f>VLOOKUP(C2272, 'DICIONÁRIO CNAES'!$A:$B, 2, FALSE)</f>
        <v>Cabeleireiros e outras atividades de tratamento de beleza</v>
      </c>
      <c r="E2272" s="4">
        <v>23048.877622889999</v>
      </c>
      <c r="F2272" s="4">
        <v>23201189.065967452</v>
      </c>
    </row>
    <row r="2273" spans="1:6" x14ac:dyDescent="0.3">
      <c r="A2273" s="3" t="s">
        <v>17</v>
      </c>
      <c r="B2273" s="7" t="str">
        <f>VLOOKUP(VALUE(A2273), 'DICIONÁRIO UF'!$A:$B, 2, FALSE)</f>
        <v>Alagoas</v>
      </c>
      <c r="C2273" s="3">
        <v>96030</v>
      </c>
      <c r="D2273" s="5" t="str">
        <f>VLOOKUP(C2273, 'DICIONÁRIO CNAES'!$A:$B, 2, FALSE)</f>
        <v xml:space="preserve">Atividades funerárias e serviços relacionados </v>
      </c>
      <c r="E2273" s="4">
        <v>766.89542465</v>
      </c>
      <c r="F2273" s="4">
        <v>1176154.517465</v>
      </c>
    </row>
    <row r="2274" spans="1:6" x14ac:dyDescent="0.3">
      <c r="A2274" s="3" t="s">
        <v>17</v>
      </c>
      <c r="B2274" s="7" t="str">
        <f>VLOOKUP(VALUE(A2274), 'DICIONÁRIO UF'!$A:$B, 2, FALSE)</f>
        <v>Alagoas</v>
      </c>
      <c r="C2274" s="3">
        <v>96090</v>
      </c>
      <c r="D2274" s="5" t="str">
        <f>VLOOKUP(C2274, 'DICIONÁRIO CNAES'!$A:$B, 2, FALSE)</f>
        <v>Outras atividades de serviços pessoais</v>
      </c>
      <c r="E2274" s="4">
        <v>1814.1241133000001</v>
      </c>
      <c r="F2274" s="4">
        <v>4721107.9525529994</v>
      </c>
    </row>
    <row r="2275" spans="1:6" x14ac:dyDescent="0.3">
      <c r="A2275" s="3" t="s">
        <v>17</v>
      </c>
      <c r="B2275" s="7" t="str">
        <f>VLOOKUP(VALUE(A2275), 'DICIONÁRIO UF'!$A:$B, 2, FALSE)</f>
        <v>Alagoas</v>
      </c>
      <c r="C2275" s="3">
        <v>97000</v>
      </c>
      <c r="D2275" s="5" t="str">
        <f>VLOOKUP(C2275, 'DICIONÁRIO CNAES'!$A:$B, 2, FALSE)</f>
        <v>Serviços domésticos</v>
      </c>
      <c r="E2275" s="4">
        <v>73367.954732459999</v>
      </c>
      <c r="F2275" s="4">
        <v>54664036.865920097</v>
      </c>
    </row>
    <row r="2276" spans="1:6" x14ac:dyDescent="0.3">
      <c r="A2276" s="3" t="s">
        <v>18</v>
      </c>
      <c r="B2276" s="7" t="str">
        <f>VLOOKUP(VALUE(A2276), 'DICIONÁRIO UF'!$A:$B, 2, FALSE)</f>
        <v>Sergipe</v>
      </c>
      <c r="C2276" s="3">
        <v>0</v>
      </c>
      <c r="D2276" s="5" t="str">
        <f>VLOOKUP(C2276, 'DICIONÁRIO CNAES'!$A:$B, 2, FALSE)</f>
        <v xml:space="preserve">Atividades mal definidas </v>
      </c>
      <c r="E2276" s="4">
        <v>375.84034946000003</v>
      </c>
      <c r="F2276" s="4">
        <v>351687.33825199999</v>
      </c>
    </row>
    <row r="2277" spans="1:6" x14ac:dyDescent="0.3">
      <c r="A2277" s="3" t="s">
        <v>18</v>
      </c>
      <c r="B2277" s="7" t="str">
        <f>VLOOKUP(VALUE(A2277), 'DICIONÁRIO UF'!$A:$B, 2, FALSE)</f>
        <v>Sergipe</v>
      </c>
      <c r="C2277" s="3">
        <v>1101</v>
      </c>
      <c r="D2277" s="5" t="str">
        <f>VLOOKUP(C2277, 'DICIONÁRIO CNAES'!$A:$B, 2, FALSE)</f>
        <v>Cultivo de arroz</v>
      </c>
      <c r="E2277" s="4">
        <v>1614.878502</v>
      </c>
      <c r="F2277" s="4">
        <v>1736032.5794460401</v>
      </c>
    </row>
    <row r="2278" spans="1:6" x14ac:dyDescent="0.3">
      <c r="A2278" s="3" t="s">
        <v>18</v>
      </c>
      <c r="B2278" s="7" t="str">
        <f>VLOOKUP(VALUE(A2278), 'DICIONÁRIO UF'!$A:$B, 2, FALSE)</f>
        <v>Sergipe</v>
      </c>
      <c r="C2278" s="3">
        <v>1102</v>
      </c>
      <c r="D2278" s="5" t="str">
        <f>VLOOKUP(C2278, 'DICIONÁRIO CNAES'!$A:$B, 2, FALSE)</f>
        <v>Cultivo de milho</v>
      </c>
      <c r="E2278" s="4">
        <v>14217.61206324</v>
      </c>
      <c r="F2278" s="4">
        <v>10248819.5622711</v>
      </c>
    </row>
    <row r="2279" spans="1:6" x14ac:dyDescent="0.3">
      <c r="A2279" s="3" t="s">
        <v>18</v>
      </c>
      <c r="B2279" s="7" t="str">
        <f>VLOOKUP(VALUE(A2279), 'DICIONÁRIO UF'!$A:$B, 2, FALSE)</f>
        <v>Sergipe</v>
      </c>
      <c r="C2279" s="3">
        <v>1105</v>
      </c>
      <c r="D2279" s="5" t="str">
        <f>VLOOKUP(C2279, 'DICIONÁRIO CNAES'!$A:$B, 2, FALSE)</f>
        <v>Cultivo de cana-de-açúcar</v>
      </c>
      <c r="E2279" s="4">
        <v>8271.5441838200004</v>
      </c>
      <c r="F2279" s="4">
        <v>8663046.7092109993</v>
      </c>
    </row>
    <row r="2280" spans="1:6" x14ac:dyDescent="0.3">
      <c r="A2280" s="3" t="s">
        <v>18</v>
      </c>
      <c r="B2280" s="7" t="str">
        <f>VLOOKUP(VALUE(A2280), 'DICIONÁRIO UF'!$A:$B, 2, FALSE)</f>
        <v>Sergipe</v>
      </c>
      <c r="C2280" s="3">
        <v>1106</v>
      </c>
      <c r="D2280" s="5" t="str">
        <f>VLOOKUP(C2280, 'DICIONÁRIO CNAES'!$A:$B, 2, FALSE)</f>
        <v>Cultivo de fumo</v>
      </c>
      <c r="E2280" s="4">
        <v>244.27577264000001</v>
      </c>
      <c r="F2280" s="4">
        <v>122137.88632000001</v>
      </c>
    </row>
    <row r="2281" spans="1:6" x14ac:dyDescent="0.3">
      <c r="A2281" s="3" t="s">
        <v>18</v>
      </c>
      <c r="B2281" s="7" t="str">
        <f>VLOOKUP(VALUE(A2281), 'DICIONÁRIO UF'!$A:$B, 2, FALSE)</f>
        <v>Sergipe</v>
      </c>
      <c r="C2281" s="3">
        <v>1108</v>
      </c>
      <c r="D2281" s="5" t="str">
        <f>VLOOKUP(C2281, 'DICIONÁRIO CNAES'!$A:$B, 2, FALSE)</f>
        <v>Cultivo de mandioca</v>
      </c>
      <c r="E2281" s="4">
        <v>16540.10370783</v>
      </c>
      <c r="F2281" s="4">
        <v>7181604.0885427799</v>
      </c>
    </row>
    <row r="2282" spans="1:6" x14ac:dyDescent="0.3">
      <c r="A2282" s="3" t="s">
        <v>18</v>
      </c>
      <c r="B2282" s="7" t="str">
        <f>VLOOKUP(VALUE(A2282), 'DICIONÁRIO UF'!$A:$B, 2, FALSE)</f>
        <v>Sergipe</v>
      </c>
      <c r="C2282" s="3">
        <v>1109</v>
      </c>
      <c r="D2282" s="5" t="str">
        <f>VLOOKUP(C2282, 'DICIONÁRIO CNAES'!$A:$B, 2, FALSE)</f>
        <v>Cultivo de outras lavouras temporárias não especificadas anteriormente</v>
      </c>
      <c r="E2282" s="4">
        <v>5219.8634213699997</v>
      </c>
      <c r="F2282" s="4">
        <v>1668494.23626226</v>
      </c>
    </row>
    <row r="2283" spans="1:6" x14ac:dyDescent="0.3">
      <c r="A2283" s="3" t="s">
        <v>18</v>
      </c>
      <c r="B2283" s="7" t="str">
        <f>VLOOKUP(VALUE(A2283), 'DICIONÁRIO UF'!$A:$B, 2, FALSE)</f>
        <v>Sergipe</v>
      </c>
      <c r="C2283" s="3">
        <v>1110</v>
      </c>
      <c r="D2283" s="5" t="str">
        <f>VLOOKUP(C2283, 'DICIONÁRIO CNAES'!$A:$B, 2, FALSE)</f>
        <v>Horticultura</v>
      </c>
      <c r="E2283" s="4">
        <v>8493.9760479100005</v>
      </c>
      <c r="F2283" s="4">
        <v>5210975.0918835998</v>
      </c>
    </row>
    <row r="2284" spans="1:6" x14ac:dyDescent="0.3">
      <c r="A2284" s="3" t="s">
        <v>18</v>
      </c>
      <c r="B2284" s="7" t="str">
        <f>VLOOKUP(VALUE(A2284), 'DICIONÁRIO UF'!$A:$B, 2, FALSE)</f>
        <v>Sergipe</v>
      </c>
      <c r="C2284" s="3">
        <v>1111</v>
      </c>
      <c r="D2284" s="5" t="str">
        <f>VLOOKUP(C2284, 'DICIONÁRIO CNAES'!$A:$B, 2, FALSE)</f>
        <v>Cultivo de flores e plantas ornamentais</v>
      </c>
      <c r="E2284" s="4">
        <v>386.47094169000002</v>
      </c>
      <c r="F2284" s="4">
        <v>276332.49126600003</v>
      </c>
    </row>
    <row r="2285" spans="1:6" x14ac:dyDescent="0.3">
      <c r="A2285" s="3" t="s">
        <v>18</v>
      </c>
      <c r="B2285" s="7" t="str">
        <f>VLOOKUP(VALUE(A2285), 'DICIONÁRIO UF'!$A:$B, 2, FALSE)</f>
        <v>Sergipe</v>
      </c>
      <c r="C2285" s="3">
        <v>1112</v>
      </c>
      <c r="D2285" s="5" t="str">
        <f>VLOOKUP(C2285, 'DICIONÁRIO CNAES'!$A:$B, 2, FALSE)</f>
        <v>Cultivo de frutas cítricas</v>
      </c>
      <c r="E2285" s="4">
        <v>13176.53673109</v>
      </c>
      <c r="F2285" s="4">
        <v>11100526.74162655</v>
      </c>
    </row>
    <row r="2286" spans="1:6" x14ac:dyDescent="0.3">
      <c r="A2286" s="3" t="s">
        <v>18</v>
      </c>
      <c r="B2286" s="7" t="str">
        <f>VLOOKUP(VALUE(A2286), 'DICIONÁRIO UF'!$A:$B, 2, FALSE)</f>
        <v>Sergipe</v>
      </c>
      <c r="C2286" s="3">
        <v>1116</v>
      </c>
      <c r="D2286" s="5" t="str">
        <f>VLOOKUP(C2286, 'DICIONÁRIO CNAES'!$A:$B, 2, FALSE)</f>
        <v>Cultivo de banana</v>
      </c>
      <c r="E2286" s="4">
        <v>1518.5142948499999</v>
      </c>
      <c r="F2286" s="4">
        <v>827368.95852800005</v>
      </c>
    </row>
    <row r="2287" spans="1:6" x14ac:dyDescent="0.3">
      <c r="A2287" s="3" t="s">
        <v>18</v>
      </c>
      <c r="B2287" s="7" t="str">
        <f>VLOOKUP(VALUE(A2287), 'DICIONÁRIO UF'!$A:$B, 2, FALSE)</f>
        <v>Sergipe</v>
      </c>
      <c r="C2287" s="3">
        <v>1117</v>
      </c>
      <c r="D2287" s="5" t="str">
        <f>VLOOKUP(C2287, 'DICIONÁRIO CNAES'!$A:$B, 2, FALSE)</f>
        <v>Cultivo de outras plantas e frutas de lavoura permanente não especificadas anteriormente</v>
      </c>
      <c r="E2287" s="4">
        <v>4877.4820046100003</v>
      </c>
      <c r="F2287" s="4">
        <v>3397409.3939761999</v>
      </c>
    </row>
    <row r="2288" spans="1:6" x14ac:dyDescent="0.3">
      <c r="A2288" s="3" t="s">
        <v>18</v>
      </c>
      <c r="B2288" s="7" t="str">
        <f>VLOOKUP(VALUE(A2288), 'DICIONÁRIO UF'!$A:$B, 2, FALSE)</f>
        <v>Sergipe</v>
      </c>
      <c r="C2288" s="3">
        <v>1119</v>
      </c>
      <c r="D2288" s="5" t="str">
        <f>VLOOKUP(C2288, 'DICIONÁRIO CNAES'!$A:$B, 2, FALSE)</f>
        <v>Lavoura não especificada</v>
      </c>
      <c r="E2288" s="4">
        <v>376.33869296</v>
      </c>
      <c r="F2288" s="4">
        <v>175703.7498244</v>
      </c>
    </row>
    <row r="2289" spans="1:6" x14ac:dyDescent="0.3">
      <c r="A2289" s="3" t="s">
        <v>18</v>
      </c>
      <c r="B2289" s="7" t="str">
        <f>VLOOKUP(VALUE(A2289), 'DICIONÁRIO UF'!$A:$B, 2, FALSE)</f>
        <v>Sergipe</v>
      </c>
      <c r="C2289" s="3">
        <v>1201</v>
      </c>
      <c r="D2289" s="5" t="str">
        <f>VLOOKUP(C2289, 'DICIONÁRIO CNAES'!$A:$B, 2, FALSE)</f>
        <v>Criação de bovinos</v>
      </c>
      <c r="E2289" s="4">
        <v>44064.48266021</v>
      </c>
      <c r="F2289" s="4">
        <v>36285230.039159037</v>
      </c>
    </row>
    <row r="2290" spans="1:6" x14ac:dyDescent="0.3">
      <c r="A2290" s="3" t="s">
        <v>18</v>
      </c>
      <c r="B2290" s="7" t="str">
        <f>VLOOKUP(VALUE(A2290), 'DICIONÁRIO UF'!$A:$B, 2, FALSE)</f>
        <v>Sergipe</v>
      </c>
      <c r="C2290" s="3">
        <v>1202</v>
      </c>
      <c r="D2290" s="5" t="str">
        <f>VLOOKUP(C2290, 'DICIONÁRIO CNAES'!$A:$B, 2, FALSE)</f>
        <v>Criação de outros animais de grande porte não especificados anteriormente</v>
      </c>
      <c r="E2290" s="4">
        <v>532.66117438000003</v>
      </c>
      <c r="F2290" s="4">
        <v>376663.40208299999</v>
      </c>
    </row>
    <row r="2291" spans="1:6" x14ac:dyDescent="0.3">
      <c r="A2291" s="3" t="s">
        <v>18</v>
      </c>
      <c r="B2291" s="7" t="str">
        <f>VLOOKUP(VALUE(A2291), 'DICIONÁRIO UF'!$A:$B, 2, FALSE)</f>
        <v>Sergipe</v>
      </c>
      <c r="C2291" s="3">
        <v>1203</v>
      </c>
      <c r="D2291" s="5" t="str">
        <f>VLOOKUP(C2291, 'DICIONÁRIO CNAES'!$A:$B, 2, FALSE)</f>
        <v>Criação de caprinos e ovinos</v>
      </c>
      <c r="E2291" s="4">
        <v>707.86086755999997</v>
      </c>
      <c r="F2291" s="4">
        <v>749283.93049699999</v>
      </c>
    </row>
    <row r="2292" spans="1:6" x14ac:dyDescent="0.3">
      <c r="A2292" s="3" t="s">
        <v>18</v>
      </c>
      <c r="B2292" s="7" t="str">
        <f>VLOOKUP(VALUE(A2292), 'DICIONÁRIO UF'!$A:$B, 2, FALSE)</f>
        <v>Sergipe</v>
      </c>
      <c r="C2292" s="3">
        <v>1204</v>
      </c>
      <c r="D2292" s="5" t="str">
        <f>VLOOKUP(C2292, 'DICIONÁRIO CNAES'!$A:$B, 2, FALSE)</f>
        <v>Criação de suínos</v>
      </c>
      <c r="E2292" s="4">
        <v>1473.1372798100001</v>
      </c>
      <c r="F2292" s="4">
        <v>575241.58913665998</v>
      </c>
    </row>
    <row r="2293" spans="1:6" x14ac:dyDescent="0.3">
      <c r="A2293" s="3" t="s">
        <v>18</v>
      </c>
      <c r="B2293" s="7" t="str">
        <f>VLOOKUP(VALUE(A2293), 'DICIONÁRIO UF'!$A:$B, 2, FALSE)</f>
        <v>Sergipe</v>
      </c>
      <c r="C2293" s="3">
        <v>1205</v>
      </c>
      <c r="D2293" s="5" t="str">
        <f>VLOOKUP(C2293, 'DICIONÁRIO CNAES'!$A:$B, 2, FALSE)</f>
        <v>Criação de aves</v>
      </c>
      <c r="E2293" s="4">
        <v>942.47414036999999</v>
      </c>
      <c r="F2293" s="4">
        <v>557358.008898</v>
      </c>
    </row>
    <row r="2294" spans="1:6" x14ac:dyDescent="0.3">
      <c r="A2294" s="3" t="s">
        <v>18</v>
      </c>
      <c r="B2294" s="7" t="str">
        <f>VLOOKUP(VALUE(A2294), 'DICIONÁRIO UF'!$A:$B, 2, FALSE)</f>
        <v>Sergipe</v>
      </c>
      <c r="C2294" s="3">
        <v>1401</v>
      </c>
      <c r="D2294" s="5" t="str">
        <f>VLOOKUP(C2294, 'DICIONÁRIO CNAES'!$A:$B, 2, FALSE)</f>
        <v>Atividades de apoio à agricultura e pós-colheita</v>
      </c>
      <c r="E2294" s="4">
        <v>2811.6367933000001</v>
      </c>
      <c r="F2294" s="4">
        <v>2518022.6138792001</v>
      </c>
    </row>
    <row r="2295" spans="1:6" x14ac:dyDescent="0.3">
      <c r="A2295" s="3" t="s">
        <v>18</v>
      </c>
      <c r="B2295" s="7" t="str">
        <f>VLOOKUP(VALUE(A2295), 'DICIONÁRIO UF'!$A:$B, 2, FALSE)</f>
        <v>Sergipe</v>
      </c>
      <c r="C2295" s="3">
        <v>1402</v>
      </c>
      <c r="D2295" s="5" t="str">
        <f>VLOOKUP(C2295, 'DICIONÁRIO CNAES'!$A:$B, 2, FALSE)</f>
        <v xml:space="preserve">Atividades de apoio à pecuária </v>
      </c>
      <c r="E2295" s="4">
        <v>413.86259329000012</v>
      </c>
      <c r="F2295" s="4">
        <v>420223.34597550001</v>
      </c>
    </row>
    <row r="2296" spans="1:6" x14ac:dyDescent="0.3">
      <c r="A2296" s="3" t="s">
        <v>18</v>
      </c>
      <c r="B2296" s="7" t="str">
        <f>VLOOKUP(VALUE(A2296), 'DICIONÁRIO UF'!$A:$B, 2, FALSE)</f>
        <v>Sergipe</v>
      </c>
      <c r="C2296" s="3">
        <v>1500</v>
      </c>
      <c r="D2296" s="5" t="str">
        <f>VLOOKUP(C2296, 'DICIONÁRIO CNAES'!$A:$B, 2, FALSE)</f>
        <v>Caça e serviços relacionados</v>
      </c>
      <c r="E2296" s="4">
        <v>193.25511483</v>
      </c>
      <c r="F2296" s="4">
        <v>28988.267224499999</v>
      </c>
    </row>
    <row r="2297" spans="1:6" x14ac:dyDescent="0.3">
      <c r="A2297" s="3" t="s">
        <v>18</v>
      </c>
      <c r="B2297" s="7" t="str">
        <f>VLOOKUP(VALUE(A2297), 'DICIONÁRIO UF'!$A:$B, 2, FALSE)</f>
        <v>Sergipe</v>
      </c>
      <c r="C2297" s="3">
        <v>1999</v>
      </c>
      <c r="D2297" s="5" t="str">
        <f>VLOOKUP(C2297, 'DICIONÁRIO CNAES'!$A:$B, 2, FALSE)</f>
        <v>Agropecuária</v>
      </c>
      <c r="E2297" s="4">
        <v>300.81586172999999</v>
      </c>
      <c r="F2297" s="4">
        <v>120326.344692</v>
      </c>
    </row>
    <row r="2298" spans="1:6" x14ac:dyDescent="0.3">
      <c r="A2298" s="3" t="s">
        <v>18</v>
      </c>
      <c r="B2298" s="7" t="str">
        <f>VLOOKUP(VALUE(A2298), 'DICIONÁRIO UF'!$A:$B, 2, FALSE)</f>
        <v>Sergipe</v>
      </c>
      <c r="C2298" s="3">
        <v>2000</v>
      </c>
      <c r="D2298" s="5" t="str">
        <f>VLOOKUP(C2298, 'DICIONÁRIO CNAES'!$A:$B, 2, FALSE)</f>
        <v xml:space="preserve">Produção florestal </v>
      </c>
      <c r="E2298" s="4">
        <v>2611.0288368800002</v>
      </c>
      <c r="F2298" s="4">
        <v>2788265.7719497499</v>
      </c>
    </row>
    <row r="2299" spans="1:6" x14ac:dyDescent="0.3">
      <c r="A2299" s="3" t="s">
        <v>18</v>
      </c>
      <c r="B2299" s="7" t="str">
        <f>VLOOKUP(VALUE(A2299), 'DICIONÁRIO UF'!$A:$B, 2, FALSE)</f>
        <v>Sergipe</v>
      </c>
      <c r="C2299" s="3">
        <v>3001</v>
      </c>
      <c r="D2299" s="5" t="str">
        <f>VLOOKUP(C2299, 'DICIONÁRIO CNAES'!$A:$B, 2, FALSE)</f>
        <v>Pesca</v>
      </c>
      <c r="E2299" s="4">
        <v>13382.597519999999</v>
      </c>
      <c r="F2299" s="4">
        <v>4709720.47860975</v>
      </c>
    </row>
    <row r="2300" spans="1:6" x14ac:dyDescent="0.3">
      <c r="A2300" s="3" t="s">
        <v>18</v>
      </c>
      <c r="B2300" s="7" t="str">
        <f>VLOOKUP(VALUE(A2300), 'DICIONÁRIO UF'!$A:$B, 2, FALSE)</f>
        <v>Sergipe</v>
      </c>
      <c r="C2300" s="3">
        <v>3002</v>
      </c>
      <c r="D2300" s="5" t="str">
        <f>VLOOKUP(C2300, 'DICIONÁRIO CNAES'!$A:$B, 2, FALSE)</f>
        <v>Aqüicultura</v>
      </c>
      <c r="E2300" s="4">
        <v>363.71032865000001</v>
      </c>
      <c r="F2300" s="4">
        <v>113973.73129</v>
      </c>
    </row>
    <row r="2301" spans="1:6" x14ac:dyDescent="0.3">
      <c r="A2301" s="3" t="s">
        <v>18</v>
      </c>
      <c r="B2301" s="7" t="str">
        <f>VLOOKUP(VALUE(A2301), 'DICIONÁRIO UF'!$A:$B, 2, FALSE)</f>
        <v>Sergipe</v>
      </c>
      <c r="C2301" s="3">
        <v>6000</v>
      </c>
      <c r="D2301" s="5" t="str">
        <f>VLOOKUP(C2301, 'DICIONÁRIO CNAES'!$A:$B, 2, FALSE)</f>
        <v xml:space="preserve">Extração de petróleo e gás natural </v>
      </c>
      <c r="E2301" s="4">
        <v>5602.0691250199998</v>
      </c>
      <c r="F2301" s="4">
        <v>44582522.673167497</v>
      </c>
    </row>
    <row r="2302" spans="1:6" x14ac:dyDescent="0.3">
      <c r="A2302" s="3" t="s">
        <v>18</v>
      </c>
      <c r="B2302" s="7" t="str">
        <f>VLOOKUP(VALUE(A2302), 'DICIONÁRIO UF'!$A:$B, 2, FALSE)</f>
        <v>Sergipe</v>
      </c>
      <c r="C2302" s="3">
        <v>7002</v>
      </c>
      <c r="D2302" s="5" t="str">
        <f>VLOOKUP(C2302, 'DICIONÁRIO CNAES'!$A:$B, 2, FALSE)</f>
        <v xml:space="preserve">Extração de minerais metálicos não especificados anteriormente </v>
      </c>
      <c r="E2302" s="4">
        <v>1776.9068771899999</v>
      </c>
      <c r="F2302" s="4">
        <v>7651490.3071680004</v>
      </c>
    </row>
    <row r="2303" spans="1:6" x14ac:dyDescent="0.3">
      <c r="A2303" s="3" t="s">
        <v>18</v>
      </c>
      <c r="B2303" s="7" t="str">
        <f>VLOOKUP(VALUE(A2303), 'DICIONÁRIO UF'!$A:$B, 2, FALSE)</f>
        <v>Sergipe</v>
      </c>
      <c r="C2303" s="3">
        <v>8001</v>
      </c>
      <c r="D2303" s="5" t="str">
        <f>VLOOKUP(C2303, 'DICIONÁRIO CNAES'!$A:$B, 2, FALSE)</f>
        <v>Extração de pedras, areia e argila</v>
      </c>
      <c r="E2303" s="4">
        <v>984.46376432</v>
      </c>
      <c r="F2303" s="4">
        <v>1485584.9699339999</v>
      </c>
    </row>
    <row r="2304" spans="1:6" x14ac:dyDescent="0.3">
      <c r="A2304" s="3" t="s">
        <v>18</v>
      </c>
      <c r="B2304" s="7" t="str">
        <f>VLOOKUP(VALUE(A2304), 'DICIONÁRIO UF'!$A:$B, 2, FALSE)</f>
        <v>Sergipe</v>
      </c>
      <c r="C2304" s="3">
        <v>10010</v>
      </c>
      <c r="D2304" s="5" t="str">
        <f>VLOOKUP(C2304, 'DICIONÁRIO CNAES'!$A:$B, 2, FALSE)</f>
        <v xml:space="preserve">Abate e fabricação de produtos de carne e pescado </v>
      </c>
      <c r="E2304" s="4">
        <v>718.47980772000005</v>
      </c>
      <c r="F2304" s="4">
        <v>1207279.5560428801</v>
      </c>
    </row>
    <row r="2305" spans="1:6" x14ac:dyDescent="0.3">
      <c r="A2305" s="3" t="s">
        <v>18</v>
      </c>
      <c r="B2305" s="7" t="str">
        <f>VLOOKUP(VALUE(A2305), 'DICIONÁRIO UF'!$A:$B, 2, FALSE)</f>
        <v>Sergipe</v>
      </c>
      <c r="C2305" s="3">
        <v>10021</v>
      </c>
      <c r="D2305" s="5" t="str">
        <f>VLOOKUP(C2305, 'DICIONÁRIO CNAES'!$A:$B, 2, FALSE)</f>
        <v>Fabricação de conservas de frutas, legumes e outros vegetais</v>
      </c>
      <c r="E2305" s="4">
        <v>459.06221049999999</v>
      </c>
      <c r="F2305" s="4">
        <v>183624.8842</v>
      </c>
    </row>
    <row r="2306" spans="1:6" x14ac:dyDescent="0.3">
      <c r="A2306" s="3" t="s">
        <v>18</v>
      </c>
      <c r="B2306" s="7" t="str">
        <f>VLOOKUP(VALUE(A2306), 'DICIONÁRIO UF'!$A:$B, 2, FALSE)</f>
        <v>Sergipe</v>
      </c>
      <c r="C2306" s="3">
        <v>10030</v>
      </c>
      <c r="D2306" s="5" t="str">
        <f>VLOOKUP(C2306, 'DICIONÁRIO CNAES'!$A:$B, 2, FALSE)</f>
        <v>Laticínios</v>
      </c>
      <c r="E2306" s="4">
        <v>4785.7742793199996</v>
      </c>
      <c r="F2306" s="4">
        <v>2994191.217929</v>
      </c>
    </row>
    <row r="2307" spans="1:6" x14ac:dyDescent="0.3">
      <c r="A2307" s="3" t="s">
        <v>18</v>
      </c>
      <c r="B2307" s="7" t="str">
        <f>VLOOKUP(VALUE(A2307), 'DICIONÁRIO UF'!$A:$B, 2, FALSE)</f>
        <v>Sergipe</v>
      </c>
      <c r="C2307" s="3">
        <v>10091</v>
      </c>
      <c r="D2307" s="5" t="str">
        <f>VLOOKUP(C2307, 'DICIONÁRIO CNAES'!$A:$B, 2, FALSE)</f>
        <v>Moagem, fabricação de produtos amiláceos e de alimentos para animais</v>
      </c>
      <c r="E2307" s="4">
        <v>4284.8168385999998</v>
      </c>
      <c r="F2307" s="4">
        <v>3426339.6340099</v>
      </c>
    </row>
    <row r="2308" spans="1:6" x14ac:dyDescent="0.3">
      <c r="A2308" s="3" t="s">
        <v>18</v>
      </c>
      <c r="B2308" s="7" t="str">
        <f>VLOOKUP(VALUE(A2308), 'DICIONÁRIO UF'!$A:$B, 2, FALSE)</f>
        <v>Sergipe</v>
      </c>
      <c r="C2308" s="3">
        <v>10092</v>
      </c>
      <c r="D2308" s="5" t="str">
        <f>VLOOKUP(C2308, 'DICIONÁRIO CNAES'!$A:$B, 2, FALSE)</f>
        <v>Fabricação e refino do açúcar</v>
      </c>
      <c r="E2308" s="4">
        <v>570.87147491999997</v>
      </c>
      <c r="F2308" s="4">
        <v>869097.27674999996</v>
      </c>
    </row>
    <row r="2309" spans="1:6" x14ac:dyDescent="0.3">
      <c r="A2309" s="3" t="s">
        <v>18</v>
      </c>
      <c r="B2309" s="7" t="str">
        <f>VLOOKUP(VALUE(A2309), 'DICIONÁRIO UF'!$A:$B, 2, FALSE)</f>
        <v>Sergipe</v>
      </c>
      <c r="C2309" s="3">
        <v>10093</v>
      </c>
      <c r="D2309" s="5" t="str">
        <f>VLOOKUP(C2309, 'DICIONÁRIO CNAES'!$A:$B, 2, FALSE)</f>
        <v>Torrefação e moagem de café</v>
      </c>
      <c r="E2309" s="4">
        <v>861.09529992</v>
      </c>
      <c r="F2309" s="4">
        <v>1170800.6091539999</v>
      </c>
    </row>
    <row r="2310" spans="1:6" x14ac:dyDescent="0.3">
      <c r="A2310" s="3" t="s">
        <v>18</v>
      </c>
      <c r="B2310" s="7" t="str">
        <f>VLOOKUP(VALUE(A2310), 'DICIONÁRIO UF'!$A:$B, 2, FALSE)</f>
        <v>Sergipe</v>
      </c>
      <c r="C2310" s="3">
        <v>10099</v>
      </c>
      <c r="D2310" s="5" t="str">
        <f>VLOOKUP(C2310, 'DICIONÁRIO CNAES'!$A:$B, 2, FALSE)</f>
        <v>Fabricação de outros produtos alimentícios</v>
      </c>
      <c r="E2310" s="4">
        <v>4665.71891693</v>
      </c>
      <c r="F2310" s="4">
        <v>7034705.4046210004</v>
      </c>
    </row>
    <row r="2311" spans="1:6" x14ac:dyDescent="0.3">
      <c r="A2311" s="3" t="s">
        <v>18</v>
      </c>
      <c r="B2311" s="7" t="str">
        <f>VLOOKUP(VALUE(A2311), 'DICIONÁRIO UF'!$A:$B, 2, FALSE)</f>
        <v>Sergipe</v>
      </c>
      <c r="C2311" s="3">
        <v>11000</v>
      </c>
      <c r="D2311" s="5" t="str">
        <f>VLOOKUP(C2311, 'DICIONÁRIO CNAES'!$A:$B, 2, FALSE)</f>
        <v>Fabricação de bebidas</v>
      </c>
      <c r="E2311" s="4">
        <v>954.25339249000001</v>
      </c>
      <c r="F2311" s="4">
        <v>1401934.8521479999</v>
      </c>
    </row>
    <row r="2312" spans="1:6" x14ac:dyDescent="0.3">
      <c r="A2312" s="3" t="s">
        <v>18</v>
      </c>
      <c r="B2312" s="7" t="str">
        <f>VLOOKUP(VALUE(A2312), 'DICIONÁRIO UF'!$A:$B, 2, FALSE)</f>
        <v>Sergipe</v>
      </c>
      <c r="C2312" s="3">
        <v>13001</v>
      </c>
      <c r="D2312" s="5" t="str">
        <f>VLOOKUP(C2312, 'DICIONÁRIO CNAES'!$A:$B, 2, FALSE)</f>
        <v>Preparação de fibras, fiação e tecelagem</v>
      </c>
      <c r="E2312" s="4">
        <v>3390.6293495700002</v>
      </c>
      <c r="F2312" s="4">
        <v>2762188.8557202499</v>
      </c>
    </row>
    <row r="2313" spans="1:6" x14ac:dyDescent="0.3">
      <c r="A2313" s="3" t="s">
        <v>18</v>
      </c>
      <c r="B2313" s="7" t="str">
        <f>VLOOKUP(VALUE(A2313), 'DICIONÁRIO UF'!$A:$B, 2, FALSE)</f>
        <v>Sergipe</v>
      </c>
      <c r="C2313" s="3">
        <v>13002</v>
      </c>
      <c r="D2313" s="5" t="str">
        <f>VLOOKUP(C2313, 'DICIONÁRIO CNAES'!$A:$B, 2, FALSE)</f>
        <v>Fabricação de artefatos têxteis, exceto vestuário</v>
      </c>
      <c r="E2313" s="4">
        <v>2065.9007320699998</v>
      </c>
      <c r="F2313" s="4">
        <v>1145780.421938</v>
      </c>
    </row>
    <row r="2314" spans="1:6" x14ac:dyDescent="0.3">
      <c r="A2314" s="3" t="s">
        <v>18</v>
      </c>
      <c r="B2314" s="7" t="str">
        <f>VLOOKUP(VALUE(A2314), 'DICIONÁRIO UF'!$A:$B, 2, FALSE)</f>
        <v>Sergipe</v>
      </c>
      <c r="C2314" s="3">
        <v>14001</v>
      </c>
      <c r="D2314" s="5" t="str">
        <f>VLOOKUP(C2314, 'DICIONÁRIO CNAES'!$A:$B, 2, FALSE)</f>
        <v>Confecção de artigos do vestuário e acessórios, exceto sob medida</v>
      </c>
      <c r="E2314" s="4">
        <v>2886.22864893</v>
      </c>
      <c r="F2314" s="4">
        <v>4224914.0503979996</v>
      </c>
    </row>
    <row r="2315" spans="1:6" x14ac:dyDescent="0.3">
      <c r="A2315" s="3" t="s">
        <v>18</v>
      </c>
      <c r="B2315" s="7" t="str">
        <f>VLOOKUP(VALUE(A2315), 'DICIONÁRIO UF'!$A:$B, 2, FALSE)</f>
        <v>Sergipe</v>
      </c>
      <c r="C2315" s="3">
        <v>14002</v>
      </c>
      <c r="D2315" s="5" t="str">
        <f>VLOOKUP(C2315, 'DICIONÁRIO CNAES'!$A:$B, 2, FALSE)</f>
        <v>Confecção, sob medida, de artigos do vestuário</v>
      </c>
      <c r="E2315" s="4">
        <v>4928.2412306599999</v>
      </c>
      <c r="F2315" s="4">
        <v>4465072.9865319002</v>
      </c>
    </row>
    <row r="2316" spans="1:6" x14ac:dyDescent="0.3">
      <c r="A2316" s="3" t="s">
        <v>18</v>
      </c>
      <c r="B2316" s="7" t="str">
        <f>VLOOKUP(VALUE(A2316), 'DICIONÁRIO UF'!$A:$B, 2, FALSE)</f>
        <v>Sergipe</v>
      </c>
      <c r="C2316" s="3">
        <v>15011</v>
      </c>
      <c r="D2316" s="5" t="str">
        <f>VLOOKUP(C2316, 'DICIONÁRIO CNAES'!$A:$B, 2, FALSE)</f>
        <v>Curtimento e outras preparações de couro</v>
      </c>
      <c r="E2316" s="4">
        <v>629.63770640999996</v>
      </c>
      <c r="F2316" s="4">
        <v>692601.47705099999</v>
      </c>
    </row>
    <row r="2317" spans="1:6" x14ac:dyDescent="0.3">
      <c r="A2317" s="3" t="s">
        <v>18</v>
      </c>
      <c r="B2317" s="7" t="str">
        <f>VLOOKUP(VALUE(A2317), 'DICIONÁRIO UF'!$A:$B, 2, FALSE)</f>
        <v>Sergipe</v>
      </c>
      <c r="C2317" s="3">
        <v>15020</v>
      </c>
      <c r="D2317" s="5" t="str">
        <f>VLOOKUP(C2317, 'DICIONÁRIO CNAES'!$A:$B, 2, FALSE)</f>
        <v>Fabricação de calçados e partes para calçados, de qualquer material</v>
      </c>
      <c r="E2317" s="4">
        <v>4237.0777763999986</v>
      </c>
      <c r="F2317" s="4">
        <v>4494053.4738989994</v>
      </c>
    </row>
    <row r="2318" spans="1:6" x14ac:dyDescent="0.3">
      <c r="A2318" s="3" t="s">
        <v>18</v>
      </c>
      <c r="B2318" s="7" t="str">
        <f>VLOOKUP(VALUE(A2318), 'DICIONÁRIO UF'!$A:$B, 2, FALSE)</f>
        <v>Sergipe</v>
      </c>
      <c r="C2318" s="3">
        <v>16001</v>
      </c>
      <c r="D2318" s="5" t="str">
        <f>VLOOKUP(C2318, 'DICIONÁRIO CNAES'!$A:$B, 2, FALSE)</f>
        <v>Serrarias</v>
      </c>
      <c r="E2318" s="4">
        <v>201.01549775999999</v>
      </c>
      <c r="F2318" s="4">
        <v>221117.047536</v>
      </c>
    </row>
    <row r="2319" spans="1:6" x14ac:dyDescent="0.3">
      <c r="A2319" s="3" t="s">
        <v>18</v>
      </c>
      <c r="B2319" s="7" t="str">
        <f>VLOOKUP(VALUE(A2319), 'DICIONÁRIO UF'!$A:$B, 2, FALSE)</f>
        <v>Sergipe</v>
      </c>
      <c r="C2319" s="3">
        <v>16002</v>
      </c>
      <c r="D2319" s="5" t="str">
        <f>VLOOKUP(C2319, 'DICIONÁRIO CNAES'!$A:$B, 2, FALSE)</f>
        <v>Fabricação de produtos de madeira, cortiça e material trançado, exceto móveis</v>
      </c>
      <c r="E2319" s="4">
        <v>3916.9757458300001</v>
      </c>
      <c r="F2319" s="4">
        <v>3855986.3972017998</v>
      </c>
    </row>
    <row r="2320" spans="1:6" x14ac:dyDescent="0.3">
      <c r="A2320" s="3" t="s">
        <v>18</v>
      </c>
      <c r="B2320" s="7" t="str">
        <f>VLOOKUP(VALUE(A2320), 'DICIONÁRIO UF'!$A:$B, 2, FALSE)</f>
        <v>Sergipe</v>
      </c>
      <c r="C2320" s="3">
        <v>17002</v>
      </c>
      <c r="D2320" s="5" t="str">
        <f>VLOOKUP(C2320, 'DICIONÁRIO CNAES'!$A:$B, 2, FALSE)</f>
        <v>Fabricação de embalagens e de produtos diversos de papel, cartolina, papel-cartão e papelão ondulado</v>
      </c>
      <c r="E2320" s="4">
        <v>873.42083617000003</v>
      </c>
      <c r="F2320" s="4">
        <v>1085016.820386</v>
      </c>
    </row>
    <row r="2321" spans="1:6" x14ac:dyDescent="0.3">
      <c r="A2321" s="3" t="s">
        <v>18</v>
      </c>
      <c r="B2321" s="7" t="str">
        <f>VLOOKUP(VALUE(A2321), 'DICIONÁRIO UF'!$A:$B, 2, FALSE)</f>
        <v>Sergipe</v>
      </c>
      <c r="C2321" s="3">
        <v>18000</v>
      </c>
      <c r="D2321" s="5" t="str">
        <f>VLOOKUP(C2321, 'DICIONÁRIO CNAES'!$A:$B, 2, FALSE)</f>
        <v>Impressão e reprodução de gravações</v>
      </c>
      <c r="E2321" s="4">
        <v>1422.9974329700001</v>
      </c>
      <c r="F2321" s="4">
        <v>1293699.024889</v>
      </c>
    </row>
    <row r="2322" spans="1:6" x14ac:dyDescent="0.3">
      <c r="A2322" s="3" t="s">
        <v>18</v>
      </c>
      <c r="B2322" s="7" t="str">
        <f>VLOOKUP(VALUE(A2322), 'DICIONÁRIO UF'!$A:$B, 2, FALSE)</f>
        <v>Sergipe</v>
      </c>
      <c r="C2322" s="3">
        <v>19030</v>
      </c>
      <c r="D2322" s="5" t="str">
        <f>VLOOKUP(C2322, 'DICIONÁRIO CNAES'!$A:$B, 2, FALSE)</f>
        <v>Produção de biocombustíveis</v>
      </c>
      <c r="E2322" s="4">
        <v>648.36836615999994</v>
      </c>
      <c r="F2322" s="4">
        <v>425898.35322599998</v>
      </c>
    </row>
    <row r="2323" spans="1:6" x14ac:dyDescent="0.3">
      <c r="A2323" s="3" t="s">
        <v>18</v>
      </c>
      <c r="B2323" s="7" t="str">
        <f>VLOOKUP(VALUE(A2323), 'DICIONÁRIO UF'!$A:$B, 2, FALSE)</f>
        <v>Sergipe</v>
      </c>
      <c r="C2323" s="3">
        <v>20020</v>
      </c>
      <c r="D2323" s="5" t="str">
        <f>VLOOKUP(C2323, 'DICIONÁRIO CNAES'!$A:$B, 2, FALSE)</f>
        <v>Fabricação de sabões, detergentes, produtos de limpeza, cosméticos, produtos de perfumaria e de higiene pessoal</v>
      </c>
      <c r="E2323" s="4">
        <v>847.87504632000002</v>
      </c>
      <c r="F2323" s="4">
        <v>586930.94553599996</v>
      </c>
    </row>
    <row r="2324" spans="1:6" x14ac:dyDescent="0.3">
      <c r="A2324" s="3" t="s">
        <v>18</v>
      </c>
      <c r="B2324" s="7" t="str">
        <f>VLOOKUP(VALUE(A2324), 'DICIONÁRIO UF'!$A:$B, 2, FALSE)</f>
        <v>Sergipe</v>
      </c>
      <c r="C2324" s="3">
        <v>22020</v>
      </c>
      <c r="D2324" s="5" t="str">
        <f>VLOOKUP(C2324, 'DICIONÁRIO CNAES'!$A:$B, 2, FALSE)</f>
        <v>Fabricação de produtos de material plástico</v>
      </c>
      <c r="E2324" s="4">
        <v>80.339803410000002</v>
      </c>
      <c r="F2324" s="4">
        <v>40169.901704999997</v>
      </c>
    </row>
    <row r="2325" spans="1:6" x14ac:dyDescent="0.3">
      <c r="A2325" s="3" t="s">
        <v>18</v>
      </c>
      <c r="B2325" s="7" t="str">
        <f>VLOOKUP(VALUE(A2325), 'DICIONÁRIO UF'!$A:$B, 2, FALSE)</f>
        <v>Sergipe</v>
      </c>
      <c r="C2325" s="3">
        <v>23010</v>
      </c>
      <c r="D2325" s="5" t="str">
        <f>VLOOKUP(C2325, 'DICIONÁRIO CNAES'!$A:$B, 2, FALSE)</f>
        <v>Fabricação de vidro e produtos de vidro</v>
      </c>
      <c r="E2325" s="4">
        <v>540.86683757000003</v>
      </c>
      <c r="F2325" s="4">
        <v>610931.54783900001</v>
      </c>
    </row>
    <row r="2326" spans="1:6" x14ac:dyDescent="0.3">
      <c r="A2326" s="3" t="s">
        <v>18</v>
      </c>
      <c r="B2326" s="7" t="str">
        <f>VLOOKUP(VALUE(A2326), 'DICIONÁRIO UF'!$A:$B, 2, FALSE)</f>
        <v>Sergipe</v>
      </c>
      <c r="C2326" s="3">
        <v>23091</v>
      </c>
      <c r="D2326" s="5" t="str">
        <f>VLOOKUP(C2326, 'DICIONÁRIO CNAES'!$A:$B, 2, FALSE)</f>
        <v>Fabricação de produtos cerâmicos</v>
      </c>
      <c r="E2326" s="4">
        <v>4540.2935484</v>
      </c>
      <c r="F2326" s="4">
        <v>3656487.6433230001</v>
      </c>
    </row>
    <row r="2327" spans="1:6" x14ac:dyDescent="0.3">
      <c r="A2327" s="3" t="s">
        <v>18</v>
      </c>
      <c r="B2327" s="7" t="str">
        <f>VLOOKUP(VALUE(A2327), 'DICIONÁRIO UF'!$A:$B, 2, FALSE)</f>
        <v>Sergipe</v>
      </c>
      <c r="C2327" s="3">
        <v>23099</v>
      </c>
      <c r="D2327" s="5" t="str">
        <f>VLOOKUP(C2327, 'DICIONÁRIO CNAES'!$A:$B, 2, FALSE)</f>
        <v>Fabricação de outros produtos de minerais não-metálicos não especificados anteriormente</v>
      </c>
      <c r="E2327" s="4">
        <v>3645.91958032</v>
      </c>
      <c r="F2327" s="4">
        <v>5123741.1899814997</v>
      </c>
    </row>
    <row r="2328" spans="1:6" x14ac:dyDescent="0.3">
      <c r="A2328" s="3" t="s">
        <v>18</v>
      </c>
      <c r="B2328" s="7" t="str">
        <f>VLOOKUP(VALUE(A2328), 'DICIONÁRIO UF'!$A:$B, 2, FALSE)</f>
        <v>Sergipe</v>
      </c>
      <c r="C2328" s="3">
        <v>25001</v>
      </c>
      <c r="D2328" s="5" t="str">
        <f>VLOOKUP(C2328, 'DICIONÁRIO CNAES'!$A:$B, 2, FALSE)</f>
        <v>Fabricação de produtos de metal, exceto máquinas e equipamentos</v>
      </c>
      <c r="E2328" s="4">
        <v>3042.1168710299999</v>
      </c>
      <c r="F2328" s="4">
        <v>3582263.3700069999</v>
      </c>
    </row>
    <row r="2329" spans="1:6" x14ac:dyDescent="0.3">
      <c r="A2329" s="3" t="s">
        <v>18</v>
      </c>
      <c r="B2329" s="7" t="str">
        <f>VLOOKUP(VALUE(A2329), 'DICIONÁRIO UF'!$A:$B, 2, FALSE)</f>
        <v>Sergipe</v>
      </c>
      <c r="C2329" s="3">
        <v>25002</v>
      </c>
      <c r="D2329" s="5" t="str">
        <f>VLOOKUP(C2329, 'DICIONÁRIO CNAES'!$A:$B, 2, FALSE)</f>
        <v>Forjaria, estamparia, metalurgia do pó e serviços de tratamento de metais</v>
      </c>
      <c r="E2329" s="4">
        <v>824.66142967999997</v>
      </c>
      <c r="F2329" s="4">
        <v>1520280.0028939999</v>
      </c>
    </row>
    <row r="2330" spans="1:6" x14ac:dyDescent="0.3">
      <c r="A2330" s="3" t="s">
        <v>18</v>
      </c>
      <c r="B2330" s="7" t="str">
        <f>VLOOKUP(VALUE(A2330), 'DICIONÁRIO UF'!$A:$B, 2, FALSE)</f>
        <v>Sergipe</v>
      </c>
      <c r="C2330" s="3">
        <v>27010</v>
      </c>
      <c r="D2330" s="5" t="str">
        <f>VLOOKUP(C2330, 'DICIONÁRIO CNAES'!$A:$B, 2, FALSE)</f>
        <v>Fabricação de eletrodomesticos</v>
      </c>
      <c r="E2330" s="4">
        <v>578.13321721</v>
      </c>
      <c r="F2330" s="4">
        <v>421061.317056</v>
      </c>
    </row>
    <row r="2331" spans="1:6" x14ac:dyDescent="0.3">
      <c r="A2331" s="3" t="s">
        <v>18</v>
      </c>
      <c r="B2331" s="7" t="str">
        <f>VLOOKUP(VALUE(A2331), 'DICIONÁRIO UF'!$A:$B, 2, FALSE)</f>
        <v>Sergipe</v>
      </c>
      <c r="C2331" s="3">
        <v>29002</v>
      </c>
      <c r="D2331" s="5" t="str">
        <f>VLOOKUP(C2331, 'DICIONÁRIO CNAES'!$A:$B, 2, FALSE)</f>
        <v>Fabricação de cabines, carrocerias, reboques e peças para veículos automotores</v>
      </c>
      <c r="E2331" s="4">
        <v>611.40949976000002</v>
      </c>
      <c r="F2331" s="4">
        <v>797053.02924200008</v>
      </c>
    </row>
    <row r="2332" spans="1:6" x14ac:dyDescent="0.3">
      <c r="A2332" s="3" t="s">
        <v>18</v>
      </c>
      <c r="B2332" s="7" t="str">
        <f>VLOOKUP(VALUE(A2332), 'DICIONÁRIO UF'!$A:$B, 2, FALSE)</f>
        <v>Sergipe</v>
      </c>
      <c r="C2332" s="3">
        <v>31000</v>
      </c>
      <c r="D2332" s="5" t="str">
        <f>VLOOKUP(C2332, 'DICIONÁRIO CNAES'!$A:$B, 2, FALSE)</f>
        <v>Fabricação de móveis</v>
      </c>
      <c r="E2332" s="4">
        <v>4133.1396334199999</v>
      </c>
      <c r="F2332" s="4">
        <v>8359374.3866689997</v>
      </c>
    </row>
    <row r="2333" spans="1:6" x14ac:dyDescent="0.3">
      <c r="A2333" s="3" t="s">
        <v>18</v>
      </c>
      <c r="B2333" s="7" t="str">
        <f>VLOOKUP(VALUE(A2333), 'DICIONÁRIO UF'!$A:$B, 2, FALSE)</f>
        <v>Sergipe</v>
      </c>
      <c r="C2333" s="3">
        <v>32001</v>
      </c>
      <c r="D2333" s="5" t="str">
        <f>VLOOKUP(C2333, 'DICIONÁRIO CNAES'!$A:$B, 2, FALSE)</f>
        <v>Fabricação de artigos de joalheria, bijuteria e semelhantes</v>
      </c>
      <c r="E2333" s="4">
        <v>1116.3979328</v>
      </c>
      <c r="F2333" s="4">
        <v>1091627.73236</v>
      </c>
    </row>
    <row r="2334" spans="1:6" x14ac:dyDescent="0.3">
      <c r="A2334" s="3" t="s">
        <v>18</v>
      </c>
      <c r="B2334" s="7" t="str">
        <f>VLOOKUP(VALUE(A2334), 'DICIONÁRIO UF'!$A:$B, 2, FALSE)</f>
        <v>Sergipe</v>
      </c>
      <c r="C2334" s="3">
        <v>32009</v>
      </c>
      <c r="D2334" s="5" t="str">
        <f>VLOOKUP(C2334, 'DICIONÁRIO CNAES'!$A:$B, 2, FALSE)</f>
        <v>Fabricação de produtos diversos</v>
      </c>
      <c r="E2334" s="4">
        <v>582.85752342000001</v>
      </c>
      <c r="F2334" s="4">
        <v>488020.76407199999</v>
      </c>
    </row>
    <row r="2335" spans="1:6" x14ac:dyDescent="0.3">
      <c r="A2335" s="3" t="s">
        <v>18</v>
      </c>
      <c r="B2335" s="7" t="str">
        <f>VLOOKUP(VALUE(A2335), 'DICIONÁRIO UF'!$A:$B, 2, FALSE)</f>
        <v>Sergipe</v>
      </c>
      <c r="C2335" s="3">
        <v>33001</v>
      </c>
      <c r="D2335" s="5" t="str">
        <f>VLOOKUP(C2335, 'DICIONÁRIO CNAES'!$A:$B, 2, FALSE)</f>
        <v>Manutenção e reparação de máquinas e equipamentos</v>
      </c>
      <c r="E2335" s="4">
        <v>477.64475461000001</v>
      </c>
      <c r="F2335" s="4">
        <v>310469.09049650002</v>
      </c>
    </row>
    <row r="2336" spans="1:6" x14ac:dyDescent="0.3">
      <c r="A2336" s="3" t="s">
        <v>18</v>
      </c>
      <c r="B2336" s="7" t="str">
        <f>VLOOKUP(VALUE(A2336), 'DICIONÁRIO UF'!$A:$B, 2, FALSE)</f>
        <v>Sergipe</v>
      </c>
      <c r="C2336" s="3">
        <v>33002</v>
      </c>
      <c r="D2336" s="5" t="str">
        <f>VLOOKUP(C2336, 'DICIONÁRIO CNAES'!$A:$B, 2, FALSE)</f>
        <v>Instalação de máquinas e equipamentos</v>
      </c>
      <c r="E2336" s="4">
        <v>351.1489277</v>
      </c>
      <c r="F2336" s="4">
        <v>175574.46385</v>
      </c>
    </row>
    <row r="2337" spans="1:6" x14ac:dyDescent="0.3">
      <c r="A2337" s="3" t="s">
        <v>18</v>
      </c>
      <c r="B2337" s="7" t="str">
        <f>VLOOKUP(VALUE(A2337), 'DICIONÁRIO UF'!$A:$B, 2, FALSE)</f>
        <v>Sergipe</v>
      </c>
      <c r="C2337" s="3">
        <v>35010</v>
      </c>
      <c r="D2337" s="5" t="str">
        <f>VLOOKUP(C2337, 'DICIONÁRIO CNAES'!$A:$B, 2, FALSE)</f>
        <v>Geração, transmissão e distribuição de energia elétrica</v>
      </c>
      <c r="E2337" s="4">
        <v>2186.5663486600001</v>
      </c>
      <c r="F2337" s="4">
        <v>4054686.189727</v>
      </c>
    </row>
    <row r="2338" spans="1:6" x14ac:dyDescent="0.3">
      <c r="A2338" s="3" t="s">
        <v>18</v>
      </c>
      <c r="B2338" s="7" t="str">
        <f>VLOOKUP(VALUE(A2338), 'DICIONÁRIO UF'!$A:$B, 2, FALSE)</f>
        <v>Sergipe</v>
      </c>
      <c r="C2338" s="3">
        <v>36000</v>
      </c>
      <c r="D2338" s="5" t="str">
        <f>VLOOKUP(C2338, 'DICIONÁRIO CNAES'!$A:$B, 2, FALSE)</f>
        <v>Captação, tratamento e distribuição de água</v>
      </c>
      <c r="E2338" s="4">
        <v>2879.46631548</v>
      </c>
      <c r="F2338" s="4">
        <v>9100759.3597365003</v>
      </c>
    </row>
    <row r="2339" spans="1:6" x14ac:dyDescent="0.3">
      <c r="A2339" s="3" t="s">
        <v>18</v>
      </c>
      <c r="B2339" s="7" t="str">
        <f>VLOOKUP(VALUE(A2339), 'DICIONÁRIO UF'!$A:$B, 2, FALSE)</f>
        <v>Sergipe</v>
      </c>
      <c r="C2339" s="3">
        <v>38000</v>
      </c>
      <c r="D2339" s="5" t="str">
        <f>VLOOKUP(C2339, 'DICIONÁRIO CNAES'!$A:$B, 2, FALSE)</f>
        <v>Coleta, tratamento e disposição de resíduos; recuperação de materiais</v>
      </c>
      <c r="E2339" s="4">
        <v>5040.5332789000004</v>
      </c>
      <c r="F2339" s="4">
        <v>6950348.0328211002</v>
      </c>
    </row>
    <row r="2340" spans="1:6" x14ac:dyDescent="0.3">
      <c r="A2340" s="3" t="s">
        <v>18</v>
      </c>
      <c r="B2340" s="7" t="str">
        <f>VLOOKUP(VALUE(A2340), 'DICIONÁRIO UF'!$A:$B, 2, FALSE)</f>
        <v>Sergipe</v>
      </c>
      <c r="C2340" s="3">
        <v>41000</v>
      </c>
      <c r="D2340" s="5" t="str">
        <f>VLOOKUP(C2340, 'DICIONÁRIO CNAES'!$A:$B, 2, FALSE)</f>
        <v>Construção de edifícios</v>
      </c>
      <c r="E2340" s="4">
        <v>45248.218799130002</v>
      </c>
      <c r="F2340" s="4">
        <v>72184520.937853098</v>
      </c>
    </row>
    <row r="2341" spans="1:6" x14ac:dyDescent="0.3">
      <c r="A2341" s="3" t="s">
        <v>18</v>
      </c>
      <c r="B2341" s="7" t="str">
        <f>VLOOKUP(VALUE(A2341), 'DICIONÁRIO UF'!$A:$B, 2, FALSE)</f>
        <v>Sergipe</v>
      </c>
      <c r="C2341" s="3">
        <v>42000</v>
      </c>
      <c r="D2341" s="5" t="str">
        <f>VLOOKUP(C2341, 'DICIONÁRIO CNAES'!$A:$B, 2, FALSE)</f>
        <v>Construção de obras de infra-estrutura</v>
      </c>
      <c r="E2341" s="4">
        <v>6067.9780760699996</v>
      </c>
      <c r="F2341" s="4">
        <v>8942098.4462707993</v>
      </c>
    </row>
    <row r="2342" spans="1:6" x14ac:dyDescent="0.3">
      <c r="A2342" s="3" t="s">
        <v>18</v>
      </c>
      <c r="B2342" s="7" t="str">
        <f>VLOOKUP(VALUE(A2342), 'DICIONÁRIO UF'!$A:$B, 2, FALSE)</f>
        <v>Sergipe</v>
      </c>
      <c r="C2342" s="3">
        <v>43000</v>
      </c>
      <c r="D2342" s="5" t="str">
        <f>VLOOKUP(C2342, 'DICIONÁRIO CNAES'!$A:$B, 2, FALSE)</f>
        <v>Serviços especializados para construção</v>
      </c>
      <c r="E2342" s="4">
        <v>13462.319761410001</v>
      </c>
      <c r="F2342" s="4">
        <v>18052626.088156801</v>
      </c>
    </row>
    <row r="2343" spans="1:6" x14ac:dyDescent="0.3">
      <c r="A2343" s="3" t="s">
        <v>18</v>
      </c>
      <c r="B2343" s="7" t="str">
        <f>VLOOKUP(VALUE(A2343), 'DICIONÁRIO UF'!$A:$B, 2, FALSE)</f>
        <v>Sergipe</v>
      </c>
      <c r="C2343" s="3">
        <v>45010</v>
      </c>
      <c r="D2343" s="5" t="str">
        <f>VLOOKUP(C2343, 'DICIONÁRIO CNAES'!$A:$B, 2, FALSE)</f>
        <v>Comércio de veículos automotores</v>
      </c>
      <c r="E2343" s="4">
        <v>2242.7634434400002</v>
      </c>
      <c r="F2343" s="4">
        <v>4635936.4310659999</v>
      </c>
    </row>
    <row r="2344" spans="1:6" x14ac:dyDescent="0.3">
      <c r="A2344" s="3" t="s">
        <v>18</v>
      </c>
      <c r="B2344" s="7" t="str">
        <f>VLOOKUP(VALUE(A2344), 'DICIONÁRIO UF'!$A:$B, 2, FALSE)</f>
        <v>Sergipe</v>
      </c>
      <c r="C2344" s="3">
        <v>45020</v>
      </c>
      <c r="D2344" s="5" t="str">
        <f>VLOOKUP(C2344, 'DICIONÁRIO CNAES'!$A:$B, 2, FALSE)</f>
        <v>Manutenção e reparação de veículos automotores</v>
      </c>
      <c r="E2344" s="4">
        <v>26664.873301759999</v>
      </c>
      <c r="F2344" s="4">
        <v>34265728.742509499</v>
      </c>
    </row>
    <row r="2345" spans="1:6" x14ac:dyDescent="0.3">
      <c r="A2345" s="3" t="s">
        <v>18</v>
      </c>
      <c r="B2345" s="7" t="str">
        <f>VLOOKUP(VALUE(A2345), 'DICIONÁRIO UF'!$A:$B, 2, FALSE)</f>
        <v>Sergipe</v>
      </c>
      <c r="C2345" s="3">
        <v>45030</v>
      </c>
      <c r="D2345" s="5" t="str">
        <f>VLOOKUP(C2345, 'DICIONÁRIO CNAES'!$A:$B, 2, FALSE)</f>
        <v>Comércio de peças e acessórios para veículos automotores</v>
      </c>
      <c r="E2345" s="4">
        <v>3910.8596069199998</v>
      </c>
      <c r="F2345" s="4">
        <v>6165178.6470539998</v>
      </c>
    </row>
    <row r="2346" spans="1:6" x14ac:dyDescent="0.3">
      <c r="A2346" s="3" t="s">
        <v>18</v>
      </c>
      <c r="B2346" s="7" t="str">
        <f>VLOOKUP(VALUE(A2346), 'DICIONÁRIO UF'!$A:$B, 2, FALSE)</f>
        <v>Sergipe</v>
      </c>
      <c r="C2346" s="3">
        <v>45040</v>
      </c>
      <c r="D2346" s="5" t="str">
        <f>VLOOKUP(C2346, 'DICIONÁRIO CNAES'!$A:$B, 2, FALSE)</f>
        <v>Comércio, manutenção e reparação de motocicletas, peças e acessórios</v>
      </c>
      <c r="E2346" s="4">
        <v>5024.8353570700001</v>
      </c>
      <c r="F2346" s="4">
        <v>4488988.0938959997</v>
      </c>
    </row>
    <row r="2347" spans="1:6" x14ac:dyDescent="0.3">
      <c r="A2347" s="3" t="s">
        <v>18</v>
      </c>
      <c r="B2347" s="7" t="str">
        <f>VLOOKUP(VALUE(A2347), 'DICIONÁRIO UF'!$A:$B, 2, FALSE)</f>
        <v>Sergipe</v>
      </c>
      <c r="C2347" s="3">
        <v>48010</v>
      </c>
      <c r="D2347" s="5" t="str">
        <f>VLOOKUP(C2347, 'DICIONÁRIO CNAES'!$A:$B, 2, FALSE)</f>
        <v>Representantes comerciais e agentes do comércio, exceto de veículos automotores e motocicletas</v>
      </c>
      <c r="E2347" s="4">
        <v>718.12708694000003</v>
      </c>
      <c r="F2347" s="4">
        <v>1723505.008656</v>
      </c>
    </row>
    <row r="2348" spans="1:6" x14ac:dyDescent="0.3">
      <c r="A2348" s="3" t="s">
        <v>18</v>
      </c>
      <c r="B2348" s="7" t="str">
        <f>VLOOKUP(VALUE(A2348), 'DICIONÁRIO UF'!$A:$B, 2, FALSE)</f>
        <v>Sergipe</v>
      </c>
      <c r="C2348" s="3">
        <v>48020</v>
      </c>
      <c r="D2348" s="5" t="str">
        <f>VLOOKUP(C2348, 'DICIONÁRIO CNAES'!$A:$B, 2, FALSE)</f>
        <v>Comércio de matérias-primas agrícolas e animais vivos</v>
      </c>
      <c r="E2348" s="4">
        <v>2792.12901083</v>
      </c>
      <c r="F2348" s="4">
        <v>8326727.302809</v>
      </c>
    </row>
    <row r="2349" spans="1:6" x14ac:dyDescent="0.3">
      <c r="A2349" s="3" t="s">
        <v>18</v>
      </c>
      <c r="B2349" s="7" t="str">
        <f>VLOOKUP(VALUE(A2349), 'DICIONÁRIO UF'!$A:$B, 2, FALSE)</f>
        <v>Sergipe</v>
      </c>
      <c r="C2349" s="3">
        <v>48030</v>
      </c>
      <c r="D2349" s="5" t="str">
        <f>VLOOKUP(C2349, 'DICIONÁRIO CNAES'!$A:$B, 2, FALSE)</f>
        <v>Comércio de produtos alimentícios, bebidas e fumo</v>
      </c>
      <c r="E2349" s="4">
        <v>50535.799494190003</v>
      </c>
      <c r="F2349" s="4">
        <v>55085845.727883637</v>
      </c>
    </row>
    <row r="2350" spans="1:6" x14ac:dyDescent="0.3">
      <c r="A2350" s="3" t="s">
        <v>18</v>
      </c>
      <c r="B2350" s="7" t="str">
        <f>VLOOKUP(VALUE(A2350), 'DICIONÁRIO UF'!$A:$B, 2, FALSE)</f>
        <v>Sergipe</v>
      </c>
      <c r="C2350" s="3">
        <v>48041</v>
      </c>
      <c r="D2350" s="5" t="str">
        <f>VLOOKUP(C2350, 'DICIONÁRIO CNAES'!$A:$B, 2, FALSE)</f>
        <v>Comércio de tecidos, artefatos de tecidos e armarinho</v>
      </c>
      <c r="E2350" s="4">
        <v>1077.08580373</v>
      </c>
      <c r="F2350" s="4">
        <v>1215070.1271470001</v>
      </c>
    </row>
    <row r="2351" spans="1:6" x14ac:dyDescent="0.3">
      <c r="A2351" s="3" t="s">
        <v>18</v>
      </c>
      <c r="B2351" s="7" t="str">
        <f>VLOOKUP(VALUE(A2351), 'DICIONÁRIO UF'!$A:$B, 2, FALSE)</f>
        <v>Sergipe</v>
      </c>
      <c r="C2351" s="3">
        <v>48042</v>
      </c>
      <c r="D2351" s="5" t="str">
        <f>VLOOKUP(C2351, 'DICIONÁRIO CNAES'!$A:$B, 2, FALSE)</f>
        <v>Comércio de artigos do vestuário, complementos, calçados e artigos de viagem</v>
      </c>
      <c r="E2351" s="4">
        <v>22769.475616669999</v>
      </c>
      <c r="F2351" s="4">
        <v>35506535.351132601</v>
      </c>
    </row>
    <row r="2352" spans="1:6" x14ac:dyDescent="0.3">
      <c r="A2352" s="3" t="s">
        <v>18</v>
      </c>
      <c r="B2352" s="7" t="str">
        <f>VLOOKUP(VALUE(A2352), 'DICIONÁRIO UF'!$A:$B, 2, FALSE)</f>
        <v>Sergipe</v>
      </c>
      <c r="C2352" s="3">
        <v>48050</v>
      </c>
      <c r="D2352" s="5" t="str">
        <f>VLOOKUP(C2352, 'DICIONÁRIO CNAES'!$A:$B, 2, FALSE)</f>
        <v>Comércio de madeira, material de construção, ferragens e ferramentas</v>
      </c>
      <c r="E2352" s="4">
        <v>6736.9280508800002</v>
      </c>
      <c r="F2352" s="4">
        <v>8226344.4629469998</v>
      </c>
    </row>
    <row r="2353" spans="1:6" x14ac:dyDescent="0.3">
      <c r="A2353" s="3" t="s">
        <v>18</v>
      </c>
      <c r="B2353" s="7" t="str">
        <f>VLOOKUP(VALUE(A2353), 'DICIONÁRIO UF'!$A:$B, 2, FALSE)</f>
        <v>Sergipe</v>
      </c>
      <c r="C2353" s="3">
        <v>48060</v>
      </c>
      <c r="D2353" s="5" t="str">
        <f>VLOOKUP(C2353, 'DICIONÁRIO CNAES'!$A:$B, 2, FALSE)</f>
        <v>Comércio de combustíveis para veículos automotores</v>
      </c>
      <c r="E2353" s="4">
        <v>2349.4270504400001</v>
      </c>
      <c r="F2353" s="4">
        <v>4246862.0446410002</v>
      </c>
    </row>
    <row r="2354" spans="1:6" x14ac:dyDescent="0.3">
      <c r="A2354" s="3" t="s">
        <v>18</v>
      </c>
      <c r="B2354" s="7" t="str">
        <f>VLOOKUP(VALUE(A2354), 'DICIONÁRIO UF'!$A:$B, 2, FALSE)</f>
        <v>Sergipe</v>
      </c>
      <c r="C2354" s="3">
        <v>48071</v>
      </c>
      <c r="D2354" s="5" t="str">
        <f>VLOOKUP(C2354, 'DICIONÁRIO CNAES'!$A:$B, 2, FALSE)</f>
        <v>Comércio de produtos farmaceuticos, médicos, ortopédicos, odontológicos e de cosméticos e perfumaria</v>
      </c>
      <c r="E2354" s="4">
        <v>17688.830326660001</v>
      </c>
      <c r="F2354" s="4">
        <v>19041950.569658902</v>
      </c>
    </row>
    <row r="2355" spans="1:6" x14ac:dyDescent="0.3">
      <c r="A2355" s="3" t="s">
        <v>18</v>
      </c>
      <c r="B2355" s="7" t="str">
        <f>VLOOKUP(VALUE(A2355), 'DICIONÁRIO UF'!$A:$B, 2, FALSE)</f>
        <v>Sergipe</v>
      </c>
      <c r="C2355" s="3">
        <v>48072</v>
      </c>
      <c r="D2355" s="5" t="str">
        <f>VLOOKUP(C2355, 'DICIONÁRIO CNAES'!$A:$B, 2, FALSE)</f>
        <v>Comércio de artigos de escritório e de papelaria; livros, jornais e outras publicações</v>
      </c>
      <c r="E2355" s="4">
        <v>851.21812385999999</v>
      </c>
      <c r="F2355" s="4">
        <v>1253624.6475519999</v>
      </c>
    </row>
    <row r="2356" spans="1:6" x14ac:dyDescent="0.3">
      <c r="A2356" s="3" t="s">
        <v>18</v>
      </c>
      <c r="B2356" s="7" t="str">
        <f>VLOOKUP(VALUE(A2356), 'DICIONÁRIO UF'!$A:$B, 2, FALSE)</f>
        <v>Sergipe</v>
      </c>
      <c r="C2356" s="3">
        <v>48073</v>
      </c>
      <c r="D2356" s="5" t="str">
        <f>VLOOKUP(C2356, 'DICIONÁRIO CNAES'!$A:$B, 2, FALSE)</f>
        <v>Comércio de eletrodomésticos, móveis e outros artigos de residência</v>
      </c>
      <c r="E2356" s="4">
        <v>6168.4050867799997</v>
      </c>
      <c r="F2356" s="4">
        <v>8076649.4560859986</v>
      </c>
    </row>
    <row r="2357" spans="1:6" x14ac:dyDescent="0.3">
      <c r="A2357" s="3" t="s">
        <v>18</v>
      </c>
      <c r="B2357" s="7" t="str">
        <f>VLOOKUP(VALUE(A2357), 'DICIONÁRIO UF'!$A:$B, 2, FALSE)</f>
        <v>Sergipe</v>
      </c>
      <c r="C2357" s="3">
        <v>48074</v>
      </c>
      <c r="D2357" s="5" t="str">
        <f>VLOOKUP(C2357, 'DICIONÁRIO CNAES'!$A:$B, 2, FALSE)</f>
        <v>Comércio de equipamentos e produtos de tecnologias de informação e comunicação</v>
      </c>
      <c r="E2357" s="4">
        <v>1076.4689438</v>
      </c>
      <c r="F2357" s="4">
        <v>774277.20335099997</v>
      </c>
    </row>
    <row r="2358" spans="1:6" x14ac:dyDescent="0.3">
      <c r="A2358" s="3" t="s">
        <v>18</v>
      </c>
      <c r="B2358" s="7" t="str">
        <f>VLOOKUP(VALUE(A2358), 'DICIONÁRIO UF'!$A:$B, 2, FALSE)</f>
        <v>Sergipe</v>
      </c>
      <c r="C2358" s="3">
        <v>48075</v>
      </c>
      <c r="D2358" s="5" t="str">
        <f>VLOOKUP(C2358, 'DICIONÁRIO CNAES'!$A:$B, 2, FALSE)</f>
        <v xml:space="preserve">Comércio de máquinas, aparelhos e equipamentos, exceto eletrodomésticos </v>
      </c>
      <c r="E2358" s="4">
        <v>526.48359715999993</v>
      </c>
      <c r="F2358" s="4">
        <v>579131.95687599992</v>
      </c>
    </row>
    <row r="2359" spans="1:6" x14ac:dyDescent="0.3">
      <c r="A2359" s="3" t="s">
        <v>18</v>
      </c>
      <c r="B2359" s="7" t="str">
        <f>VLOOKUP(VALUE(A2359), 'DICIONÁRIO UF'!$A:$B, 2, FALSE)</f>
        <v>Sergipe</v>
      </c>
      <c r="C2359" s="3">
        <v>48076</v>
      </c>
      <c r="D2359" s="5" t="str">
        <f>VLOOKUP(C2359, 'DICIONÁRIO CNAES'!$A:$B, 2, FALSE)</f>
        <v>Comércio de combustíveis sólidos, líquidos e gasosos, exceto para veículos automotores</v>
      </c>
      <c r="E2359" s="4">
        <v>612.30983423999999</v>
      </c>
      <c r="F2359" s="4">
        <v>412635.30223199999</v>
      </c>
    </row>
    <row r="2360" spans="1:6" x14ac:dyDescent="0.3">
      <c r="A2360" s="3" t="s">
        <v>18</v>
      </c>
      <c r="B2360" s="7" t="str">
        <f>VLOOKUP(VALUE(A2360), 'DICIONÁRIO UF'!$A:$B, 2, FALSE)</f>
        <v>Sergipe</v>
      </c>
      <c r="C2360" s="3">
        <v>48078</v>
      </c>
      <c r="D2360" s="5" t="str">
        <f>VLOOKUP(C2360, 'DICIONÁRIO CNAES'!$A:$B, 2, FALSE)</f>
        <v>Comercio de residuos e sucatas</v>
      </c>
      <c r="E2360" s="4">
        <v>6706.6190846700001</v>
      </c>
      <c r="F2360" s="4">
        <v>4080212.6118564601</v>
      </c>
    </row>
    <row r="2361" spans="1:6" x14ac:dyDescent="0.3">
      <c r="A2361" s="3" t="s">
        <v>18</v>
      </c>
      <c r="B2361" s="7" t="str">
        <f>VLOOKUP(VALUE(A2361), 'DICIONÁRIO UF'!$A:$B, 2, FALSE)</f>
        <v>Sergipe</v>
      </c>
      <c r="C2361" s="3">
        <v>48079</v>
      </c>
      <c r="D2361" s="5" t="str">
        <f>VLOOKUP(C2361, 'DICIONÁRIO CNAES'!$A:$B, 2, FALSE)</f>
        <v>Comércio de produtos novos não especificados anteriormente</v>
      </c>
      <c r="E2361" s="4">
        <v>11043.89787569</v>
      </c>
      <c r="F2361" s="4">
        <v>12300994.16849909</v>
      </c>
    </row>
    <row r="2362" spans="1:6" x14ac:dyDescent="0.3">
      <c r="A2362" s="3" t="s">
        <v>18</v>
      </c>
      <c r="B2362" s="7" t="str">
        <f>VLOOKUP(VALUE(A2362), 'DICIONÁRIO UF'!$A:$B, 2, FALSE)</f>
        <v>Sergipe</v>
      </c>
      <c r="C2362" s="3">
        <v>48080</v>
      </c>
      <c r="D2362" s="5" t="str">
        <f>VLOOKUP(C2362, 'DICIONÁRIO CNAES'!$A:$B, 2, FALSE)</f>
        <v>Supermercado e hipermercado</v>
      </c>
      <c r="E2362" s="4">
        <v>11959.89264855</v>
      </c>
      <c r="F2362" s="4">
        <v>17000544.363270499</v>
      </c>
    </row>
    <row r="2363" spans="1:6" x14ac:dyDescent="0.3">
      <c r="A2363" s="3" t="s">
        <v>18</v>
      </c>
      <c r="B2363" s="7" t="str">
        <f>VLOOKUP(VALUE(A2363), 'DICIONÁRIO UF'!$A:$B, 2, FALSE)</f>
        <v>Sergipe</v>
      </c>
      <c r="C2363" s="3">
        <v>48090</v>
      </c>
      <c r="D2363" s="5" t="str">
        <f>VLOOKUP(C2363, 'DICIONÁRIO CNAES'!$A:$B, 2, FALSE)</f>
        <v>Lojas de departamento e outros comércios não especializados, sem predominância de produtos alimentícios</v>
      </c>
      <c r="E2363" s="4">
        <v>1909.77021552</v>
      </c>
      <c r="F2363" s="4">
        <v>1898308.2021923999</v>
      </c>
    </row>
    <row r="2364" spans="1:6" x14ac:dyDescent="0.3">
      <c r="A2364" s="3" t="s">
        <v>18</v>
      </c>
      <c r="B2364" s="7" t="str">
        <f>VLOOKUP(VALUE(A2364), 'DICIONÁRIO UF'!$A:$B, 2, FALSE)</f>
        <v>Sergipe</v>
      </c>
      <c r="C2364" s="3">
        <v>48100</v>
      </c>
      <c r="D2364" s="5" t="str">
        <f>VLOOKUP(C2364, 'DICIONÁRIO CNAES'!$A:$B, 2, FALSE)</f>
        <v>Comércio ambulante e feiras</v>
      </c>
      <c r="E2364" s="4">
        <v>18723.156205200001</v>
      </c>
      <c r="F2364" s="4">
        <v>17113838.3145179</v>
      </c>
    </row>
    <row r="2365" spans="1:6" x14ac:dyDescent="0.3">
      <c r="A2365" s="3" t="s">
        <v>18</v>
      </c>
      <c r="B2365" s="7" t="str">
        <f>VLOOKUP(VALUE(A2365), 'DICIONÁRIO UF'!$A:$B, 2, FALSE)</f>
        <v>Sergipe</v>
      </c>
      <c r="C2365" s="3">
        <v>49030</v>
      </c>
      <c r="D2365" s="5" t="str">
        <f>VLOOKUP(C2365, 'DICIONÁRIO CNAES'!$A:$B, 2, FALSE)</f>
        <v>Transporte rodoviário de passageiros</v>
      </c>
      <c r="E2365" s="4">
        <v>19141.397286920001</v>
      </c>
      <c r="F2365" s="4">
        <v>23665552.9169151</v>
      </c>
    </row>
    <row r="2366" spans="1:6" x14ac:dyDescent="0.3">
      <c r="A2366" s="3" t="s">
        <v>18</v>
      </c>
      <c r="B2366" s="7" t="str">
        <f>VLOOKUP(VALUE(A2366), 'DICIONÁRIO UF'!$A:$B, 2, FALSE)</f>
        <v>Sergipe</v>
      </c>
      <c r="C2366" s="3">
        <v>49040</v>
      </c>
      <c r="D2366" s="5" t="str">
        <f>VLOOKUP(C2366, 'DICIONÁRIO CNAES'!$A:$B, 2, FALSE)</f>
        <v>Transporte rodoviário de carga</v>
      </c>
      <c r="E2366" s="4">
        <v>13598.94339205</v>
      </c>
      <c r="F2366" s="4">
        <v>24818132.068147901</v>
      </c>
    </row>
    <row r="2367" spans="1:6" x14ac:dyDescent="0.3">
      <c r="A2367" s="3" t="s">
        <v>18</v>
      </c>
      <c r="B2367" s="7" t="str">
        <f>VLOOKUP(VALUE(A2367), 'DICIONÁRIO UF'!$A:$B, 2, FALSE)</f>
        <v>Sergipe</v>
      </c>
      <c r="C2367" s="3">
        <v>49090</v>
      </c>
      <c r="D2367" s="5" t="str">
        <f>VLOOKUP(C2367, 'DICIONÁRIO CNAES'!$A:$B, 2, FALSE)</f>
        <v>Outros transportes terrestres</v>
      </c>
      <c r="E2367" s="4">
        <v>563.61879049000004</v>
      </c>
      <c r="F2367" s="4">
        <v>8172472.4621050004</v>
      </c>
    </row>
    <row r="2368" spans="1:6" x14ac:dyDescent="0.3">
      <c r="A2368" s="3" t="s">
        <v>18</v>
      </c>
      <c r="B2368" s="7" t="str">
        <f>VLOOKUP(VALUE(A2368), 'DICIONÁRIO UF'!$A:$B, 2, FALSE)</f>
        <v>Sergipe</v>
      </c>
      <c r="C2368" s="3">
        <v>52020</v>
      </c>
      <c r="D2368" s="5" t="str">
        <f>VLOOKUP(C2368, 'DICIONÁRIO CNAES'!$A:$B, 2, FALSE)</f>
        <v xml:space="preserve">Atividades auxiliares dos transportes e atividades relacionadas à organização do transporte de carga </v>
      </c>
      <c r="E2368" s="4">
        <v>1877.90410763</v>
      </c>
      <c r="F2368" s="4">
        <v>2437867.2520469599</v>
      </c>
    </row>
    <row r="2369" spans="1:6" x14ac:dyDescent="0.3">
      <c r="A2369" s="3" t="s">
        <v>18</v>
      </c>
      <c r="B2369" s="7" t="str">
        <f>VLOOKUP(VALUE(A2369), 'DICIONÁRIO UF'!$A:$B, 2, FALSE)</f>
        <v>Sergipe</v>
      </c>
      <c r="C2369" s="3">
        <v>53001</v>
      </c>
      <c r="D2369" s="5" t="str">
        <f>VLOOKUP(C2369, 'DICIONÁRIO CNAES'!$A:$B, 2, FALSE)</f>
        <v>Atividades de Correio</v>
      </c>
      <c r="E2369" s="4">
        <v>649.55833457999995</v>
      </c>
      <c r="F2369" s="4">
        <v>2338410.0044880002</v>
      </c>
    </row>
    <row r="2370" spans="1:6" x14ac:dyDescent="0.3">
      <c r="A2370" s="3" t="s">
        <v>18</v>
      </c>
      <c r="B2370" s="7" t="str">
        <f>VLOOKUP(VALUE(A2370), 'DICIONÁRIO UF'!$A:$B, 2, FALSE)</f>
        <v>Sergipe</v>
      </c>
      <c r="C2370" s="3">
        <v>53002</v>
      </c>
      <c r="D2370" s="5" t="str">
        <f>VLOOKUP(C2370, 'DICIONÁRIO CNAES'!$A:$B, 2, FALSE)</f>
        <v>Atividades de malote e de entrega</v>
      </c>
      <c r="E2370" s="4">
        <v>4453.9024501499998</v>
      </c>
      <c r="F2370" s="4">
        <v>4908562.1439985</v>
      </c>
    </row>
    <row r="2371" spans="1:6" x14ac:dyDescent="0.3">
      <c r="A2371" s="3" t="s">
        <v>18</v>
      </c>
      <c r="B2371" s="7" t="str">
        <f>VLOOKUP(VALUE(A2371), 'DICIONÁRIO UF'!$A:$B, 2, FALSE)</f>
        <v>Sergipe</v>
      </c>
      <c r="C2371" s="3">
        <v>55000</v>
      </c>
      <c r="D2371" s="5" t="str">
        <f>VLOOKUP(C2371, 'DICIONÁRIO CNAES'!$A:$B, 2, FALSE)</f>
        <v>Alojamento</v>
      </c>
      <c r="E2371" s="4">
        <v>1593.6145049199999</v>
      </c>
      <c r="F2371" s="4">
        <v>1581866.140161</v>
      </c>
    </row>
    <row r="2372" spans="1:6" x14ac:dyDescent="0.3">
      <c r="A2372" s="3" t="s">
        <v>18</v>
      </c>
      <c r="B2372" s="7" t="str">
        <f>VLOOKUP(VALUE(A2372), 'DICIONÁRIO UF'!$A:$B, 2, FALSE)</f>
        <v>Sergipe</v>
      </c>
      <c r="C2372" s="3">
        <v>56011</v>
      </c>
      <c r="D2372" s="5" t="str">
        <f>VLOOKUP(C2372, 'DICIONÁRIO CNAES'!$A:$B, 2, FALSE)</f>
        <v>Restaurantes e outros estabelecimentos de serviços de alimentação e bebidas</v>
      </c>
      <c r="E2372" s="4">
        <v>28051.748250659999</v>
      </c>
      <c r="F2372" s="4">
        <v>29716998.572023042</v>
      </c>
    </row>
    <row r="2373" spans="1:6" x14ac:dyDescent="0.3">
      <c r="A2373" s="3" t="s">
        <v>18</v>
      </c>
      <c r="B2373" s="7" t="str">
        <f>VLOOKUP(VALUE(A2373), 'DICIONÁRIO UF'!$A:$B, 2, FALSE)</f>
        <v>Sergipe</v>
      </c>
      <c r="C2373" s="3">
        <v>56012</v>
      </c>
      <c r="D2373" s="5" t="str">
        <f>VLOOKUP(C2373, 'DICIONÁRIO CNAES'!$A:$B, 2, FALSE)</f>
        <v>Serviços de catering, bufê e outros serviços de comida preparada</v>
      </c>
      <c r="E2373" s="4">
        <v>7001.4146294399998</v>
      </c>
      <c r="F2373" s="4">
        <v>6395302.6241825493</v>
      </c>
    </row>
    <row r="2374" spans="1:6" x14ac:dyDescent="0.3">
      <c r="A2374" s="3" t="s">
        <v>18</v>
      </c>
      <c r="B2374" s="7" t="str">
        <f>VLOOKUP(VALUE(A2374), 'DICIONÁRIO UF'!$A:$B, 2, FALSE)</f>
        <v>Sergipe</v>
      </c>
      <c r="C2374" s="3">
        <v>56020</v>
      </c>
      <c r="D2374" s="5" t="str">
        <f>VLOOKUP(C2374, 'DICIONÁRIO CNAES'!$A:$B, 2, FALSE)</f>
        <v>Serviços ambulantes de alimentação</v>
      </c>
      <c r="E2374" s="4">
        <v>4740.56224389</v>
      </c>
      <c r="F2374" s="4">
        <v>4788596.6655216003</v>
      </c>
    </row>
    <row r="2375" spans="1:6" x14ac:dyDescent="0.3">
      <c r="A2375" s="3" t="s">
        <v>18</v>
      </c>
      <c r="B2375" s="7" t="str">
        <f>VLOOKUP(VALUE(A2375), 'DICIONÁRIO UF'!$A:$B, 2, FALSE)</f>
        <v>Sergipe</v>
      </c>
      <c r="C2375" s="3">
        <v>59000</v>
      </c>
      <c r="D2375" s="5" t="str">
        <f>VLOOKUP(C2375, 'DICIONÁRIO CNAES'!$A:$B, 2, FALSE)</f>
        <v>Atividades cinematográficas, produção de vídeos e de programas de televisão, gravação de som e de música</v>
      </c>
      <c r="E2375" s="4">
        <v>267.66369512</v>
      </c>
      <c r="F2375" s="4">
        <v>294430.06463199999</v>
      </c>
    </row>
    <row r="2376" spans="1:6" x14ac:dyDescent="0.3">
      <c r="A2376" s="3" t="s">
        <v>18</v>
      </c>
      <c r="B2376" s="7" t="str">
        <f>VLOOKUP(VALUE(A2376), 'DICIONÁRIO UF'!$A:$B, 2, FALSE)</f>
        <v>Sergipe</v>
      </c>
      <c r="C2376" s="3">
        <v>60002</v>
      </c>
      <c r="D2376" s="5" t="str">
        <f>VLOOKUP(C2376, 'DICIONÁRIO CNAES'!$A:$B, 2, FALSE)</f>
        <v>Atividades de televisão</v>
      </c>
      <c r="E2376" s="4">
        <v>318.48869029999997</v>
      </c>
      <c r="F2376" s="4">
        <v>2229420.8321000002</v>
      </c>
    </row>
    <row r="2377" spans="1:6" x14ac:dyDescent="0.3">
      <c r="A2377" s="3" t="s">
        <v>18</v>
      </c>
      <c r="B2377" s="7" t="str">
        <f>VLOOKUP(VALUE(A2377), 'DICIONÁRIO UF'!$A:$B, 2, FALSE)</f>
        <v>Sergipe</v>
      </c>
      <c r="C2377" s="3">
        <v>61000</v>
      </c>
      <c r="D2377" s="5" t="str">
        <f>VLOOKUP(C2377, 'DICIONÁRIO CNAES'!$A:$B, 2, FALSE)</f>
        <v>Telecomunicações</v>
      </c>
      <c r="E2377" s="4">
        <v>2024.64761477</v>
      </c>
      <c r="F2377" s="4">
        <v>2606844.0898509999</v>
      </c>
    </row>
    <row r="2378" spans="1:6" x14ac:dyDescent="0.3">
      <c r="A2378" s="3" t="s">
        <v>18</v>
      </c>
      <c r="B2378" s="7" t="str">
        <f>VLOOKUP(VALUE(A2378), 'DICIONÁRIO UF'!$A:$B, 2, FALSE)</f>
        <v>Sergipe</v>
      </c>
      <c r="C2378" s="3">
        <v>62000</v>
      </c>
      <c r="D2378" s="5" t="str">
        <f>VLOOKUP(C2378, 'DICIONÁRIO CNAES'!$A:$B, 2, FALSE)</f>
        <v>Atividades dos serviços de tecnologia da informação</v>
      </c>
      <c r="E2378" s="4">
        <v>4735.2200069099999</v>
      </c>
      <c r="F2378" s="4">
        <v>16796058.393376902</v>
      </c>
    </row>
    <row r="2379" spans="1:6" x14ac:dyDescent="0.3">
      <c r="A2379" s="3" t="s">
        <v>18</v>
      </c>
      <c r="B2379" s="7" t="str">
        <f>VLOOKUP(VALUE(A2379), 'DICIONÁRIO UF'!$A:$B, 2, FALSE)</f>
        <v>Sergipe</v>
      </c>
      <c r="C2379" s="3">
        <v>63000</v>
      </c>
      <c r="D2379" s="5" t="str">
        <f>VLOOKUP(C2379, 'DICIONÁRIO CNAES'!$A:$B, 2, FALSE)</f>
        <v>Atividades de prestação de serviços de informação</v>
      </c>
      <c r="E2379" s="4">
        <v>483.44484163999999</v>
      </c>
      <c r="F2379" s="4">
        <v>2139351.2539650002</v>
      </c>
    </row>
    <row r="2380" spans="1:6" x14ac:dyDescent="0.3">
      <c r="A2380" s="3" t="s">
        <v>18</v>
      </c>
      <c r="B2380" s="7" t="str">
        <f>VLOOKUP(VALUE(A2380), 'DICIONÁRIO UF'!$A:$B, 2, FALSE)</f>
        <v>Sergipe</v>
      </c>
      <c r="C2380" s="3">
        <v>64000</v>
      </c>
      <c r="D2380" s="5" t="str">
        <f>VLOOKUP(C2380, 'DICIONÁRIO CNAES'!$A:$B, 2, FALSE)</f>
        <v>Serviços financeiros</v>
      </c>
      <c r="E2380" s="4">
        <v>4783.8476451899996</v>
      </c>
      <c r="F2380" s="4">
        <v>13246160.451801</v>
      </c>
    </row>
    <row r="2381" spans="1:6" x14ac:dyDescent="0.3">
      <c r="A2381" s="3" t="s">
        <v>18</v>
      </c>
      <c r="B2381" s="7" t="str">
        <f>VLOOKUP(VALUE(A2381), 'DICIONÁRIO UF'!$A:$B, 2, FALSE)</f>
        <v>Sergipe</v>
      </c>
      <c r="C2381" s="3">
        <v>66001</v>
      </c>
      <c r="D2381" s="5" t="str">
        <f>VLOOKUP(C2381, 'DICIONÁRIO CNAES'!$A:$B, 2, FALSE)</f>
        <v>Atividades auxiliares dos serviços financeiros</v>
      </c>
      <c r="E2381" s="4">
        <v>584.97444916999996</v>
      </c>
      <c r="F2381" s="4">
        <v>527281.00967499998</v>
      </c>
    </row>
    <row r="2382" spans="1:6" x14ac:dyDescent="0.3">
      <c r="A2382" s="3" t="s">
        <v>18</v>
      </c>
      <c r="B2382" s="7" t="str">
        <f>VLOOKUP(VALUE(A2382), 'DICIONÁRIO UF'!$A:$B, 2, FALSE)</f>
        <v>Sergipe</v>
      </c>
      <c r="C2382" s="3">
        <v>68000</v>
      </c>
      <c r="D2382" s="5" t="str">
        <f>VLOOKUP(C2382, 'DICIONÁRIO CNAES'!$A:$B, 2, FALSE)</f>
        <v>Atividades imobiliárias</v>
      </c>
      <c r="E2382" s="4">
        <v>3871.8682377199998</v>
      </c>
      <c r="F2382" s="4">
        <v>7331499.8035669997</v>
      </c>
    </row>
    <row r="2383" spans="1:6" x14ac:dyDescent="0.3">
      <c r="A2383" s="3" t="s">
        <v>18</v>
      </c>
      <c r="B2383" s="7" t="str">
        <f>VLOOKUP(VALUE(A2383), 'DICIONÁRIO UF'!$A:$B, 2, FALSE)</f>
        <v>Sergipe</v>
      </c>
      <c r="C2383" s="3">
        <v>69000</v>
      </c>
      <c r="D2383" s="5" t="str">
        <f>VLOOKUP(C2383, 'DICIONÁRIO CNAES'!$A:$B, 2, FALSE)</f>
        <v xml:space="preserve">Atividades jurídicas, de contabilidade e de auditoria </v>
      </c>
      <c r="E2383" s="4">
        <v>13264.225664510001</v>
      </c>
      <c r="F2383" s="4">
        <v>41126942.301370502</v>
      </c>
    </row>
    <row r="2384" spans="1:6" x14ac:dyDescent="0.3">
      <c r="A2384" s="3" t="s">
        <v>18</v>
      </c>
      <c r="B2384" s="7" t="str">
        <f>VLOOKUP(VALUE(A2384), 'DICIONÁRIO UF'!$A:$B, 2, FALSE)</f>
        <v>Sergipe</v>
      </c>
      <c r="C2384" s="3">
        <v>70000</v>
      </c>
      <c r="D2384" s="5" t="str">
        <f>VLOOKUP(C2384, 'DICIONÁRIO CNAES'!$A:$B, 2, FALSE)</f>
        <v>Atividades de consultoria em gestão empresarial</v>
      </c>
      <c r="E2384" s="4">
        <v>697.03826002999995</v>
      </c>
      <c r="F2384" s="4">
        <v>1880250.5081730001</v>
      </c>
    </row>
    <row r="2385" spans="1:6" x14ac:dyDescent="0.3">
      <c r="A2385" s="3" t="s">
        <v>18</v>
      </c>
      <c r="B2385" s="7" t="str">
        <f>VLOOKUP(VALUE(A2385), 'DICIONÁRIO UF'!$A:$B, 2, FALSE)</f>
        <v>Sergipe</v>
      </c>
      <c r="C2385" s="3">
        <v>71000</v>
      </c>
      <c r="D2385" s="5" t="str">
        <f>VLOOKUP(C2385, 'DICIONÁRIO CNAES'!$A:$B, 2, FALSE)</f>
        <v>Serviços de arquitetura e engenharia e atividades técnicas relacionadas; Testes e análises técnicas</v>
      </c>
      <c r="E2385" s="4">
        <v>4121.8749930100003</v>
      </c>
      <c r="F2385" s="4">
        <v>10528134.5465327</v>
      </c>
    </row>
    <row r="2386" spans="1:6" x14ac:dyDescent="0.3">
      <c r="A2386" s="3" t="s">
        <v>18</v>
      </c>
      <c r="B2386" s="7" t="str">
        <f>VLOOKUP(VALUE(A2386), 'DICIONÁRIO UF'!$A:$B, 2, FALSE)</f>
        <v>Sergipe</v>
      </c>
      <c r="C2386" s="3">
        <v>73010</v>
      </c>
      <c r="D2386" s="5" t="str">
        <f>VLOOKUP(C2386, 'DICIONÁRIO CNAES'!$A:$B, 2, FALSE)</f>
        <v>Publicidade</v>
      </c>
      <c r="E2386" s="4">
        <v>1812.2260375999999</v>
      </c>
      <c r="F2386" s="4">
        <v>2867363.886217</v>
      </c>
    </row>
    <row r="2387" spans="1:6" x14ac:dyDescent="0.3">
      <c r="A2387" s="3" t="s">
        <v>18</v>
      </c>
      <c r="B2387" s="7" t="str">
        <f>VLOOKUP(VALUE(A2387), 'DICIONÁRIO UF'!$A:$B, 2, FALSE)</f>
        <v>Sergipe</v>
      </c>
      <c r="C2387" s="3">
        <v>74000</v>
      </c>
      <c r="D2387" s="5" t="str">
        <f>VLOOKUP(C2387, 'DICIONÁRIO CNAES'!$A:$B, 2, FALSE)</f>
        <v>Outras atividades profissionais, científicas e técnicas não especificadas anteriormente</v>
      </c>
      <c r="E2387" s="4">
        <v>2963.9354049899998</v>
      </c>
      <c r="F2387" s="4">
        <v>5229572.8125649998</v>
      </c>
    </row>
    <row r="2388" spans="1:6" x14ac:dyDescent="0.3">
      <c r="A2388" s="3" t="s">
        <v>18</v>
      </c>
      <c r="B2388" s="7" t="str">
        <f>VLOOKUP(VALUE(A2388), 'DICIONÁRIO UF'!$A:$B, 2, FALSE)</f>
        <v>Sergipe</v>
      </c>
      <c r="C2388" s="3">
        <v>75000</v>
      </c>
      <c r="D2388" s="5" t="str">
        <f>VLOOKUP(C2388, 'DICIONÁRIO CNAES'!$A:$B, 2, FALSE)</f>
        <v>Atividades veterinárias</v>
      </c>
      <c r="E2388" s="4">
        <v>1212.5158229399999</v>
      </c>
      <c r="F2388" s="4">
        <v>2906538.1354100001</v>
      </c>
    </row>
    <row r="2389" spans="1:6" x14ac:dyDescent="0.3">
      <c r="A2389" s="3" t="s">
        <v>18</v>
      </c>
      <c r="B2389" s="7" t="str">
        <f>VLOOKUP(VALUE(A2389), 'DICIONÁRIO UF'!$A:$B, 2, FALSE)</f>
        <v>Sergipe</v>
      </c>
      <c r="C2389" s="3">
        <v>77010</v>
      </c>
      <c r="D2389" s="5" t="str">
        <f>VLOOKUP(C2389, 'DICIONÁRIO CNAES'!$A:$B, 2, FALSE)</f>
        <v>Aluguel de objetos pessoais e domésticos</v>
      </c>
      <c r="E2389" s="4">
        <v>497.59712128000001</v>
      </c>
      <c r="F2389" s="4">
        <v>199038.848512</v>
      </c>
    </row>
    <row r="2390" spans="1:6" x14ac:dyDescent="0.3">
      <c r="A2390" s="3" t="s">
        <v>18</v>
      </c>
      <c r="B2390" s="7" t="str">
        <f>VLOOKUP(VALUE(A2390), 'DICIONÁRIO UF'!$A:$B, 2, FALSE)</f>
        <v>Sergipe</v>
      </c>
      <c r="C2390" s="3">
        <v>78000</v>
      </c>
      <c r="D2390" s="5" t="str">
        <f>VLOOKUP(C2390, 'DICIONÁRIO CNAES'!$A:$B, 2, FALSE)</f>
        <v>Seleção, agenciamento e locação de mão-de-obra</v>
      </c>
      <c r="E2390" s="4">
        <v>14267.643541330001</v>
      </c>
      <c r="F2390" s="4">
        <v>22312238.424667101</v>
      </c>
    </row>
    <row r="2391" spans="1:6" x14ac:dyDescent="0.3">
      <c r="A2391" s="3" t="s">
        <v>18</v>
      </c>
      <c r="B2391" s="7" t="str">
        <f>VLOOKUP(VALUE(A2391), 'DICIONÁRIO UF'!$A:$B, 2, FALSE)</f>
        <v>Sergipe</v>
      </c>
      <c r="C2391" s="3">
        <v>79000</v>
      </c>
      <c r="D2391" s="5" t="str">
        <f>VLOOKUP(C2391, 'DICIONÁRIO CNAES'!$A:$B, 2, FALSE)</f>
        <v>Agências de viagens, operadores turísticos e serviços de reservas</v>
      </c>
      <c r="E2391" s="4">
        <v>1338.53005717</v>
      </c>
      <c r="F2391" s="4">
        <v>25717007.809057999</v>
      </c>
    </row>
    <row r="2392" spans="1:6" x14ac:dyDescent="0.3">
      <c r="A2392" s="3" t="s">
        <v>18</v>
      </c>
      <c r="B2392" s="7" t="str">
        <f>VLOOKUP(VALUE(A2392), 'DICIONÁRIO UF'!$A:$B, 2, FALSE)</f>
        <v>Sergipe</v>
      </c>
      <c r="C2392" s="3">
        <v>80000</v>
      </c>
      <c r="D2392" s="5" t="str">
        <f>VLOOKUP(C2392, 'DICIONÁRIO CNAES'!$A:$B, 2, FALSE)</f>
        <v>Atividades de vigilância, segurança, transporte de valores e investigação</v>
      </c>
      <c r="E2392" s="4">
        <v>4495.41697286</v>
      </c>
      <c r="F2392" s="4">
        <v>7191880.5333599998</v>
      </c>
    </row>
    <row r="2393" spans="1:6" x14ac:dyDescent="0.3">
      <c r="A2393" s="3" t="s">
        <v>18</v>
      </c>
      <c r="B2393" s="7" t="str">
        <f>VLOOKUP(VALUE(A2393), 'DICIONÁRIO UF'!$A:$B, 2, FALSE)</f>
        <v>Sergipe</v>
      </c>
      <c r="C2393" s="3">
        <v>81011</v>
      </c>
      <c r="D2393" s="5" t="str">
        <f>VLOOKUP(C2393, 'DICIONÁRIO CNAES'!$A:$B, 2, FALSE)</f>
        <v>Serviços de limpeza e de apoio a edifícios, exceto condomínios prediais</v>
      </c>
      <c r="E2393" s="4">
        <v>7815.6523118799996</v>
      </c>
      <c r="F2393" s="4">
        <v>8412449.3746045008</v>
      </c>
    </row>
    <row r="2394" spans="1:6" x14ac:dyDescent="0.3">
      <c r="A2394" s="3" t="s">
        <v>18</v>
      </c>
      <c r="B2394" s="7" t="str">
        <f>VLOOKUP(VALUE(A2394), 'DICIONÁRIO UF'!$A:$B, 2, FALSE)</f>
        <v>Sergipe</v>
      </c>
      <c r="C2394" s="3">
        <v>81012</v>
      </c>
      <c r="D2394" s="5" t="str">
        <f>VLOOKUP(C2394, 'DICIONÁRIO CNAES'!$A:$B, 2, FALSE)</f>
        <v>Condomínios prediais</v>
      </c>
      <c r="E2394" s="4">
        <v>9914.3691227100007</v>
      </c>
      <c r="F2394" s="4">
        <v>14915998.929788999</v>
      </c>
    </row>
    <row r="2395" spans="1:6" x14ac:dyDescent="0.3">
      <c r="A2395" s="3" t="s">
        <v>18</v>
      </c>
      <c r="B2395" s="7" t="str">
        <f>VLOOKUP(VALUE(A2395), 'DICIONÁRIO UF'!$A:$B, 2, FALSE)</f>
        <v>Sergipe</v>
      </c>
      <c r="C2395" s="3">
        <v>81020</v>
      </c>
      <c r="D2395" s="5" t="str">
        <f>VLOOKUP(C2395, 'DICIONÁRIO CNAES'!$A:$B, 2, FALSE)</f>
        <v>Atividades paisagísticas</v>
      </c>
      <c r="E2395" s="4">
        <v>354.49848484</v>
      </c>
      <c r="F2395" s="4">
        <v>1240744.6969399999</v>
      </c>
    </row>
    <row r="2396" spans="1:6" x14ac:dyDescent="0.3">
      <c r="A2396" s="3" t="s">
        <v>18</v>
      </c>
      <c r="B2396" s="7" t="str">
        <f>VLOOKUP(VALUE(A2396), 'DICIONÁRIO UF'!$A:$B, 2, FALSE)</f>
        <v>Sergipe</v>
      </c>
      <c r="C2396" s="3">
        <v>82001</v>
      </c>
      <c r="D2396" s="5" t="str">
        <f>VLOOKUP(C2396, 'DICIONÁRIO CNAES'!$A:$B, 2, FALSE)</f>
        <v>Serviços de escritório e apoio administrativo</v>
      </c>
      <c r="E2396" s="4">
        <v>664.74744856999996</v>
      </c>
      <c r="F2396" s="4">
        <v>891169.83167500002</v>
      </c>
    </row>
    <row r="2397" spans="1:6" x14ac:dyDescent="0.3">
      <c r="A2397" s="3" t="s">
        <v>18</v>
      </c>
      <c r="B2397" s="7" t="str">
        <f>VLOOKUP(VALUE(A2397), 'DICIONÁRIO UF'!$A:$B, 2, FALSE)</f>
        <v>Sergipe</v>
      </c>
      <c r="C2397" s="3">
        <v>82002</v>
      </c>
      <c r="D2397" s="5" t="str">
        <f>VLOOKUP(C2397, 'DICIONÁRIO CNAES'!$A:$B, 2, FALSE)</f>
        <v>Atividades de teleatendimento</v>
      </c>
      <c r="E2397" s="4">
        <v>4903.87788249</v>
      </c>
      <c r="F2397" s="4">
        <v>5502363.6262499997</v>
      </c>
    </row>
    <row r="2398" spans="1:6" x14ac:dyDescent="0.3">
      <c r="A2398" s="3" t="s">
        <v>18</v>
      </c>
      <c r="B2398" s="7" t="str">
        <f>VLOOKUP(VALUE(A2398), 'DICIONÁRIO UF'!$A:$B, 2, FALSE)</f>
        <v>Sergipe</v>
      </c>
      <c r="C2398" s="3">
        <v>82003</v>
      </c>
      <c r="D2398" s="5" t="str">
        <f>VLOOKUP(C2398, 'DICIONÁRIO CNAES'!$A:$B, 2, FALSE)</f>
        <v>Atividades de organização de eventos, exceto culturais e esportivos</v>
      </c>
      <c r="E2398" s="4">
        <v>1353.13155153</v>
      </c>
      <c r="F2398" s="4">
        <v>270626.31030600012</v>
      </c>
    </row>
    <row r="2399" spans="1:6" x14ac:dyDescent="0.3">
      <c r="A2399" s="3" t="s">
        <v>18</v>
      </c>
      <c r="B2399" s="7" t="str">
        <f>VLOOKUP(VALUE(A2399), 'DICIONÁRIO UF'!$A:$B, 2, FALSE)</f>
        <v>Sergipe</v>
      </c>
      <c r="C2399" s="3">
        <v>82009</v>
      </c>
      <c r="D2399" s="5" t="str">
        <f>VLOOKUP(C2399, 'DICIONÁRIO CNAES'!$A:$B, 2, FALSE)</f>
        <v>Outras atividades de serviços prestados principalmente às empresas</v>
      </c>
      <c r="E2399" s="4">
        <v>1454.0553539</v>
      </c>
      <c r="F2399" s="4">
        <v>2112004.6754140002</v>
      </c>
    </row>
    <row r="2400" spans="1:6" x14ac:dyDescent="0.3">
      <c r="A2400" s="3" t="s">
        <v>18</v>
      </c>
      <c r="B2400" s="7" t="str">
        <f>VLOOKUP(VALUE(A2400), 'DICIONÁRIO UF'!$A:$B, 2, FALSE)</f>
        <v>Sergipe</v>
      </c>
      <c r="C2400" s="3">
        <v>84011</v>
      </c>
      <c r="D2400" s="5" t="str">
        <f>VLOOKUP(C2400, 'DICIONÁRIO CNAES'!$A:$B, 2, FALSE)</f>
        <v>Administração publica e regulação da política econômica e social - Federal</v>
      </c>
      <c r="E2400" s="4">
        <v>4314.1579520100004</v>
      </c>
      <c r="F2400" s="4">
        <v>56053797.110237703</v>
      </c>
    </row>
    <row r="2401" spans="1:6" x14ac:dyDescent="0.3">
      <c r="A2401" s="3" t="s">
        <v>18</v>
      </c>
      <c r="B2401" s="7" t="str">
        <f>VLOOKUP(VALUE(A2401), 'DICIONÁRIO UF'!$A:$B, 2, FALSE)</f>
        <v>Sergipe</v>
      </c>
      <c r="C2401" s="3">
        <v>84012</v>
      </c>
      <c r="D2401" s="5" t="str">
        <f>VLOOKUP(C2401, 'DICIONÁRIO CNAES'!$A:$B, 2, FALSE)</f>
        <v>Administração publica e regulação da política econômica e social - Estadual</v>
      </c>
      <c r="E2401" s="4">
        <v>6319.6338562499996</v>
      </c>
      <c r="F2401" s="4">
        <v>34707376.192554422</v>
      </c>
    </row>
    <row r="2402" spans="1:6" x14ac:dyDescent="0.3">
      <c r="A2402" s="3" t="s">
        <v>18</v>
      </c>
      <c r="B2402" s="7" t="str">
        <f>VLOOKUP(VALUE(A2402), 'DICIONÁRIO UF'!$A:$B, 2, FALSE)</f>
        <v>Sergipe</v>
      </c>
      <c r="C2402" s="3">
        <v>84013</v>
      </c>
      <c r="D2402" s="5" t="str">
        <f>VLOOKUP(C2402, 'DICIONÁRIO CNAES'!$A:$B, 2, FALSE)</f>
        <v>Administração publica e regulação da política econômica e social - Municipal</v>
      </c>
      <c r="E2402" s="4">
        <v>29679.970249540002</v>
      </c>
      <c r="F2402" s="4">
        <v>74468113.151749358</v>
      </c>
    </row>
    <row r="2403" spans="1:6" x14ac:dyDescent="0.3">
      <c r="A2403" s="3" t="s">
        <v>18</v>
      </c>
      <c r="B2403" s="7" t="str">
        <f>VLOOKUP(VALUE(A2403), 'DICIONÁRIO UF'!$A:$B, 2, FALSE)</f>
        <v>Sergipe</v>
      </c>
      <c r="C2403" s="3">
        <v>84014</v>
      </c>
      <c r="D2403" s="5" t="str">
        <f>VLOOKUP(C2403, 'DICIONÁRIO CNAES'!$A:$B, 2, FALSE)</f>
        <v>Defesa</v>
      </c>
      <c r="E2403" s="4">
        <v>1740.24380935</v>
      </c>
      <c r="F2403" s="4">
        <v>2432835.7074139998</v>
      </c>
    </row>
    <row r="2404" spans="1:6" x14ac:dyDescent="0.3">
      <c r="A2404" s="3" t="s">
        <v>18</v>
      </c>
      <c r="B2404" s="7" t="str">
        <f>VLOOKUP(VALUE(A2404), 'DICIONÁRIO UF'!$A:$B, 2, FALSE)</f>
        <v>Sergipe</v>
      </c>
      <c r="C2404" s="3">
        <v>84015</v>
      </c>
      <c r="D2404" s="5" t="str">
        <f>VLOOKUP(C2404, 'DICIONÁRIO CNAES'!$A:$B, 2, FALSE)</f>
        <v>Outros serviços coletivos prestados pela administração pública - Federal</v>
      </c>
      <c r="E2404" s="4">
        <v>3243.9558560300002</v>
      </c>
      <c r="F2404" s="4">
        <v>48002666.680550002</v>
      </c>
    </row>
    <row r="2405" spans="1:6" x14ac:dyDescent="0.3">
      <c r="A2405" s="3" t="s">
        <v>18</v>
      </c>
      <c r="B2405" s="7" t="str">
        <f>VLOOKUP(VALUE(A2405), 'DICIONÁRIO UF'!$A:$B, 2, FALSE)</f>
        <v>Sergipe</v>
      </c>
      <c r="C2405" s="3">
        <v>84016</v>
      </c>
      <c r="D2405" s="5" t="str">
        <f>VLOOKUP(C2405, 'DICIONÁRIO CNAES'!$A:$B, 2, FALSE)</f>
        <v>Outros serviços coletivos prestados pela administração pública - Estadual</v>
      </c>
      <c r="E2405" s="4">
        <v>10187.16151435</v>
      </c>
      <c r="F2405" s="4">
        <v>56131250.171763003</v>
      </c>
    </row>
    <row r="2406" spans="1:6" x14ac:dyDescent="0.3">
      <c r="A2406" s="3" t="s">
        <v>18</v>
      </c>
      <c r="B2406" s="7" t="str">
        <f>VLOOKUP(VALUE(A2406), 'DICIONÁRIO UF'!$A:$B, 2, FALSE)</f>
        <v>Sergipe</v>
      </c>
      <c r="C2406" s="3">
        <v>84017</v>
      </c>
      <c r="D2406" s="5" t="str">
        <f>VLOOKUP(C2406, 'DICIONÁRIO CNAES'!$A:$B, 2, FALSE)</f>
        <v>Outros serviços coletivos prestados pela administração pública - Municipal</v>
      </c>
      <c r="E2406" s="4">
        <v>1804.1101465500001</v>
      </c>
      <c r="F2406" s="4">
        <v>5556432.3568230001</v>
      </c>
    </row>
    <row r="2407" spans="1:6" x14ac:dyDescent="0.3">
      <c r="A2407" s="3" t="s">
        <v>18</v>
      </c>
      <c r="B2407" s="7" t="str">
        <f>VLOOKUP(VALUE(A2407), 'DICIONÁRIO UF'!$A:$B, 2, FALSE)</f>
        <v>Sergipe</v>
      </c>
      <c r="C2407" s="3">
        <v>85011</v>
      </c>
      <c r="D2407" s="5" t="str">
        <f>VLOOKUP(C2407, 'DICIONÁRIO CNAES'!$A:$B, 2, FALSE)</f>
        <v>Creche</v>
      </c>
      <c r="E2407" s="4">
        <v>1967.5592451800001</v>
      </c>
      <c r="F2407" s="4">
        <v>2696720.0530500002</v>
      </c>
    </row>
    <row r="2408" spans="1:6" x14ac:dyDescent="0.3">
      <c r="A2408" s="3" t="s">
        <v>18</v>
      </c>
      <c r="B2408" s="7" t="str">
        <f>VLOOKUP(VALUE(A2408), 'DICIONÁRIO UF'!$A:$B, 2, FALSE)</f>
        <v>Sergipe</v>
      </c>
      <c r="C2408" s="3">
        <v>85012</v>
      </c>
      <c r="D2408" s="5" t="str">
        <f>VLOOKUP(C2408, 'DICIONÁRIO CNAES'!$A:$B, 2, FALSE)</f>
        <v>Pré-escola e ensino fundamental</v>
      </c>
      <c r="E2408" s="4">
        <v>31526.325248860001</v>
      </c>
      <c r="F2408" s="4">
        <v>78307545.259398296</v>
      </c>
    </row>
    <row r="2409" spans="1:6" x14ac:dyDescent="0.3">
      <c r="A2409" s="3" t="s">
        <v>18</v>
      </c>
      <c r="B2409" s="7" t="str">
        <f>VLOOKUP(VALUE(A2409), 'DICIONÁRIO UF'!$A:$B, 2, FALSE)</f>
        <v>Sergipe</v>
      </c>
      <c r="C2409" s="3">
        <v>85013</v>
      </c>
      <c r="D2409" s="5" t="str">
        <f>VLOOKUP(C2409, 'DICIONÁRIO CNAES'!$A:$B, 2, FALSE)</f>
        <v>Ensino médio</v>
      </c>
      <c r="E2409" s="4">
        <v>10259.14656533</v>
      </c>
      <c r="F2409" s="4">
        <v>30101171.020090699</v>
      </c>
    </row>
    <row r="2410" spans="1:6" x14ac:dyDescent="0.3">
      <c r="A2410" s="3" t="s">
        <v>18</v>
      </c>
      <c r="B2410" s="7" t="str">
        <f>VLOOKUP(VALUE(A2410), 'DICIONÁRIO UF'!$A:$B, 2, FALSE)</f>
        <v>Sergipe</v>
      </c>
      <c r="C2410" s="3">
        <v>85014</v>
      </c>
      <c r="D2410" s="5" t="str">
        <f>VLOOKUP(C2410, 'DICIONÁRIO CNAES'!$A:$B, 2, FALSE)</f>
        <v>Educação superior</v>
      </c>
      <c r="E2410" s="4">
        <v>8383.4128396199994</v>
      </c>
      <c r="F2410" s="4">
        <v>70814356.686445996</v>
      </c>
    </row>
    <row r="2411" spans="1:6" x14ac:dyDescent="0.3">
      <c r="A2411" s="3" t="s">
        <v>18</v>
      </c>
      <c r="B2411" s="7" t="str">
        <f>VLOOKUP(VALUE(A2411), 'DICIONÁRIO UF'!$A:$B, 2, FALSE)</f>
        <v>Sergipe</v>
      </c>
      <c r="C2411" s="3">
        <v>85029</v>
      </c>
      <c r="D2411" s="5" t="str">
        <f>VLOOKUP(C2411, 'DICIONÁRIO CNAES'!$A:$B, 2, FALSE)</f>
        <v>Outras atividades de ensino</v>
      </c>
      <c r="E2411" s="4">
        <v>7009.5326204100002</v>
      </c>
      <c r="F2411" s="4">
        <v>8242122.2362417001</v>
      </c>
    </row>
    <row r="2412" spans="1:6" x14ac:dyDescent="0.3">
      <c r="A2412" s="3" t="s">
        <v>18</v>
      </c>
      <c r="B2412" s="7" t="str">
        <f>VLOOKUP(VALUE(A2412), 'DICIONÁRIO UF'!$A:$B, 2, FALSE)</f>
        <v>Sergipe</v>
      </c>
      <c r="C2412" s="3">
        <v>86001</v>
      </c>
      <c r="D2412" s="5" t="str">
        <f>VLOOKUP(C2412, 'DICIONÁRIO CNAES'!$A:$B, 2, FALSE)</f>
        <v>Atividades de atendimento hospitalar</v>
      </c>
      <c r="E2412" s="4">
        <v>24471.45891098</v>
      </c>
      <c r="F2412" s="4">
        <v>116538659.31375679</v>
      </c>
    </row>
    <row r="2413" spans="1:6" x14ac:dyDescent="0.3">
      <c r="A2413" s="3" t="s">
        <v>18</v>
      </c>
      <c r="B2413" s="7" t="str">
        <f>VLOOKUP(VALUE(A2413), 'DICIONÁRIO UF'!$A:$B, 2, FALSE)</f>
        <v>Sergipe</v>
      </c>
      <c r="C2413" s="3">
        <v>86002</v>
      </c>
      <c r="D2413" s="5" t="str">
        <f>VLOOKUP(C2413, 'DICIONÁRIO CNAES'!$A:$B, 2, FALSE)</f>
        <v>Atividades de atenção ambulatorial executadas por médicos e odontólogos</v>
      </c>
      <c r="E2413" s="4">
        <v>19152.145088630001</v>
      </c>
      <c r="F2413" s="4">
        <v>37197051.845402241</v>
      </c>
    </row>
    <row r="2414" spans="1:6" x14ac:dyDescent="0.3">
      <c r="A2414" s="3" t="s">
        <v>18</v>
      </c>
      <c r="B2414" s="7" t="str">
        <f>VLOOKUP(VALUE(A2414), 'DICIONÁRIO UF'!$A:$B, 2, FALSE)</f>
        <v>Sergipe</v>
      </c>
      <c r="C2414" s="3">
        <v>86003</v>
      </c>
      <c r="D2414" s="5" t="str">
        <f>VLOOKUP(C2414, 'DICIONÁRIO CNAES'!$A:$B, 2, FALSE)</f>
        <v>Atividades de serviços de complementação diagnóstica e terapêutica</v>
      </c>
      <c r="E2414" s="4">
        <v>1024.3111273899999</v>
      </c>
      <c r="F2414" s="4">
        <v>1303747.2587445001</v>
      </c>
    </row>
    <row r="2415" spans="1:6" x14ac:dyDescent="0.3">
      <c r="A2415" s="3" t="s">
        <v>18</v>
      </c>
      <c r="B2415" s="7" t="str">
        <f>VLOOKUP(VALUE(A2415), 'DICIONÁRIO UF'!$A:$B, 2, FALSE)</f>
        <v>Sergipe</v>
      </c>
      <c r="C2415" s="3">
        <v>86004</v>
      </c>
      <c r="D2415" s="5" t="str">
        <f>VLOOKUP(C2415, 'DICIONÁRIO CNAES'!$A:$B, 2, FALSE)</f>
        <v>Atividades de profissionais da área de saúde, exceto médicos e odontólogos</v>
      </c>
      <c r="E2415" s="4">
        <v>3422.0011929299999</v>
      </c>
      <c r="F2415" s="4">
        <v>8227903.4576989999</v>
      </c>
    </row>
    <row r="2416" spans="1:6" x14ac:dyDescent="0.3">
      <c r="A2416" s="3" t="s">
        <v>18</v>
      </c>
      <c r="B2416" s="7" t="str">
        <f>VLOOKUP(VALUE(A2416), 'DICIONÁRIO UF'!$A:$B, 2, FALSE)</f>
        <v>Sergipe</v>
      </c>
      <c r="C2416" s="3">
        <v>86009</v>
      </c>
      <c r="D2416" s="5" t="str">
        <f>VLOOKUP(C2416, 'DICIONÁRIO CNAES'!$A:$B, 2, FALSE)</f>
        <v>Atividades de atenção à saúde humana não especificadas anteriormente</v>
      </c>
      <c r="E2416" s="4">
        <v>232.40319638</v>
      </c>
      <c r="F2416" s="4">
        <v>1037912.67503308</v>
      </c>
    </row>
    <row r="2417" spans="1:6" x14ac:dyDescent="0.3">
      <c r="A2417" s="3" t="s">
        <v>18</v>
      </c>
      <c r="B2417" s="7" t="str">
        <f>VLOOKUP(VALUE(A2417), 'DICIONÁRIO UF'!$A:$B, 2, FALSE)</f>
        <v>Sergipe</v>
      </c>
      <c r="C2417" s="3">
        <v>87000</v>
      </c>
      <c r="D2417" s="5" t="str">
        <f>VLOOKUP(C2417, 'DICIONÁRIO CNAES'!$A:$B, 2, FALSE)</f>
        <v>Atividades de assistência à saude humana integradas com assistencia social, inclusive prestadas em residencias</v>
      </c>
      <c r="E2417" s="4">
        <v>3630.64114445</v>
      </c>
      <c r="F2417" s="4">
        <v>29087362.8311648</v>
      </c>
    </row>
    <row r="2418" spans="1:6" x14ac:dyDescent="0.3">
      <c r="A2418" s="3" t="s">
        <v>18</v>
      </c>
      <c r="B2418" s="7" t="str">
        <f>VLOOKUP(VALUE(A2418), 'DICIONÁRIO UF'!$A:$B, 2, FALSE)</f>
        <v>Sergipe</v>
      </c>
      <c r="C2418" s="3">
        <v>88000</v>
      </c>
      <c r="D2418" s="5" t="str">
        <f>VLOOKUP(C2418, 'DICIONÁRIO CNAES'!$A:$B, 2, FALSE)</f>
        <v>Serviços de assistência social sem alojamento</v>
      </c>
      <c r="E2418" s="4">
        <v>499.90128074</v>
      </c>
      <c r="F2418" s="4">
        <v>895879.092955</v>
      </c>
    </row>
    <row r="2419" spans="1:6" x14ac:dyDescent="0.3">
      <c r="A2419" s="3" t="s">
        <v>18</v>
      </c>
      <c r="B2419" s="7" t="str">
        <f>VLOOKUP(VALUE(A2419), 'DICIONÁRIO UF'!$A:$B, 2, FALSE)</f>
        <v>Sergipe</v>
      </c>
      <c r="C2419" s="3">
        <v>90000</v>
      </c>
      <c r="D2419" s="5" t="str">
        <f>VLOOKUP(C2419, 'DICIONÁRIO CNAES'!$A:$B, 2, FALSE)</f>
        <v>Atividades artísticas, criativas e de espetáculos</v>
      </c>
      <c r="E2419" s="4">
        <v>682.43276248000006</v>
      </c>
      <c r="F2419" s="4">
        <v>745498.18437999999</v>
      </c>
    </row>
    <row r="2420" spans="1:6" x14ac:dyDescent="0.3">
      <c r="A2420" s="3" t="s">
        <v>18</v>
      </c>
      <c r="B2420" s="7" t="str">
        <f>VLOOKUP(VALUE(A2420), 'DICIONÁRIO UF'!$A:$B, 2, FALSE)</f>
        <v>Sergipe</v>
      </c>
      <c r="C2420" s="3">
        <v>91000</v>
      </c>
      <c r="D2420" s="5" t="str">
        <f>VLOOKUP(C2420, 'DICIONÁRIO CNAES'!$A:$B, 2, FALSE)</f>
        <v>Atividades ligadas ao patrimônio cultural e ambiental</v>
      </c>
      <c r="E2420" s="4">
        <v>557.26032992</v>
      </c>
      <c r="F2420" s="4">
        <v>3198738.52354</v>
      </c>
    </row>
    <row r="2421" spans="1:6" x14ac:dyDescent="0.3">
      <c r="A2421" s="3" t="s">
        <v>18</v>
      </c>
      <c r="B2421" s="7" t="str">
        <f>VLOOKUP(VALUE(A2421), 'DICIONÁRIO UF'!$A:$B, 2, FALSE)</f>
        <v>Sergipe</v>
      </c>
      <c r="C2421" s="3">
        <v>92000</v>
      </c>
      <c r="D2421" s="5" t="str">
        <f>VLOOKUP(C2421, 'DICIONÁRIO CNAES'!$A:$B, 2, FALSE)</f>
        <v>Atividades de exploração de jogos de azar e apostas</v>
      </c>
      <c r="E2421" s="4">
        <v>3858.8301701400001</v>
      </c>
      <c r="F2421" s="4">
        <v>1630572.174748</v>
      </c>
    </row>
    <row r="2422" spans="1:6" x14ac:dyDescent="0.3">
      <c r="A2422" s="3" t="s">
        <v>18</v>
      </c>
      <c r="B2422" s="7" t="str">
        <f>VLOOKUP(VALUE(A2422), 'DICIONÁRIO UF'!$A:$B, 2, FALSE)</f>
        <v>Sergipe</v>
      </c>
      <c r="C2422" s="3">
        <v>93011</v>
      </c>
      <c r="D2422" s="5" t="str">
        <f>VLOOKUP(C2422, 'DICIONÁRIO CNAES'!$A:$B, 2, FALSE)</f>
        <v>Atividades esportivas</v>
      </c>
      <c r="E2422" s="4">
        <v>1726.11231071</v>
      </c>
      <c r="F2422" s="4">
        <v>3856203.7713299999</v>
      </c>
    </row>
    <row r="2423" spans="1:6" x14ac:dyDescent="0.3">
      <c r="A2423" s="3" t="s">
        <v>18</v>
      </c>
      <c r="B2423" s="7" t="str">
        <f>VLOOKUP(VALUE(A2423), 'DICIONÁRIO UF'!$A:$B, 2, FALSE)</f>
        <v>Sergipe</v>
      </c>
      <c r="C2423" s="3">
        <v>93012</v>
      </c>
      <c r="D2423" s="5" t="str">
        <f>VLOOKUP(C2423, 'DICIONÁRIO CNAES'!$A:$B, 2, FALSE)</f>
        <v>Atividades de condicionamento físico</v>
      </c>
      <c r="E2423" s="4">
        <v>5733.0538610900003</v>
      </c>
      <c r="F2423" s="4">
        <v>12183699.802407</v>
      </c>
    </row>
    <row r="2424" spans="1:6" x14ac:dyDescent="0.3">
      <c r="A2424" s="3" t="s">
        <v>18</v>
      </c>
      <c r="B2424" s="7" t="str">
        <f>VLOOKUP(VALUE(A2424), 'DICIONÁRIO UF'!$A:$B, 2, FALSE)</f>
        <v>Sergipe</v>
      </c>
      <c r="C2424" s="3">
        <v>93020</v>
      </c>
      <c r="D2424" s="5" t="str">
        <f>VLOOKUP(C2424, 'DICIONÁRIO CNAES'!$A:$B, 2, FALSE)</f>
        <v>Atividades de recreação e lazer</v>
      </c>
      <c r="E2424" s="4">
        <v>1703.16780733</v>
      </c>
      <c r="F2424" s="4">
        <v>1404554.2116419999</v>
      </c>
    </row>
    <row r="2425" spans="1:6" x14ac:dyDescent="0.3">
      <c r="A2425" s="3" t="s">
        <v>18</v>
      </c>
      <c r="B2425" s="7" t="str">
        <f>VLOOKUP(VALUE(A2425), 'DICIONÁRIO UF'!$A:$B, 2, FALSE)</f>
        <v>Sergipe</v>
      </c>
      <c r="C2425" s="3">
        <v>94010</v>
      </c>
      <c r="D2425" s="5" t="str">
        <f>VLOOKUP(C2425, 'DICIONÁRIO CNAES'!$A:$B, 2, FALSE)</f>
        <v>Atividades de organizações associativas patronais, empresariais e profissionais</v>
      </c>
      <c r="E2425" s="4">
        <v>341.37624383000002</v>
      </c>
      <c r="F2425" s="4">
        <v>314574.95574300003</v>
      </c>
    </row>
    <row r="2426" spans="1:6" x14ac:dyDescent="0.3">
      <c r="A2426" s="3" t="s">
        <v>18</v>
      </c>
      <c r="B2426" s="7" t="str">
        <f>VLOOKUP(VALUE(A2426), 'DICIONÁRIO UF'!$A:$B, 2, FALSE)</f>
        <v>Sergipe</v>
      </c>
      <c r="C2426" s="3">
        <v>94020</v>
      </c>
      <c r="D2426" s="5" t="str">
        <f>VLOOKUP(C2426, 'DICIONÁRIO CNAES'!$A:$B, 2, FALSE)</f>
        <v>Atividades de organizações sindicais</v>
      </c>
      <c r="E2426" s="4">
        <v>1829.3407044999999</v>
      </c>
      <c r="F2426" s="4">
        <v>1901945.06969</v>
      </c>
    </row>
    <row r="2427" spans="1:6" x14ac:dyDescent="0.3">
      <c r="A2427" s="3" t="s">
        <v>18</v>
      </c>
      <c r="B2427" s="7" t="str">
        <f>VLOOKUP(VALUE(A2427), 'DICIONÁRIO UF'!$A:$B, 2, FALSE)</f>
        <v>Sergipe</v>
      </c>
      <c r="C2427" s="3">
        <v>94091</v>
      </c>
      <c r="D2427" s="5" t="str">
        <f>VLOOKUP(C2427, 'DICIONÁRIO CNAES'!$A:$B, 2, FALSE)</f>
        <v>Atividades de organizações religiosas e filosóficas</v>
      </c>
      <c r="E2427" s="4">
        <v>1073.0922545799999</v>
      </c>
      <c r="F2427" s="4">
        <v>1013386.5595546</v>
      </c>
    </row>
    <row r="2428" spans="1:6" x14ac:dyDescent="0.3">
      <c r="A2428" s="3" t="s">
        <v>18</v>
      </c>
      <c r="B2428" s="7" t="str">
        <f>VLOOKUP(VALUE(A2428), 'DICIONÁRIO UF'!$A:$B, 2, FALSE)</f>
        <v>Sergipe</v>
      </c>
      <c r="C2428" s="3">
        <v>94099</v>
      </c>
      <c r="D2428" s="5" t="str">
        <f>VLOOKUP(C2428, 'DICIONÁRIO CNAES'!$A:$B, 2, FALSE)</f>
        <v xml:space="preserve">Outras atividades associativas não especificadas anteriormente </v>
      </c>
      <c r="E2428" s="4">
        <v>464.09408987</v>
      </c>
      <c r="F2428" s="4">
        <v>510503.49885700003</v>
      </c>
    </row>
    <row r="2429" spans="1:6" x14ac:dyDescent="0.3">
      <c r="A2429" s="3" t="s">
        <v>18</v>
      </c>
      <c r="B2429" s="7" t="str">
        <f>VLOOKUP(VALUE(A2429), 'DICIONÁRIO UF'!$A:$B, 2, FALSE)</f>
        <v>Sergipe</v>
      </c>
      <c r="C2429" s="3">
        <v>95010</v>
      </c>
      <c r="D2429" s="5" t="str">
        <f>VLOOKUP(C2429, 'DICIONÁRIO CNAES'!$A:$B, 2, FALSE)</f>
        <v>Reparação e manutenção de equipamentos de informática e comunicação</v>
      </c>
      <c r="E2429" s="4">
        <v>1517.1502671999999</v>
      </c>
      <c r="F2429" s="4">
        <v>2177956.5856300001</v>
      </c>
    </row>
    <row r="2430" spans="1:6" x14ac:dyDescent="0.3">
      <c r="A2430" s="3" t="s">
        <v>18</v>
      </c>
      <c r="B2430" s="7" t="str">
        <f>VLOOKUP(VALUE(A2430), 'DICIONÁRIO UF'!$A:$B, 2, FALSE)</f>
        <v>Sergipe</v>
      </c>
      <c r="C2430" s="3">
        <v>95030</v>
      </c>
      <c r="D2430" s="5" t="str">
        <f>VLOOKUP(C2430, 'DICIONÁRIO CNAES'!$A:$B, 2, FALSE)</f>
        <v>Reparação e manutenção de objetos e equipamentos pessoais e domésticos</v>
      </c>
      <c r="E2430" s="4">
        <v>5114.4863517000003</v>
      </c>
      <c r="F2430" s="4">
        <v>7032067.2107995003</v>
      </c>
    </row>
    <row r="2431" spans="1:6" x14ac:dyDescent="0.3">
      <c r="A2431" s="3" t="s">
        <v>18</v>
      </c>
      <c r="B2431" s="7" t="str">
        <f>VLOOKUP(VALUE(A2431), 'DICIONÁRIO UF'!$A:$B, 2, FALSE)</f>
        <v>Sergipe</v>
      </c>
      <c r="C2431" s="3">
        <v>96010</v>
      </c>
      <c r="D2431" s="5" t="str">
        <f>VLOOKUP(C2431, 'DICIONÁRIO CNAES'!$A:$B, 2, FALSE)</f>
        <v>Lavanderias, tinturarias e toalheiros</v>
      </c>
      <c r="E2431" s="4">
        <v>1832.77214202</v>
      </c>
      <c r="F2431" s="4">
        <v>3459358.4168150001</v>
      </c>
    </row>
    <row r="2432" spans="1:6" x14ac:dyDescent="0.3">
      <c r="A2432" s="3" t="s">
        <v>18</v>
      </c>
      <c r="B2432" s="7" t="str">
        <f>VLOOKUP(VALUE(A2432), 'DICIONÁRIO UF'!$A:$B, 2, FALSE)</f>
        <v>Sergipe</v>
      </c>
      <c r="C2432" s="3">
        <v>96020</v>
      </c>
      <c r="D2432" s="5" t="str">
        <f>VLOOKUP(C2432, 'DICIONÁRIO CNAES'!$A:$B, 2, FALSE)</f>
        <v>Cabeleireiros e outras atividades de tratamento de beleza</v>
      </c>
      <c r="E2432" s="4">
        <v>22238.077596589999</v>
      </c>
      <c r="F2432" s="4">
        <v>14929696.5986706</v>
      </c>
    </row>
    <row r="2433" spans="1:6" x14ac:dyDescent="0.3">
      <c r="A2433" s="3" t="s">
        <v>18</v>
      </c>
      <c r="B2433" s="7" t="str">
        <f>VLOOKUP(VALUE(A2433), 'DICIONÁRIO UF'!$A:$B, 2, FALSE)</f>
        <v>Sergipe</v>
      </c>
      <c r="C2433" s="3">
        <v>96030</v>
      </c>
      <c r="D2433" s="5" t="str">
        <f>VLOOKUP(C2433, 'DICIONÁRIO CNAES'!$A:$B, 2, FALSE)</f>
        <v xml:space="preserve">Atividades funerárias e serviços relacionados </v>
      </c>
      <c r="E2433" s="4">
        <v>649.80183450000004</v>
      </c>
      <c r="F2433" s="4">
        <v>621823.16304499994</v>
      </c>
    </row>
    <row r="2434" spans="1:6" x14ac:dyDescent="0.3">
      <c r="A2434" s="3" t="s">
        <v>18</v>
      </c>
      <c r="B2434" s="7" t="str">
        <f>VLOOKUP(VALUE(A2434), 'DICIONÁRIO UF'!$A:$B, 2, FALSE)</f>
        <v>Sergipe</v>
      </c>
      <c r="C2434" s="3">
        <v>96090</v>
      </c>
      <c r="D2434" s="5" t="str">
        <f>VLOOKUP(C2434, 'DICIONÁRIO CNAES'!$A:$B, 2, FALSE)</f>
        <v>Outras atividades de serviços pessoais</v>
      </c>
      <c r="E2434" s="4">
        <v>1126.58846399</v>
      </c>
      <c r="F2434" s="4">
        <v>640585.33477049996</v>
      </c>
    </row>
    <row r="2435" spans="1:6" x14ac:dyDescent="0.3">
      <c r="A2435" s="3" t="s">
        <v>18</v>
      </c>
      <c r="B2435" s="7" t="str">
        <f>VLOOKUP(VALUE(A2435), 'DICIONÁRIO UF'!$A:$B, 2, FALSE)</f>
        <v>Sergipe</v>
      </c>
      <c r="C2435" s="3">
        <v>97000</v>
      </c>
      <c r="D2435" s="5" t="str">
        <f>VLOOKUP(C2435, 'DICIONÁRIO CNAES'!$A:$B, 2, FALSE)</f>
        <v>Serviços domésticos</v>
      </c>
      <c r="E2435" s="4">
        <v>57718.793395139997</v>
      </c>
      <c r="F2435" s="4">
        <v>37392615.798998311</v>
      </c>
    </row>
    <row r="2436" spans="1:6" x14ac:dyDescent="0.3">
      <c r="A2436" s="3" t="s">
        <v>19</v>
      </c>
      <c r="B2436" s="7" t="str">
        <f>VLOOKUP(VALUE(A2436), 'DICIONÁRIO UF'!$A:$B, 2, FALSE)</f>
        <v>Bahia</v>
      </c>
      <c r="C2436" s="3">
        <v>0</v>
      </c>
      <c r="D2436" s="5" t="str">
        <f>VLOOKUP(C2436, 'DICIONÁRIO CNAES'!$A:$B, 2, FALSE)</f>
        <v xml:space="preserve">Atividades mal definidas </v>
      </c>
      <c r="E2436" s="4">
        <v>2318.15101792</v>
      </c>
      <c r="F2436" s="4">
        <v>4636302.03584</v>
      </c>
    </row>
    <row r="2437" spans="1:6" x14ac:dyDescent="0.3">
      <c r="A2437" s="3" t="s">
        <v>19</v>
      </c>
      <c r="B2437" s="7" t="str">
        <f>VLOOKUP(VALUE(A2437), 'DICIONÁRIO UF'!$A:$B, 2, FALSE)</f>
        <v>Bahia</v>
      </c>
      <c r="C2437" s="3">
        <v>1101</v>
      </c>
      <c r="D2437" s="5" t="str">
        <f>VLOOKUP(C2437, 'DICIONÁRIO CNAES'!$A:$B, 2, FALSE)</f>
        <v>Cultivo de arroz</v>
      </c>
      <c r="E2437" s="4">
        <v>266.33142154000001</v>
      </c>
      <c r="F2437" s="4">
        <v>159798.85292400001</v>
      </c>
    </row>
    <row r="2438" spans="1:6" x14ac:dyDescent="0.3">
      <c r="A2438" s="3" t="s">
        <v>19</v>
      </c>
      <c r="B2438" s="7" t="str">
        <f>VLOOKUP(VALUE(A2438), 'DICIONÁRIO UF'!$A:$B, 2, FALSE)</f>
        <v>Bahia</v>
      </c>
      <c r="C2438" s="3">
        <v>1102</v>
      </c>
      <c r="D2438" s="5" t="str">
        <f>VLOOKUP(C2438, 'DICIONÁRIO CNAES'!$A:$B, 2, FALSE)</f>
        <v>Cultivo de milho</v>
      </c>
      <c r="E2438" s="4">
        <v>64838.103493249997</v>
      </c>
      <c r="F2438" s="4">
        <v>31023973.062052868</v>
      </c>
    </row>
    <row r="2439" spans="1:6" x14ac:dyDescent="0.3">
      <c r="A2439" s="3" t="s">
        <v>19</v>
      </c>
      <c r="B2439" s="7" t="str">
        <f>VLOOKUP(VALUE(A2439), 'DICIONÁRIO UF'!$A:$B, 2, FALSE)</f>
        <v>Bahia</v>
      </c>
      <c r="C2439" s="3">
        <v>1104</v>
      </c>
      <c r="D2439" s="5" t="str">
        <f>VLOOKUP(C2439, 'DICIONÁRIO CNAES'!$A:$B, 2, FALSE)</f>
        <v>Cultivo de algodão</v>
      </c>
      <c r="E2439" s="4">
        <v>3698.8731731500002</v>
      </c>
      <c r="F2439" s="4">
        <v>5104444.9789470006</v>
      </c>
    </row>
    <row r="2440" spans="1:6" x14ac:dyDescent="0.3">
      <c r="A2440" s="3" t="s">
        <v>19</v>
      </c>
      <c r="B2440" s="7" t="str">
        <f>VLOOKUP(VALUE(A2440), 'DICIONÁRIO UF'!$A:$B, 2, FALSE)</f>
        <v>Bahia</v>
      </c>
      <c r="C2440" s="3">
        <v>1105</v>
      </c>
      <c r="D2440" s="5" t="str">
        <f>VLOOKUP(C2440, 'DICIONÁRIO CNAES'!$A:$B, 2, FALSE)</f>
        <v>Cultivo de cana-de-açúcar</v>
      </c>
      <c r="E2440" s="4">
        <v>16017.80204579</v>
      </c>
      <c r="F2440" s="4">
        <v>11805845.725583561</v>
      </c>
    </row>
    <row r="2441" spans="1:6" x14ac:dyDescent="0.3">
      <c r="A2441" s="3" t="s">
        <v>19</v>
      </c>
      <c r="B2441" s="7" t="str">
        <f>VLOOKUP(VALUE(A2441), 'DICIONÁRIO UF'!$A:$B, 2, FALSE)</f>
        <v>Bahia</v>
      </c>
      <c r="C2441" s="3">
        <v>1106</v>
      </c>
      <c r="D2441" s="5" t="str">
        <f>VLOOKUP(C2441, 'DICIONÁRIO CNAES'!$A:$B, 2, FALSE)</f>
        <v>Cultivo de fumo</v>
      </c>
      <c r="E2441" s="4">
        <v>6886.8975237199993</v>
      </c>
      <c r="F2441" s="4">
        <v>6869859.7488575391</v>
      </c>
    </row>
    <row r="2442" spans="1:6" x14ac:dyDescent="0.3">
      <c r="A2442" s="3" t="s">
        <v>19</v>
      </c>
      <c r="B2442" s="7" t="str">
        <f>VLOOKUP(VALUE(A2442), 'DICIONÁRIO UF'!$A:$B, 2, FALSE)</f>
        <v>Bahia</v>
      </c>
      <c r="C2442" s="3">
        <v>1107</v>
      </c>
      <c r="D2442" s="5" t="str">
        <f>VLOOKUP(C2442, 'DICIONÁRIO CNAES'!$A:$B, 2, FALSE)</f>
        <v>Cultivo de soja</v>
      </c>
      <c r="E2442" s="4">
        <v>9161.2760415899993</v>
      </c>
      <c r="F2442" s="4">
        <v>24956939.79659</v>
      </c>
    </row>
    <row r="2443" spans="1:6" x14ac:dyDescent="0.3">
      <c r="A2443" s="3" t="s">
        <v>19</v>
      </c>
      <c r="B2443" s="7" t="str">
        <f>VLOOKUP(VALUE(A2443), 'DICIONÁRIO UF'!$A:$B, 2, FALSE)</f>
        <v>Bahia</v>
      </c>
      <c r="C2443" s="3">
        <v>1108</v>
      </c>
      <c r="D2443" s="5" t="str">
        <f>VLOOKUP(C2443, 'DICIONÁRIO CNAES'!$A:$B, 2, FALSE)</f>
        <v>Cultivo de mandioca</v>
      </c>
      <c r="E2443" s="4">
        <v>98646.232038200003</v>
      </c>
      <c r="F2443" s="4">
        <v>35524004.448897779</v>
      </c>
    </row>
    <row r="2444" spans="1:6" x14ac:dyDescent="0.3">
      <c r="A2444" s="3" t="s">
        <v>19</v>
      </c>
      <c r="B2444" s="7" t="str">
        <f>VLOOKUP(VALUE(A2444), 'DICIONÁRIO UF'!$A:$B, 2, FALSE)</f>
        <v>Bahia</v>
      </c>
      <c r="C2444" s="3">
        <v>1109</v>
      </c>
      <c r="D2444" s="5" t="str">
        <f>VLOOKUP(C2444, 'DICIONÁRIO CNAES'!$A:$B, 2, FALSE)</f>
        <v>Cultivo de outras lavouras temporárias não especificadas anteriormente</v>
      </c>
      <c r="E2444" s="4">
        <v>136400.90504935</v>
      </c>
      <c r="F2444" s="4">
        <v>50672423.7091868</v>
      </c>
    </row>
    <row r="2445" spans="1:6" x14ac:dyDescent="0.3">
      <c r="A2445" s="3" t="s">
        <v>19</v>
      </c>
      <c r="B2445" s="7" t="str">
        <f>VLOOKUP(VALUE(A2445), 'DICIONÁRIO UF'!$A:$B, 2, FALSE)</f>
        <v>Bahia</v>
      </c>
      <c r="C2445" s="3">
        <v>1110</v>
      </c>
      <c r="D2445" s="5" t="str">
        <f>VLOOKUP(C2445, 'DICIONÁRIO CNAES'!$A:$B, 2, FALSE)</f>
        <v>Horticultura</v>
      </c>
      <c r="E2445" s="4">
        <v>75433.176040809994</v>
      </c>
      <c r="F2445" s="4">
        <v>40793828.523048252</v>
      </c>
    </row>
    <row r="2446" spans="1:6" x14ac:dyDescent="0.3">
      <c r="A2446" s="3" t="s">
        <v>19</v>
      </c>
      <c r="B2446" s="7" t="str">
        <f>VLOOKUP(VALUE(A2446), 'DICIONÁRIO UF'!$A:$B, 2, FALSE)</f>
        <v>Bahia</v>
      </c>
      <c r="C2446" s="3">
        <v>1111</v>
      </c>
      <c r="D2446" s="5" t="str">
        <f>VLOOKUP(C2446, 'DICIONÁRIO CNAES'!$A:$B, 2, FALSE)</f>
        <v>Cultivo de flores e plantas ornamentais</v>
      </c>
      <c r="E2446" s="4">
        <v>2179.1567005299999</v>
      </c>
      <c r="F2446" s="4">
        <v>4289667.4339089999</v>
      </c>
    </row>
    <row r="2447" spans="1:6" x14ac:dyDescent="0.3">
      <c r="A2447" s="3" t="s">
        <v>19</v>
      </c>
      <c r="B2447" s="7" t="str">
        <f>VLOOKUP(VALUE(A2447), 'DICIONÁRIO UF'!$A:$B, 2, FALSE)</f>
        <v>Bahia</v>
      </c>
      <c r="C2447" s="3">
        <v>1112</v>
      </c>
      <c r="D2447" s="5" t="str">
        <f>VLOOKUP(C2447, 'DICIONÁRIO CNAES'!$A:$B, 2, FALSE)</f>
        <v>Cultivo de frutas cítricas</v>
      </c>
      <c r="E2447" s="4">
        <v>40821.123248709999</v>
      </c>
      <c r="F2447" s="4">
        <v>21365244.334382541</v>
      </c>
    </row>
    <row r="2448" spans="1:6" x14ac:dyDescent="0.3">
      <c r="A2448" s="3" t="s">
        <v>19</v>
      </c>
      <c r="B2448" s="7" t="str">
        <f>VLOOKUP(VALUE(A2448), 'DICIONÁRIO UF'!$A:$B, 2, FALSE)</f>
        <v>Bahia</v>
      </c>
      <c r="C2448" s="3">
        <v>1113</v>
      </c>
      <c r="D2448" s="5" t="str">
        <f>VLOOKUP(C2448, 'DICIONÁRIO CNAES'!$A:$B, 2, FALSE)</f>
        <v>Cultivo de café</v>
      </c>
      <c r="E2448" s="4">
        <v>72530.577675549997</v>
      </c>
      <c r="F2448" s="4">
        <v>45709425.867984511</v>
      </c>
    </row>
    <row r="2449" spans="1:6" x14ac:dyDescent="0.3">
      <c r="A2449" s="3" t="s">
        <v>19</v>
      </c>
      <c r="B2449" s="7" t="str">
        <f>VLOOKUP(VALUE(A2449), 'DICIONÁRIO UF'!$A:$B, 2, FALSE)</f>
        <v>Bahia</v>
      </c>
      <c r="C2449" s="3">
        <v>1114</v>
      </c>
      <c r="D2449" s="5" t="str">
        <f>VLOOKUP(C2449, 'DICIONÁRIO CNAES'!$A:$B, 2, FALSE)</f>
        <v>Cultivo de cacau</v>
      </c>
      <c r="E2449" s="4">
        <v>117311.48147344</v>
      </c>
      <c r="F2449" s="4">
        <v>82059480.936964706</v>
      </c>
    </row>
    <row r="2450" spans="1:6" x14ac:dyDescent="0.3">
      <c r="A2450" s="3" t="s">
        <v>19</v>
      </c>
      <c r="B2450" s="7" t="str">
        <f>VLOOKUP(VALUE(A2450), 'DICIONÁRIO UF'!$A:$B, 2, FALSE)</f>
        <v>Bahia</v>
      </c>
      <c r="C2450" s="3">
        <v>1115</v>
      </c>
      <c r="D2450" s="5" t="str">
        <f>VLOOKUP(C2450, 'DICIONÁRIO CNAES'!$A:$B, 2, FALSE)</f>
        <v>Cultivo de uva</v>
      </c>
      <c r="E2450" s="4">
        <v>5985.5665234600001</v>
      </c>
      <c r="F2450" s="4">
        <v>7526464.3113430003</v>
      </c>
    </row>
    <row r="2451" spans="1:6" x14ac:dyDescent="0.3">
      <c r="A2451" s="3" t="s">
        <v>19</v>
      </c>
      <c r="B2451" s="7" t="str">
        <f>VLOOKUP(VALUE(A2451), 'DICIONÁRIO UF'!$A:$B, 2, FALSE)</f>
        <v>Bahia</v>
      </c>
      <c r="C2451" s="3">
        <v>1116</v>
      </c>
      <c r="D2451" s="5" t="str">
        <f>VLOOKUP(C2451, 'DICIONÁRIO CNAES'!$A:$B, 2, FALSE)</f>
        <v>Cultivo de banana</v>
      </c>
      <c r="E2451" s="4">
        <v>27205.012844370001</v>
      </c>
      <c r="F2451" s="4">
        <v>19727664.473360401</v>
      </c>
    </row>
    <row r="2452" spans="1:6" x14ac:dyDescent="0.3">
      <c r="A2452" s="3" t="s">
        <v>19</v>
      </c>
      <c r="B2452" s="7" t="str">
        <f>VLOOKUP(VALUE(A2452), 'DICIONÁRIO UF'!$A:$B, 2, FALSE)</f>
        <v>Bahia</v>
      </c>
      <c r="C2452" s="3">
        <v>1117</v>
      </c>
      <c r="D2452" s="5" t="str">
        <f>VLOOKUP(C2452, 'DICIONÁRIO CNAES'!$A:$B, 2, FALSE)</f>
        <v>Cultivo de outras plantas e frutas de lavoura permanente não especificadas anteriormente</v>
      </c>
      <c r="E2452" s="4">
        <v>99909.110208940008</v>
      </c>
      <c r="F2452" s="4">
        <v>79198836.216567189</v>
      </c>
    </row>
    <row r="2453" spans="1:6" x14ac:dyDescent="0.3">
      <c r="A2453" s="3" t="s">
        <v>19</v>
      </c>
      <c r="B2453" s="7" t="str">
        <f>VLOOKUP(VALUE(A2453), 'DICIONÁRIO UF'!$A:$B, 2, FALSE)</f>
        <v>Bahia</v>
      </c>
      <c r="C2453" s="3">
        <v>1119</v>
      </c>
      <c r="D2453" s="5" t="str">
        <f>VLOOKUP(C2453, 'DICIONÁRIO CNAES'!$A:$B, 2, FALSE)</f>
        <v>Lavoura não especificada</v>
      </c>
      <c r="E2453" s="4">
        <v>60272.32851616</v>
      </c>
      <c r="F2453" s="4">
        <v>29544806.490156598</v>
      </c>
    </row>
    <row r="2454" spans="1:6" x14ac:dyDescent="0.3">
      <c r="A2454" s="3" t="s">
        <v>19</v>
      </c>
      <c r="B2454" s="7" t="str">
        <f>VLOOKUP(VALUE(A2454), 'DICIONÁRIO UF'!$A:$B, 2, FALSE)</f>
        <v>Bahia</v>
      </c>
      <c r="C2454" s="3">
        <v>1201</v>
      </c>
      <c r="D2454" s="5" t="str">
        <f>VLOOKUP(C2454, 'DICIONÁRIO CNAES'!$A:$B, 2, FALSE)</f>
        <v>Criação de bovinos</v>
      </c>
      <c r="E2454" s="4">
        <v>149141.53073182001</v>
      </c>
      <c r="F2454" s="4">
        <v>124069089.9087438</v>
      </c>
    </row>
    <row r="2455" spans="1:6" x14ac:dyDescent="0.3">
      <c r="A2455" s="3" t="s">
        <v>19</v>
      </c>
      <c r="B2455" s="7" t="str">
        <f>VLOOKUP(VALUE(A2455), 'DICIONÁRIO UF'!$A:$B, 2, FALSE)</f>
        <v>Bahia</v>
      </c>
      <c r="C2455" s="3">
        <v>1202</v>
      </c>
      <c r="D2455" s="5" t="str">
        <f>VLOOKUP(C2455, 'DICIONÁRIO CNAES'!$A:$B, 2, FALSE)</f>
        <v>Criação de outros animais de grande porte não especificados anteriormente</v>
      </c>
      <c r="E2455" s="4">
        <v>5454.1668990500002</v>
      </c>
      <c r="F2455" s="4">
        <v>5712709.4100660002</v>
      </c>
    </row>
    <row r="2456" spans="1:6" x14ac:dyDescent="0.3">
      <c r="A2456" s="3" t="s">
        <v>19</v>
      </c>
      <c r="B2456" s="7" t="str">
        <f>VLOOKUP(VALUE(A2456), 'DICIONÁRIO UF'!$A:$B, 2, FALSE)</f>
        <v>Bahia</v>
      </c>
      <c r="C2456" s="3">
        <v>1203</v>
      </c>
      <c r="D2456" s="5" t="str">
        <f>VLOOKUP(C2456, 'DICIONÁRIO CNAES'!$A:$B, 2, FALSE)</f>
        <v>Criação de caprinos e ovinos</v>
      </c>
      <c r="E2456" s="4">
        <v>24759.726392789998</v>
      </c>
      <c r="F2456" s="4">
        <v>12316597.726775691</v>
      </c>
    </row>
    <row r="2457" spans="1:6" x14ac:dyDescent="0.3">
      <c r="A2457" s="3" t="s">
        <v>19</v>
      </c>
      <c r="B2457" s="7" t="str">
        <f>VLOOKUP(VALUE(A2457), 'DICIONÁRIO UF'!$A:$B, 2, FALSE)</f>
        <v>Bahia</v>
      </c>
      <c r="C2457" s="3">
        <v>1204</v>
      </c>
      <c r="D2457" s="5" t="str">
        <f>VLOOKUP(C2457, 'DICIONÁRIO CNAES'!$A:$B, 2, FALSE)</f>
        <v>Criação de suínos</v>
      </c>
      <c r="E2457" s="4">
        <v>2120.2852816200002</v>
      </c>
      <c r="F2457" s="4">
        <v>1408737.6104105001</v>
      </c>
    </row>
    <row r="2458" spans="1:6" x14ac:dyDescent="0.3">
      <c r="A2458" s="3" t="s">
        <v>19</v>
      </c>
      <c r="B2458" s="7" t="str">
        <f>VLOOKUP(VALUE(A2458), 'DICIONÁRIO UF'!$A:$B, 2, FALSE)</f>
        <v>Bahia</v>
      </c>
      <c r="C2458" s="3">
        <v>1205</v>
      </c>
      <c r="D2458" s="5" t="str">
        <f>VLOOKUP(C2458, 'DICIONÁRIO CNAES'!$A:$B, 2, FALSE)</f>
        <v>Criação de aves</v>
      </c>
      <c r="E2458" s="4">
        <v>9540.8758067199997</v>
      </c>
      <c r="F2458" s="4">
        <v>6170330.82029597</v>
      </c>
    </row>
    <row r="2459" spans="1:6" x14ac:dyDescent="0.3">
      <c r="A2459" s="3" t="s">
        <v>19</v>
      </c>
      <c r="B2459" s="7" t="str">
        <f>VLOOKUP(VALUE(A2459), 'DICIONÁRIO UF'!$A:$B, 2, FALSE)</f>
        <v>Bahia</v>
      </c>
      <c r="C2459" s="3">
        <v>1206</v>
      </c>
      <c r="D2459" s="5" t="str">
        <f>VLOOKUP(C2459, 'DICIONÁRIO CNAES'!$A:$B, 2, FALSE)</f>
        <v>Apicultura</v>
      </c>
      <c r="E2459" s="4">
        <v>615.99905803999991</v>
      </c>
      <c r="F2459" s="4">
        <v>420222.20779999997</v>
      </c>
    </row>
    <row r="2460" spans="1:6" x14ac:dyDescent="0.3">
      <c r="A2460" s="3" t="s">
        <v>19</v>
      </c>
      <c r="B2460" s="7" t="str">
        <f>VLOOKUP(VALUE(A2460), 'DICIONÁRIO UF'!$A:$B, 2, FALSE)</f>
        <v>Bahia</v>
      </c>
      <c r="C2460" s="3">
        <v>1209</v>
      </c>
      <c r="D2460" s="5" t="str">
        <f>VLOOKUP(C2460, 'DICIONÁRIO CNAES'!$A:$B, 2, FALSE)</f>
        <v>Pecuária não especificada</v>
      </c>
      <c r="E2460" s="4">
        <v>2378.68755053</v>
      </c>
      <c r="F2460" s="4">
        <v>1522928.1709791999</v>
      </c>
    </row>
    <row r="2461" spans="1:6" x14ac:dyDescent="0.3">
      <c r="A2461" s="3" t="s">
        <v>19</v>
      </c>
      <c r="B2461" s="7" t="str">
        <f>VLOOKUP(VALUE(A2461), 'DICIONÁRIO UF'!$A:$B, 2, FALSE)</f>
        <v>Bahia</v>
      </c>
      <c r="C2461" s="3">
        <v>1401</v>
      </c>
      <c r="D2461" s="5" t="str">
        <f>VLOOKUP(C2461, 'DICIONÁRIO CNAES'!$A:$B, 2, FALSE)</f>
        <v>Atividades de apoio à agricultura e pós-colheita</v>
      </c>
      <c r="E2461" s="4">
        <v>6705.2839715299997</v>
      </c>
      <c r="F2461" s="4">
        <v>5194336.7964960001</v>
      </c>
    </row>
    <row r="2462" spans="1:6" x14ac:dyDescent="0.3">
      <c r="A2462" s="3" t="s">
        <v>19</v>
      </c>
      <c r="B2462" s="7" t="str">
        <f>VLOOKUP(VALUE(A2462), 'DICIONÁRIO UF'!$A:$B, 2, FALSE)</f>
        <v>Bahia</v>
      </c>
      <c r="C2462" s="3">
        <v>1402</v>
      </c>
      <c r="D2462" s="5" t="str">
        <f>VLOOKUP(C2462, 'DICIONÁRIO CNAES'!$A:$B, 2, FALSE)</f>
        <v xml:space="preserve">Atividades de apoio à pecuária </v>
      </c>
      <c r="E2462" s="4">
        <v>2759.82108268</v>
      </c>
      <c r="F2462" s="4">
        <v>2831834.9422360002</v>
      </c>
    </row>
    <row r="2463" spans="1:6" x14ac:dyDescent="0.3">
      <c r="A2463" s="3" t="s">
        <v>19</v>
      </c>
      <c r="B2463" s="7" t="str">
        <f>VLOOKUP(VALUE(A2463), 'DICIONÁRIO UF'!$A:$B, 2, FALSE)</f>
        <v>Bahia</v>
      </c>
      <c r="C2463" s="3">
        <v>1999</v>
      </c>
      <c r="D2463" s="5" t="str">
        <f>VLOOKUP(C2463, 'DICIONÁRIO CNAES'!$A:$B, 2, FALSE)</f>
        <v>Agropecuária</v>
      </c>
      <c r="E2463" s="4">
        <v>4943.6414535499998</v>
      </c>
      <c r="F2463" s="4">
        <v>4168328.7837244999</v>
      </c>
    </row>
    <row r="2464" spans="1:6" x14ac:dyDescent="0.3">
      <c r="A2464" s="3" t="s">
        <v>19</v>
      </c>
      <c r="B2464" s="7" t="str">
        <f>VLOOKUP(VALUE(A2464), 'DICIONÁRIO UF'!$A:$B, 2, FALSE)</f>
        <v>Bahia</v>
      </c>
      <c r="C2464" s="3">
        <v>2000</v>
      </c>
      <c r="D2464" s="5" t="str">
        <f>VLOOKUP(C2464, 'DICIONÁRIO CNAES'!$A:$B, 2, FALSE)</f>
        <v xml:space="preserve">Produção florestal </v>
      </c>
      <c r="E2464" s="4">
        <v>25040.176159030001</v>
      </c>
      <c r="F2464" s="4">
        <v>19274255.8780891</v>
      </c>
    </row>
    <row r="2465" spans="1:6" x14ac:dyDescent="0.3">
      <c r="A2465" s="3" t="s">
        <v>19</v>
      </c>
      <c r="B2465" s="7" t="str">
        <f>VLOOKUP(VALUE(A2465), 'DICIONÁRIO UF'!$A:$B, 2, FALSE)</f>
        <v>Bahia</v>
      </c>
      <c r="C2465" s="3">
        <v>3001</v>
      </c>
      <c r="D2465" s="5" t="str">
        <f>VLOOKUP(C2465, 'DICIONÁRIO CNAES'!$A:$B, 2, FALSE)</f>
        <v>Pesca</v>
      </c>
      <c r="E2465" s="4">
        <v>44381.188042759997</v>
      </c>
      <c r="F2465" s="4">
        <v>21858985.39596042</v>
      </c>
    </row>
    <row r="2466" spans="1:6" x14ac:dyDescent="0.3">
      <c r="A2466" s="3" t="s">
        <v>19</v>
      </c>
      <c r="B2466" s="7" t="str">
        <f>VLOOKUP(VALUE(A2466), 'DICIONÁRIO UF'!$A:$B, 2, FALSE)</f>
        <v>Bahia</v>
      </c>
      <c r="C2466" s="3">
        <v>3002</v>
      </c>
      <c r="D2466" s="5" t="str">
        <f>VLOOKUP(C2466, 'DICIONÁRIO CNAES'!$A:$B, 2, FALSE)</f>
        <v>Aqüicultura</v>
      </c>
      <c r="E2466" s="4">
        <v>6392.6779503199996</v>
      </c>
      <c r="F2466" s="4">
        <v>13562226.216051999</v>
      </c>
    </row>
    <row r="2467" spans="1:6" x14ac:dyDescent="0.3">
      <c r="A2467" s="3" t="s">
        <v>19</v>
      </c>
      <c r="B2467" s="7" t="str">
        <f>VLOOKUP(VALUE(A2467), 'DICIONÁRIO UF'!$A:$B, 2, FALSE)</f>
        <v>Bahia</v>
      </c>
      <c r="C2467" s="3">
        <v>6000</v>
      </c>
      <c r="D2467" s="5" t="str">
        <f>VLOOKUP(C2467, 'DICIONÁRIO CNAES'!$A:$B, 2, FALSE)</f>
        <v xml:space="preserve">Extração de petróleo e gás natural </v>
      </c>
      <c r="E2467" s="4">
        <v>5564.5642180300001</v>
      </c>
      <c r="F2467" s="4">
        <v>11394995.244834</v>
      </c>
    </row>
    <row r="2468" spans="1:6" x14ac:dyDescent="0.3">
      <c r="A2468" s="3" t="s">
        <v>19</v>
      </c>
      <c r="B2468" s="7" t="str">
        <f>VLOOKUP(VALUE(A2468), 'DICIONÁRIO UF'!$A:$B, 2, FALSE)</f>
        <v>Bahia</v>
      </c>
      <c r="C2468" s="3">
        <v>7001</v>
      </c>
      <c r="D2468" s="5" t="str">
        <f>VLOOKUP(C2468, 'DICIONÁRIO CNAES'!$A:$B, 2, FALSE)</f>
        <v>Extração de minérios de metais preciosos</v>
      </c>
      <c r="E2468" s="4">
        <v>3297.7146761600002</v>
      </c>
      <c r="F2468" s="4">
        <v>6101316.1565774996</v>
      </c>
    </row>
    <row r="2469" spans="1:6" x14ac:dyDescent="0.3">
      <c r="A2469" s="3" t="s">
        <v>19</v>
      </c>
      <c r="B2469" s="7" t="str">
        <f>VLOOKUP(VALUE(A2469), 'DICIONÁRIO UF'!$A:$B, 2, FALSE)</f>
        <v>Bahia</v>
      </c>
      <c r="C2469" s="3">
        <v>7002</v>
      </c>
      <c r="D2469" s="5" t="str">
        <f>VLOOKUP(C2469, 'DICIONÁRIO CNAES'!$A:$B, 2, FALSE)</f>
        <v xml:space="preserve">Extração de minerais metálicos não especificados anteriormente </v>
      </c>
      <c r="E2469" s="4">
        <v>5506.1913369800004</v>
      </c>
      <c r="F2469" s="4">
        <v>12937815.891058</v>
      </c>
    </row>
    <row r="2470" spans="1:6" x14ac:dyDescent="0.3">
      <c r="A2470" s="3" t="s">
        <v>19</v>
      </c>
      <c r="B2470" s="7" t="str">
        <f>VLOOKUP(VALUE(A2470), 'DICIONÁRIO UF'!$A:$B, 2, FALSE)</f>
        <v>Bahia</v>
      </c>
      <c r="C2470" s="3">
        <v>8001</v>
      </c>
      <c r="D2470" s="5" t="str">
        <f>VLOOKUP(C2470, 'DICIONÁRIO CNAES'!$A:$B, 2, FALSE)</f>
        <v>Extração de pedras, areia e argila</v>
      </c>
      <c r="E2470" s="4">
        <v>2341.0482473299999</v>
      </c>
      <c r="F2470" s="4">
        <v>3003380.5887270002</v>
      </c>
    </row>
    <row r="2471" spans="1:6" x14ac:dyDescent="0.3">
      <c r="A2471" s="3" t="s">
        <v>19</v>
      </c>
      <c r="B2471" s="7" t="str">
        <f>VLOOKUP(VALUE(A2471), 'DICIONÁRIO UF'!$A:$B, 2, FALSE)</f>
        <v>Bahia</v>
      </c>
      <c r="C2471" s="3">
        <v>8002</v>
      </c>
      <c r="D2471" s="5" t="str">
        <f>VLOOKUP(C2471, 'DICIONÁRIO CNAES'!$A:$B, 2, FALSE)</f>
        <v>Extração de gemas (pedras preciosas e semi-preciosas)</v>
      </c>
      <c r="E2471" s="4">
        <v>393.65935451000001</v>
      </c>
      <c r="F2471" s="4">
        <v>976737.41172099998</v>
      </c>
    </row>
    <row r="2472" spans="1:6" x14ac:dyDescent="0.3">
      <c r="A2472" s="3" t="s">
        <v>19</v>
      </c>
      <c r="B2472" s="7" t="str">
        <f>VLOOKUP(VALUE(A2472), 'DICIONÁRIO UF'!$A:$B, 2, FALSE)</f>
        <v>Bahia</v>
      </c>
      <c r="C2472" s="3">
        <v>8009</v>
      </c>
      <c r="D2472" s="5" t="str">
        <f>VLOOKUP(C2472, 'DICIONÁRIO CNAES'!$A:$B, 2, FALSE)</f>
        <v xml:space="preserve">Extração de minerais não metálicos não especificados anteriormente </v>
      </c>
      <c r="E2472" s="4">
        <v>10165.0084991</v>
      </c>
      <c r="F2472" s="4">
        <v>15722088.226721499</v>
      </c>
    </row>
    <row r="2473" spans="1:6" x14ac:dyDescent="0.3">
      <c r="A2473" s="3" t="s">
        <v>19</v>
      </c>
      <c r="B2473" s="7" t="str">
        <f>VLOOKUP(VALUE(A2473), 'DICIONÁRIO UF'!$A:$B, 2, FALSE)</f>
        <v>Bahia</v>
      </c>
      <c r="C2473" s="3">
        <v>9000</v>
      </c>
      <c r="D2473" s="5" t="str">
        <f>VLOOKUP(C2473, 'DICIONÁRIO CNAES'!$A:$B, 2, FALSE)</f>
        <v>Atividades de apoio à extração de minerais</v>
      </c>
      <c r="E2473" s="4">
        <v>1703.83314941</v>
      </c>
      <c r="F2473" s="4">
        <v>1513095.7972305</v>
      </c>
    </row>
    <row r="2474" spans="1:6" x14ac:dyDescent="0.3">
      <c r="A2474" s="3" t="s">
        <v>19</v>
      </c>
      <c r="B2474" s="7" t="str">
        <f>VLOOKUP(VALUE(A2474), 'DICIONÁRIO UF'!$A:$B, 2, FALSE)</f>
        <v>Bahia</v>
      </c>
      <c r="C2474" s="3">
        <v>10010</v>
      </c>
      <c r="D2474" s="5" t="str">
        <f>VLOOKUP(C2474, 'DICIONÁRIO CNAES'!$A:$B, 2, FALSE)</f>
        <v xml:space="preserve">Abate e fabricação de produtos de carne e pescado </v>
      </c>
      <c r="E2474" s="4">
        <v>9128.5362796499994</v>
      </c>
      <c r="F2474" s="4">
        <v>9430159.9829111993</v>
      </c>
    </row>
    <row r="2475" spans="1:6" x14ac:dyDescent="0.3">
      <c r="A2475" s="3" t="s">
        <v>19</v>
      </c>
      <c r="B2475" s="7" t="str">
        <f>VLOOKUP(VALUE(A2475), 'DICIONÁRIO UF'!$A:$B, 2, FALSE)</f>
        <v>Bahia</v>
      </c>
      <c r="C2475" s="3">
        <v>10021</v>
      </c>
      <c r="D2475" s="5" t="str">
        <f>VLOOKUP(C2475, 'DICIONÁRIO CNAES'!$A:$B, 2, FALSE)</f>
        <v>Fabricação de conservas de frutas, legumes e outros vegetais</v>
      </c>
      <c r="E2475" s="4">
        <v>6074.0639896499997</v>
      </c>
      <c r="F2475" s="4">
        <v>8582473.0121033005</v>
      </c>
    </row>
    <row r="2476" spans="1:6" x14ac:dyDescent="0.3">
      <c r="A2476" s="3" t="s">
        <v>19</v>
      </c>
      <c r="B2476" s="7" t="str">
        <f>VLOOKUP(VALUE(A2476), 'DICIONÁRIO UF'!$A:$B, 2, FALSE)</f>
        <v>Bahia</v>
      </c>
      <c r="C2476" s="3">
        <v>10030</v>
      </c>
      <c r="D2476" s="5" t="str">
        <f>VLOOKUP(C2476, 'DICIONÁRIO CNAES'!$A:$B, 2, FALSE)</f>
        <v>Laticínios</v>
      </c>
      <c r="E2476" s="4">
        <v>18333.524682840001</v>
      </c>
      <c r="F2476" s="4">
        <v>23053375.297208801</v>
      </c>
    </row>
    <row r="2477" spans="1:6" x14ac:dyDescent="0.3">
      <c r="A2477" s="3" t="s">
        <v>19</v>
      </c>
      <c r="B2477" s="7" t="str">
        <f>VLOOKUP(VALUE(A2477), 'DICIONÁRIO UF'!$A:$B, 2, FALSE)</f>
        <v>Bahia</v>
      </c>
      <c r="C2477" s="3">
        <v>10091</v>
      </c>
      <c r="D2477" s="5" t="str">
        <f>VLOOKUP(C2477, 'DICIONÁRIO CNAES'!$A:$B, 2, FALSE)</f>
        <v>Moagem, fabricação de produtos amiláceos e de alimentos para animais</v>
      </c>
      <c r="E2477" s="4">
        <v>8398.0386279300001</v>
      </c>
      <c r="F2477" s="4">
        <v>5612084.2838278394</v>
      </c>
    </row>
    <row r="2478" spans="1:6" x14ac:dyDescent="0.3">
      <c r="A2478" s="3" t="s">
        <v>19</v>
      </c>
      <c r="B2478" s="7" t="str">
        <f>VLOOKUP(VALUE(A2478), 'DICIONÁRIO UF'!$A:$B, 2, FALSE)</f>
        <v>Bahia</v>
      </c>
      <c r="C2478" s="3">
        <v>10092</v>
      </c>
      <c r="D2478" s="5" t="str">
        <f>VLOOKUP(C2478, 'DICIONÁRIO CNAES'!$A:$B, 2, FALSE)</f>
        <v>Fabricação e refino do açúcar</v>
      </c>
      <c r="E2478" s="4">
        <v>1647.61437591</v>
      </c>
      <c r="F2478" s="4">
        <v>539352.68570466002</v>
      </c>
    </row>
    <row r="2479" spans="1:6" x14ac:dyDescent="0.3">
      <c r="A2479" s="3" t="s">
        <v>19</v>
      </c>
      <c r="B2479" s="7" t="str">
        <f>VLOOKUP(VALUE(A2479), 'DICIONÁRIO UF'!$A:$B, 2, FALSE)</f>
        <v>Bahia</v>
      </c>
      <c r="C2479" s="3">
        <v>10093</v>
      </c>
      <c r="D2479" s="5" t="str">
        <f>VLOOKUP(C2479, 'DICIONÁRIO CNAES'!$A:$B, 2, FALSE)</f>
        <v>Torrefação e moagem de café</v>
      </c>
      <c r="E2479" s="4">
        <v>429.97017900999998</v>
      </c>
      <c r="F2479" s="4">
        <v>472967.19691100001</v>
      </c>
    </row>
    <row r="2480" spans="1:6" x14ac:dyDescent="0.3">
      <c r="A2480" s="3" t="s">
        <v>19</v>
      </c>
      <c r="B2480" s="7" t="str">
        <f>VLOOKUP(VALUE(A2480), 'DICIONÁRIO UF'!$A:$B, 2, FALSE)</f>
        <v>Bahia</v>
      </c>
      <c r="C2480" s="3">
        <v>10099</v>
      </c>
      <c r="D2480" s="5" t="str">
        <f>VLOOKUP(C2480, 'DICIONÁRIO CNAES'!$A:$B, 2, FALSE)</f>
        <v>Fabricação de outros produtos alimentícios</v>
      </c>
      <c r="E2480" s="4">
        <v>18029.502706250001</v>
      </c>
      <c r="F2480" s="4">
        <v>32760756.3296398</v>
      </c>
    </row>
    <row r="2481" spans="1:6" x14ac:dyDescent="0.3">
      <c r="A2481" s="3" t="s">
        <v>19</v>
      </c>
      <c r="B2481" s="7" t="str">
        <f>VLOOKUP(VALUE(A2481), 'DICIONÁRIO UF'!$A:$B, 2, FALSE)</f>
        <v>Bahia</v>
      </c>
      <c r="C2481" s="3">
        <v>11000</v>
      </c>
      <c r="D2481" s="5" t="str">
        <f>VLOOKUP(C2481, 'DICIONÁRIO CNAES'!$A:$B, 2, FALSE)</f>
        <v>Fabricação de bebidas</v>
      </c>
      <c r="E2481" s="4">
        <v>9720.3868952800003</v>
      </c>
      <c r="F2481" s="4">
        <v>15798752.96192014</v>
      </c>
    </row>
    <row r="2482" spans="1:6" x14ac:dyDescent="0.3">
      <c r="A2482" s="3" t="s">
        <v>19</v>
      </c>
      <c r="B2482" s="7" t="str">
        <f>VLOOKUP(VALUE(A2482), 'DICIONÁRIO UF'!$A:$B, 2, FALSE)</f>
        <v>Bahia</v>
      </c>
      <c r="C2482" s="3">
        <v>12000</v>
      </c>
      <c r="D2482" s="5" t="str">
        <f>VLOOKUP(C2482, 'DICIONÁRIO CNAES'!$A:$B, 2, FALSE)</f>
        <v>Processamento industrial e fabricação de produtos do fumo</v>
      </c>
      <c r="E2482" s="4">
        <v>273.45398576999997</v>
      </c>
      <c r="F2482" s="4">
        <v>300799.38434699998</v>
      </c>
    </row>
    <row r="2483" spans="1:6" x14ac:dyDescent="0.3">
      <c r="A2483" s="3" t="s">
        <v>19</v>
      </c>
      <c r="B2483" s="7" t="str">
        <f>VLOOKUP(VALUE(A2483), 'DICIONÁRIO UF'!$A:$B, 2, FALSE)</f>
        <v>Bahia</v>
      </c>
      <c r="C2483" s="3">
        <v>13001</v>
      </c>
      <c r="D2483" s="5" t="str">
        <f>VLOOKUP(C2483, 'DICIONÁRIO CNAES'!$A:$B, 2, FALSE)</f>
        <v>Preparação de fibras, fiação e tecelagem</v>
      </c>
      <c r="E2483" s="4">
        <v>10421.54420308</v>
      </c>
      <c r="F2483" s="4">
        <v>11025896.963772601</v>
      </c>
    </row>
    <row r="2484" spans="1:6" x14ac:dyDescent="0.3">
      <c r="A2484" s="3" t="s">
        <v>19</v>
      </c>
      <c r="B2484" s="7" t="str">
        <f>VLOOKUP(VALUE(A2484), 'DICIONÁRIO UF'!$A:$B, 2, FALSE)</f>
        <v>Bahia</v>
      </c>
      <c r="C2484" s="3">
        <v>13002</v>
      </c>
      <c r="D2484" s="5" t="str">
        <f>VLOOKUP(C2484, 'DICIONÁRIO CNAES'!$A:$B, 2, FALSE)</f>
        <v>Fabricação de artefatos têxteis, exceto vestuário</v>
      </c>
      <c r="E2484" s="4">
        <v>25782.58516151</v>
      </c>
      <c r="F2484" s="4">
        <v>18309329.365366101</v>
      </c>
    </row>
    <row r="2485" spans="1:6" x14ac:dyDescent="0.3">
      <c r="A2485" s="3" t="s">
        <v>19</v>
      </c>
      <c r="B2485" s="7" t="str">
        <f>VLOOKUP(VALUE(A2485), 'DICIONÁRIO UF'!$A:$B, 2, FALSE)</f>
        <v>Bahia</v>
      </c>
      <c r="C2485" s="3">
        <v>14001</v>
      </c>
      <c r="D2485" s="5" t="str">
        <f>VLOOKUP(C2485, 'DICIONÁRIO CNAES'!$A:$B, 2, FALSE)</f>
        <v>Confecção de artigos do vestuário e acessórios, exceto sob medida</v>
      </c>
      <c r="E2485" s="4">
        <v>23088.98961823</v>
      </c>
      <c r="F2485" s="4">
        <v>24188083.015033752</v>
      </c>
    </row>
    <row r="2486" spans="1:6" x14ac:dyDescent="0.3">
      <c r="A2486" s="3" t="s">
        <v>19</v>
      </c>
      <c r="B2486" s="7" t="str">
        <f>VLOOKUP(VALUE(A2486), 'DICIONÁRIO UF'!$A:$B, 2, FALSE)</f>
        <v>Bahia</v>
      </c>
      <c r="C2486" s="3">
        <v>14002</v>
      </c>
      <c r="D2486" s="5" t="str">
        <f>VLOOKUP(C2486, 'DICIONÁRIO CNAES'!$A:$B, 2, FALSE)</f>
        <v>Confecção, sob medida, de artigos do vestuário</v>
      </c>
      <c r="E2486" s="4">
        <v>21949.638332359998</v>
      </c>
      <c r="F2486" s="4">
        <v>10825879.0440032</v>
      </c>
    </row>
    <row r="2487" spans="1:6" x14ac:dyDescent="0.3">
      <c r="A2487" s="3" t="s">
        <v>19</v>
      </c>
      <c r="B2487" s="7" t="str">
        <f>VLOOKUP(VALUE(A2487), 'DICIONÁRIO UF'!$A:$B, 2, FALSE)</f>
        <v>Bahia</v>
      </c>
      <c r="C2487" s="3">
        <v>15012</v>
      </c>
      <c r="D2487" s="5" t="str">
        <f>VLOOKUP(C2487, 'DICIONÁRIO CNAES'!$A:$B, 2, FALSE)</f>
        <v>Fabricação de artigos de viagem e de artefatos diversos de couro</v>
      </c>
      <c r="E2487" s="4">
        <v>12549.81667376</v>
      </c>
      <c r="F2487" s="4">
        <v>8461089.5342734996</v>
      </c>
    </row>
    <row r="2488" spans="1:6" x14ac:dyDescent="0.3">
      <c r="A2488" s="3" t="s">
        <v>19</v>
      </c>
      <c r="B2488" s="7" t="str">
        <f>VLOOKUP(VALUE(A2488), 'DICIONÁRIO UF'!$A:$B, 2, FALSE)</f>
        <v>Bahia</v>
      </c>
      <c r="C2488" s="3">
        <v>15020</v>
      </c>
      <c r="D2488" s="5" t="str">
        <f>VLOOKUP(C2488, 'DICIONÁRIO CNAES'!$A:$B, 2, FALSE)</f>
        <v>Fabricação de calçados e partes para calçados, de qualquer material</v>
      </c>
      <c r="E2488" s="4">
        <v>29956.209138279999</v>
      </c>
      <c r="F2488" s="4">
        <v>33888570.166500501</v>
      </c>
    </row>
    <row r="2489" spans="1:6" x14ac:dyDescent="0.3">
      <c r="A2489" s="3" t="s">
        <v>19</v>
      </c>
      <c r="B2489" s="7" t="str">
        <f>VLOOKUP(VALUE(A2489), 'DICIONÁRIO UF'!$A:$B, 2, FALSE)</f>
        <v>Bahia</v>
      </c>
      <c r="C2489" s="3">
        <v>16001</v>
      </c>
      <c r="D2489" s="5" t="str">
        <f>VLOOKUP(C2489, 'DICIONÁRIO CNAES'!$A:$B, 2, FALSE)</f>
        <v>Serrarias</v>
      </c>
      <c r="E2489" s="4">
        <v>42.877706740000001</v>
      </c>
      <c r="F2489" s="4">
        <v>30014.394718</v>
      </c>
    </row>
    <row r="2490" spans="1:6" x14ac:dyDescent="0.3">
      <c r="A2490" s="3" t="s">
        <v>19</v>
      </c>
      <c r="B2490" s="7" t="str">
        <f>VLOOKUP(VALUE(A2490), 'DICIONÁRIO UF'!$A:$B, 2, FALSE)</f>
        <v>Bahia</v>
      </c>
      <c r="C2490" s="3">
        <v>16002</v>
      </c>
      <c r="D2490" s="5" t="str">
        <f>VLOOKUP(C2490, 'DICIONÁRIO CNAES'!$A:$B, 2, FALSE)</f>
        <v>Fabricação de produtos de madeira, cortiça e material trançado, exceto móveis</v>
      </c>
      <c r="E2490" s="4">
        <v>16716.99016107</v>
      </c>
      <c r="F2490" s="4">
        <v>15915819.6043688</v>
      </c>
    </row>
    <row r="2491" spans="1:6" x14ac:dyDescent="0.3">
      <c r="A2491" s="3" t="s">
        <v>19</v>
      </c>
      <c r="B2491" s="7" t="str">
        <f>VLOOKUP(VALUE(A2491), 'DICIONÁRIO UF'!$A:$B, 2, FALSE)</f>
        <v>Bahia</v>
      </c>
      <c r="C2491" s="3">
        <v>17001</v>
      </c>
      <c r="D2491" s="5" t="str">
        <f>VLOOKUP(C2491, 'DICIONÁRIO CNAES'!$A:$B, 2, FALSE)</f>
        <v>Fabricação de celulose, papel, cartolina e papel-cartão</v>
      </c>
      <c r="E2491" s="4">
        <v>15371.67249778</v>
      </c>
      <c r="F2491" s="4">
        <v>81567739.916746005</v>
      </c>
    </row>
    <row r="2492" spans="1:6" x14ac:dyDescent="0.3">
      <c r="A2492" s="3" t="s">
        <v>19</v>
      </c>
      <c r="B2492" s="7" t="str">
        <f>VLOOKUP(VALUE(A2492), 'DICIONÁRIO UF'!$A:$B, 2, FALSE)</f>
        <v>Bahia</v>
      </c>
      <c r="C2492" s="3">
        <v>17002</v>
      </c>
      <c r="D2492" s="5" t="str">
        <f>VLOOKUP(C2492, 'DICIONÁRIO CNAES'!$A:$B, 2, FALSE)</f>
        <v>Fabricação de embalagens e de produtos diversos de papel, cartolina, papel-cartão e papelão ondulado</v>
      </c>
      <c r="E2492" s="4">
        <v>2069.34502428</v>
      </c>
      <c r="F2492" s="4">
        <v>1255520.8466942001</v>
      </c>
    </row>
    <row r="2493" spans="1:6" x14ac:dyDescent="0.3">
      <c r="A2493" s="3" t="s">
        <v>19</v>
      </c>
      <c r="B2493" s="7" t="str">
        <f>VLOOKUP(VALUE(A2493), 'DICIONÁRIO UF'!$A:$B, 2, FALSE)</f>
        <v>Bahia</v>
      </c>
      <c r="C2493" s="3">
        <v>18000</v>
      </c>
      <c r="D2493" s="5" t="str">
        <f>VLOOKUP(C2493, 'DICIONÁRIO CNAES'!$A:$B, 2, FALSE)</f>
        <v>Impressão e reprodução de gravações</v>
      </c>
      <c r="E2493" s="4">
        <v>14498.81294308</v>
      </c>
      <c r="F2493" s="4">
        <v>17034222.403815001</v>
      </c>
    </row>
    <row r="2494" spans="1:6" x14ac:dyDescent="0.3">
      <c r="A2494" s="3" t="s">
        <v>19</v>
      </c>
      <c r="B2494" s="7" t="str">
        <f>VLOOKUP(VALUE(A2494), 'DICIONÁRIO UF'!$A:$B, 2, FALSE)</f>
        <v>Bahia</v>
      </c>
      <c r="C2494" s="3">
        <v>19020</v>
      </c>
      <c r="D2494" s="5" t="str">
        <f>VLOOKUP(C2494, 'DICIONÁRIO CNAES'!$A:$B, 2, FALSE)</f>
        <v>Fabricação de produtos derivados do petróleo</v>
      </c>
      <c r="E2494" s="4">
        <v>6982.8241555000004</v>
      </c>
      <c r="F2494" s="4">
        <v>28112409.050501999</v>
      </c>
    </row>
    <row r="2495" spans="1:6" x14ac:dyDescent="0.3">
      <c r="A2495" s="3" t="s">
        <v>19</v>
      </c>
      <c r="B2495" s="7" t="str">
        <f>VLOOKUP(VALUE(A2495), 'DICIONÁRIO UF'!$A:$B, 2, FALSE)</f>
        <v>Bahia</v>
      </c>
      <c r="C2495" s="3">
        <v>19030</v>
      </c>
      <c r="D2495" s="5" t="str">
        <f>VLOOKUP(C2495, 'DICIONÁRIO CNAES'!$A:$B, 2, FALSE)</f>
        <v>Produção de biocombustíveis</v>
      </c>
      <c r="E2495" s="4">
        <v>1965.7283746200001</v>
      </c>
      <c r="F2495" s="4">
        <v>2881413.5495859999</v>
      </c>
    </row>
    <row r="2496" spans="1:6" x14ac:dyDescent="0.3">
      <c r="A2496" s="3" t="s">
        <v>19</v>
      </c>
      <c r="B2496" s="7" t="str">
        <f>VLOOKUP(VALUE(A2496), 'DICIONÁRIO UF'!$A:$B, 2, FALSE)</f>
        <v>Bahia</v>
      </c>
      <c r="C2496" s="3">
        <v>20020</v>
      </c>
      <c r="D2496" s="5" t="str">
        <f>VLOOKUP(C2496, 'DICIONÁRIO CNAES'!$A:$B, 2, FALSE)</f>
        <v>Fabricação de sabões, detergentes, produtos de limpeza, cosméticos, produtos de perfumaria e de higiene pessoal</v>
      </c>
      <c r="E2496" s="4">
        <v>7432.6842705899999</v>
      </c>
      <c r="F2496" s="4">
        <v>10375602.368558001</v>
      </c>
    </row>
    <row r="2497" spans="1:6" x14ac:dyDescent="0.3">
      <c r="A2497" s="3" t="s">
        <v>19</v>
      </c>
      <c r="B2497" s="7" t="str">
        <f>VLOOKUP(VALUE(A2497), 'DICIONÁRIO UF'!$A:$B, 2, FALSE)</f>
        <v>Bahia</v>
      </c>
      <c r="C2497" s="3">
        <v>20090</v>
      </c>
      <c r="D2497" s="5" t="str">
        <f>VLOOKUP(C2497, 'DICIONÁRIO CNAES'!$A:$B, 2, FALSE)</f>
        <v>Fabricação de outros produtos químicos não especificados anteriormente</v>
      </c>
      <c r="E2497" s="4">
        <v>7674.2527552399997</v>
      </c>
      <c r="F2497" s="4">
        <v>12767035.706506001</v>
      </c>
    </row>
    <row r="2498" spans="1:6" x14ac:dyDescent="0.3">
      <c r="A2498" s="3" t="s">
        <v>19</v>
      </c>
      <c r="B2498" s="7" t="str">
        <f>VLOOKUP(VALUE(A2498), 'DICIONÁRIO UF'!$A:$B, 2, FALSE)</f>
        <v>Bahia</v>
      </c>
      <c r="C2498" s="3">
        <v>21000</v>
      </c>
      <c r="D2498" s="5" t="str">
        <f>VLOOKUP(C2498, 'DICIONÁRIO CNAES'!$A:$B, 2, FALSE)</f>
        <v>Fabricação de produtos farmoquimicos e farmacêuticos</v>
      </c>
      <c r="E2498" s="4">
        <v>3296.8219763699999</v>
      </c>
      <c r="F2498" s="4">
        <v>12483385.521505</v>
      </c>
    </row>
    <row r="2499" spans="1:6" x14ac:dyDescent="0.3">
      <c r="A2499" s="3" t="s">
        <v>19</v>
      </c>
      <c r="B2499" s="7" t="str">
        <f>VLOOKUP(VALUE(A2499), 'DICIONÁRIO UF'!$A:$B, 2, FALSE)</f>
        <v>Bahia</v>
      </c>
      <c r="C2499" s="3">
        <v>22010</v>
      </c>
      <c r="D2499" s="5" t="str">
        <f>VLOOKUP(C2499, 'DICIONÁRIO CNAES'!$A:$B, 2, FALSE)</f>
        <v>Fabricação de produtos de borracha</v>
      </c>
      <c r="E2499" s="4">
        <v>4458.1932785099998</v>
      </c>
      <c r="F2499" s="4">
        <v>15323012.868268499</v>
      </c>
    </row>
    <row r="2500" spans="1:6" x14ac:dyDescent="0.3">
      <c r="A2500" s="3" t="s">
        <v>19</v>
      </c>
      <c r="B2500" s="7" t="str">
        <f>VLOOKUP(VALUE(A2500), 'DICIONÁRIO UF'!$A:$B, 2, FALSE)</f>
        <v>Bahia</v>
      </c>
      <c r="C2500" s="3">
        <v>22020</v>
      </c>
      <c r="D2500" s="5" t="str">
        <f>VLOOKUP(C2500, 'DICIONÁRIO CNAES'!$A:$B, 2, FALSE)</f>
        <v>Fabricação de produtos de material plástico</v>
      </c>
      <c r="E2500" s="4">
        <v>17467.654929330001</v>
      </c>
      <c r="F2500" s="4">
        <v>55621215.834329247</v>
      </c>
    </row>
    <row r="2501" spans="1:6" x14ac:dyDescent="0.3">
      <c r="A2501" s="3" t="s">
        <v>19</v>
      </c>
      <c r="B2501" s="7" t="str">
        <f>VLOOKUP(VALUE(A2501), 'DICIONÁRIO UF'!$A:$B, 2, FALSE)</f>
        <v>Bahia</v>
      </c>
      <c r="C2501" s="3">
        <v>23010</v>
      </c>
      <c r="D2501" s="5" t="str">
        <f>VLOOKUP(C2501, 'DICIONÁRIO CNAES'!$A:$B, 2, FALSE)</f>
        <v>Fabricação de vidro e produtos de vidro</v>
      </c>
      <c r="E2501" s="4">
        <v>475.28366777999997</v>
      </c>
      <c r="F2501" s="4">
        <v>665397.134892</v>
      </c>
    </row>
    <row r="2502" spans="1:6" x14ac:dyDescent="0.3">
      <c r="A2502" s="3" t="s">
        <v>19</v>
      </c>
      <c r="B2502" s="7" t="str">
        <f>VLOOKUP(VALUE(A2502), 'DICIONÁRIO UF'!$A:$B, 2, FALSE)</f>
        <v>Bahia</v>
      </c>
      <c r="C2502" s="3">
        <v>23091</v>
      </c>
      <c r="D2502" s="5" t="str">
        <f>VLOOKUP(C2502, 'DICIONÁRIO CNAES'!$A:$B, 2, FALSE)</f>
        <v>Fabricação de produtos cerâmicos</v>
      </c>
      <c r="E2502" s="4">
        <v>28398.965811369999</v>
      </c>
      <c r="F2502" s="4">
        <v>28075069.17244482</v>
      </c>
    </row>
    <row r="2503" spans="1:6" x14ac:dyDescent="0.3">
      <c r="A2503" s="3" t="s">
        <v>19</v>
      </c>
      <c r="B2503" s="7" t="str">
        <f>VLOOKUP(VALUE(A2503), 'DICIONÁRIO UF'!$A:$B, 2, FALSE)</f>
        <v>Bahia</v>
      </c>
      <c r="C2503" s="3">
        <v>23099</v>
      </c>
      <c r="D2503" s="5" t="str">
        <f>VLOOKUP(C2503, 'DICIONÁRIO CNAES'!$A:$B, 2, FALSE)</f>
        <v>Fabricação de outros produtos de minerais não-metálicos não especificados anteriormente</v>
      </c>
      <c r="E2503" s="4">
        <v>5834.4114035900002</v>
      </c>
      <c r="F2503" s="4">
        <v>6823447.8894389998</v>
      </c>
    </row>
    <row r="2504" spans="1:6" x14ac:dyDescent="0.3">
      <c r="A2504" s="3" t="s">
        <v>19</v>
      </c>
      <c r="B2504" s="7" t="str">
        <f>VLOOKUP(VALUE(A2504), 'DICIONÁRIO UF'!$A:$B, 2, FALSE)</f>
        <v>Bahia</v>
      </c>
      <c r="C2504" s="3">
        <v>24001</v>
      </c>
      <c r="D2504" s="5" t="str">
        <f>VLOOKUP(C2504, 'DICIONÁRIO CNAES'!$A:$B, 2, FALSE)</f>
        <v>Fabricação de produtos siderúrgicos</v>
      </c>
      <c r="E2504" s="4">
        <v>817.24618913999996</v>
      </c>
      <c r="F2504" s="4">
        <v>2043115.47285</v>
      </c>
    </row>
    <row r="2505" spans="1:6" x14ac:dyDescent="0.3">
      <c r="A2505" s="3" t="s">
        <v>19</v>
      </c>
      <c r="B2505" s="7" t="str">
        <f>VLOOKUP(VALUE(A2505), 'DICIONÁRIO UF'!$A:$B, 2, FALSE)</f>
        <v>Bahia</v>
      </c>
      <c r="C2505" s="3">
        <v>24002</v>
      </c>
      <c r="D2505" s="5" t="str">
        <f>VLOOKUP(C2505, 'DICIONÁRIO CNAES'!$A:$B, 2, FALSE)</f>
        <v>Metalurgia dos metais não-ferrosos</v>
      </c>
      <c r="E2505" s="4">
        <v>972.39383783999995</v>
      </c>
      <c r="F2505" s="4">
        <v>1069633.221624</v>
      </c>
    </row>
    <row r="2506" spans="1:6" x14ac:dyDescent="0.3">
      <c r="A2506" s="3" t="s">
        <v>19</v>
      </c>
      <c r="B2506" s="7" t="str">
        <f>VLOOKUP(VALUE(A2506), 'DICIONÁRIO UF'!$A:$B, 2, FALSE)</f>
        <v>Bahia</v>
      </c>
      <c r="C2506" s="3">
        <v>25001</v>
      </c>
      <c r="D2506" s="5" t="str">
        <f>VLOOKUP(C2506, 'DICIONÁRIO CNAES'!$A:$B, 2, FALSE)</f>
        <v>Fabricação de produtos de metal, exceto máquinas e equipamentos</v>
      </c>
      <c r="E2506" s="4">
        <v>41069.702822530002</v>
      </c>
      <c r="F2506" s="4">
        <v>75848515.796565324</v>
      </c>
    </row>
    <row r="2507" spans="1:6" x14ac:dyDescent="0.3">
      <c r="A2507" s="3" t="s">
        <v>19</v>
      </c>
      <c r="B2507" s="7" t="str">
        <f>VLOOKUP(VALUE(A2507), 'DICIONÁRIO UF'!$A:$B, 2, FALSE)</f>
        <v>Bahia</v>
      </c>
      <c r="C2507" s="3">
        <v>25002</v>
      </c>
      <c r="D2507" s="5" t="str">
        <f>VLOOKUP(C2507, 'DICIONÁRIO CNAES'!$A:$B, 2, FALSE)</f>
        <v>Forjaria, estamparia, metalurgia do pó e serviços de tratamento de metais</v>
      </c>
      <c r="E2507" s="4">
        <v>2546.9573483300001</v>
      </c>
      <c r="F2507" s="4">
        <v>3324962.8925890001</v>
      </c>
    </row>
    <row r="2508" spans="1:6" x14ac:dyDescent="0.3">
      <c r="A2508" s="3" t="s">
        <v>19</v>
      </c>
      <c r="B2508" s="7" t="str">
        <f>VLOOKUP(VALUE(A2508), 'DICIONÁRIO UF'!$A:$B, 2, FALSE)</f>
        <v>Bahia</v>
      </c>
      <c r="C2508" s="3">
        <v>26020</v>
      </c>
      <c r="D2508" s="5" t="str">
        <f>VLOOKUP(C2508, 'DICIONÁRIO CNAES'!$A:$B, 2, FALSE)</f>
        <v>Fabricação de equipamentos de informática e periféricos</v>
      </c>
      <c r="E2508" s="4">
        <v>862.54720608000002</v>
      </c>
      <c r="F2508" s="4">
        <v>948801.92668799998</v>
      </c>
    </row>
    <row r="2509" spans="1:6" x14ac:dyDescent="0.3">
      <c r="A2509" s="3" t="s">
        <v>19</v>
      </c>
      <c r="B2509" s="7" t="str">
        <f>VLOOKUP(VALUE(A2509), 'DICIONÁRIO UF'!$A:$B, 2, FALSE)</f>
        <v>Bahia</v>
      </c>
      <c r="C2509" s="3">
        <v>27010</v>
      </c>
      <c r="D2509" s="5" t="str">
        <f>VLOOKUP(C2509, 'DICIONÁRIO CNAES'!$A:$B, 2, FALSE)</f>
        <v>Fabricação de eletrodomesticos</v>
      </c>
      <c r="E2509" s="4">
        <v>2089.74800086</v>
      </c>
      <c r="F2509" s="4">
        <v>2459837.559504</v>
      </c>
    </row>
    <row r="2510" spans="1:6" x14ac:dyDescent="0.3">
      <c r="A2510" s="3" t="s">
        <v>19</v>
      </c>
      <c r="B2510" s="7" t="str">
        <f>VLOOKUP(VALUE(A2510), 'DICIONÁRIO UF'!$A:$B, 2, FALSE)</f>
        <v>Bahia</v>
      </c>
      <c r="C2510" s="3">
        <v>27090</v>
      </c>
      <c r="D2510" s="5" t="str">
        <f>VLOOKUP(C2510, 'DICIONÁRIO CNAES'!$A:$B, 2, FALSE)</f>
        <v>Fabricação de máquinas, aparelhos e materiais elétricos diversos, exceto eletrodomesticos</v>
      </c>
      <c r="E2510" s="4">
        <v>680.31509470000003</v>
      </c>
      <c r="F2510" s="4">
        <v>1700787.7367499999</v>
      </c>
    </row>
    <row r="2511" spans="1:6" x14ac:dyDescent="0.3">
      <c r="A2511" s="3" t="s">
        <v>19</v>
      </c>
      <c r="B2511" s="7" t="str">
        <f>VLOOKUP(VALUE(A2511), 'DICIONÁRIO UF'!$A:$B, 2, FALSE)</f>
        <v>Bahia</v>
      </c>
      <c r="C2511" s="3">
        <v>28000</v>
      </c>
      <c r="D2511" s="5" t="str">
        <f>VLOOKUP(C2511, 'DICIONÁRIO CNAES'!$A:$B, 2, FALSE)</f>
        <v>Fabricação de máquinas e equipamentos</v>
      </c>
      <c r="E2511" s="4">
        <v>3220.1369543000001</v>
      </c>
      <c r="F2511" s="4">
        <v>7796370.9473979995</v>
      </c>
    </row>
    <row r="2512" spans="1:6" x14ac:dyDescent="0.3">
      <c r="A2512" s="3" t="s">
        <v>19</v>
      </c>
      <c r="B2512" s="7" t="str">
        <f>VLOOKUP(VALUE(A2512), 'DICIONÁRIO UF'!$A:$B, 2, FALSE)</f>
        <v>Bahia</v>
      </c>
      <c r="C2512" s="3">
        <v>29002</v>
      </c>
      <c r="D2512" s="5" t="str">
        <f>VLOOKUP(C2512, 'DICIONÁRIO CNAES'!$A:$B, 2, FALSE)</f>
        <v>Fabricação de cabines, carrocerias, reboques e peças para veículos automotores</v>
      </c>
      <c r="E2512" s="4">
        <v>850.40096840000001</v>
      </c>
      <c r="F2512" s="4">
        <v>3826804.3577999999</v>
      </c>
    </row>
    <row r="2513" spans="1:6" x14ac:dyDescent="0.3">
      <c r="A2513" s="3" t="s">
        <v>19</v>
      </c>
      <c r="B2513" s="7" t="str">
        <f>VLOOKUP(VALUE(A2513), 'DICIONÁRIO UF'!$A:$B, 2, FALSE)</f>
        <v>Bahia</v>
      </c>
      <c r="C2513" s="3">
        <v>30010</v>
      </c>
      <c r="D2513" s="5" t="str">
        <f>VLOOKUP(C2513, 'DICIONÁRIO CNAES'!$A:$B, 2, FALSE)</f>
        <v xml:space="preserve">Construção de embarcações </v>
      </c>
      <c r="E2513" s="4">
        <v>961.52368713999999</v>
      </c>
      <c r="F2513" s="4">
        <v>2846104.4921800001</v>
      </c>
    </row>
    <row r="2514" spans="1:6" x14ac:dyDescent="0.3">
      <c r="A2514" s="3" t="s">
        <v>19</v>
      </c>
      <c r="B2514" s="7" t="str">
        <f>VLOOKUP(VALUE(A2514), 'DICIONÁRIO UF'!$A:$B, 2, FALSE)</f>
        <v>Bahia</v>
      </c>
      <c r="C2514" s="3">
        <v>31000</v>
      </c>
      <c r="D2514" s="5" t="str">
        <f>VLOOKUP(C2514, 'DICIONÁRIO CNAES'!$A:$B, 2, FALSE)</f>
        <v>Fabricação de móveis</v>
      </c>
      <c r="E2514" s="4">
        <v>18968.889578049999</v>
      </c>
      <c r="F2514" s="4">
        <v>25733502.06054727</v>
      </c>
    </row>
    <row r="2515" spans="1:6" x14ac:dyDescent="0.3">
      <c r="A2515" s="3" t="s">
        <v>19</v>
      </c>
      <c r="B2515" s="7" t="str">
        <f>VLOOKUP(VALUE(A2515), 'DICIONÁRIO UF'!$A:$B, 2, FALSE)</f>
        <v>Bahia</v>
      </c>
      <c r="C2515" s="3">
        <v>32001</v>
      </c>
      <c r="D2515" s="5" t="str">
        <f>VLOOKUP(C2515, 'DICIONÁRIO CNAES'!$A:$B, 2, FALSE)</f>
        <v>Fabricação de artigos de joalheria, bijuteria e semelhantes</v>
      </c>
      <c r="E2515" s="4">
        <v>3239.5908443799999</v>
      </c>
      <c r="F2515" s="4">
        <v>9686131.3252039999</v>
      </c>
    </row>
    <row r="2516" spans="1:6" x14ac:dyDescent="0.3">
      <c r="A2516" s="3" t="s">
        <v>19</v>
      </c>
      <c r="B2516" s="7" t="str">
        <f>VLOOKUP(VALUE(A2516), 'DICIONÁRIO UF'!$A:$B, 2, FALSE)</f>
        <v>Bahia</v>
      </c>
      <c r="C2516" s="3">
        <v>32003</v>
      </c>
      <c r="D2516" s="5" t="str">
        <f>VLOOKUP(C2516, 'DICIONÁRIO CNAES'!$A:$B, 2, FALSE)</f>
        <v>Fabricação de artefatos para pesca e esporte e de brinquedos e jogos recreativos</v>
      </c>
      <c r="E2516" s="4">
        <v>2294.4213923699999</v>
      </c>
      <c r="F2516" s="4">
        <v>6437305.8975198008</v>
      </c>
    </row>
    <row r="2517" spans="1:6" x14ac:dyDescent="0.3">
      <c r="A2517" s="3" t="s">
        <v>19</v>
      </c>
      <c r="B2517" s="7" t="str">
        <f>VLOOKUP(VALUE(A2517), 'DICIONÁRIO UF'!$A:$B, 2, FALSE)</f>
        <v>Bahia</v>
      </c>
      <c r="C2517" s="3">
        <v>32009</v>
      </c>
      <c r="D2517" s="5" t="str">
        <f>VLOOKUP(C2517, 'DICIONÁRIO CNAES'!$A:$B, 2, FALSE)</f>
        <v>Fabricação de produtos diversos</v>
      </c>
      <c r="E2517" s="4">
        <v>14027.1219712</v>
      </c>
      <c r="F2517" s="4">
        <v>25610842.279165201</v>
      </c>
    </row>
    <row r="2518" spans="1:6" x14ac:dyDescent="0.3">
      <c r="A2518" s="3" t="s">
        <v>19</v>
      </c>
      <c r="B2518" s="7" t="str">
        <f>VLOOKUP(VALUE(A2518), 'DICIONÁRIO UF'!$A:$B, 2, FALSE)</f>
        <v>Bahia</v>
      </c>
      <c r="C2518" s="3">
        <v>33001</v>
      </c>
      <c r="D2518" s="5" t="str">
        <f>VLOOKUP(C2518, 'DICIONÁRIO CNAES'!$A:$B, 2, FALSE)</f>
        <v>Manutenção e reparação de máquinas e equipamentos</v>
      </c>
      <c r="E2518" s="4">
        <v>8912.819012349999</v>
      </c>
      <c r="F2518" s="4">
        <v>12723823.729631411</v>
      </c>
    </row>
    <row r="2519" spans="1:6" x14ac:dyDescent="0.3">
      <c r="A2519" s="3" t="s">
        <v>19</v>
      </c>
      <c r="B2519" s="7" t="str">
        <f>VLOOKUP(VALUE(A2519), 'DICIONÁRIO UF'!$A:$B, 2, FALSE)</f>
        <v>Bahia</v>
      </c>
      <c r="C2519" s="3">
        <v>33002</v>
      </c>
      <c r="D2519" s="5" t="str">
        <f>VLOOKUP(C2519, 'DICIONÁRIO CNAES'!$A:$B, 2, FALSE)</f>
        <v>Instalação de máquinas e equipamentos</v>
      </c>
      <c r="E2519" s="4">
        <v>5470.6062039999997</v>
      </c>
      <c r="F2519" s="4">
        <v>6926897.7045919998</v>
      </c>
    </row>
    <row r="2520" spans="1:6" x14ac:dyDescent="0.3">
      <c r="A2520" s="3" t="s">
        <v>19</v>
      </c>
      <c r="B2520" s="7" t="str">
        <f>VLOOKUP(VALUE(A2520), 'DICIONÁRIO UF'!$A:$B, 2, FALSE)</f>
        <v>Bahia</v>
      </c>
      <c r="C2520" s="3">
        <v>35010</v>
      </c>
      <c r="D2520" s="5" t="str">
        <f>VLOOKUP(C2520, 'DICIONÁRIO CNAES'!$A:$B, 2, FALSE)</f>
        <v>Geração, transmissão e distribuição de energia elétrica</v>
      </c>
      <c r="E2520" s="4">
        <v>11477.96943435</v>
      </c>
      <c r="F2520" s="4">
        <v>26704009.531604499</v>
      </c>
    </row>
    <row r="2521" spans="1:6" x14ac:dyDescent="0.3">
      <c r="A2521" s="3" t="s">
        <v>19</v>
      </c>
      <c r="B2521" s="7" t="str">
        <f>VLOOKUP(VALUE(A2521), 'DICIONÁRIO UF'!$A:$B, 2, FALSE)</f>
        <v>Bahia</v>
      </c>
      <c r="C2521" s="3">
        <v>35021</v>
      </c>
      <c r="D2521" s="5" t="str">
        <f>VLOOKUP(C2521, 'DICIONÁRIO CNAES'!$A:$B, 2, FALSE)</f>
        <v>Produção e distribuição de combustíveis gasosos por redes urbanas</v>
      </c>
      <c r="E2521" s="4">
        <v>447.76022358</v>
      </c>
      <c r="F2521" s="4">
        <v>1343280.67074</v>
      </c>
    </row>
    <row r="2522" spans="1:6" x14ac:dyDescent="0.3">
      <c r="A2522" s="3" t="s">
        <v>19</v>
      </c>
      <c r="B2522" s="7" t="str">
        <f>VLOOKUP(VALUE(A2522), 'DICIONÁRIO UF'!$A:$B, 2, FALSE)</f>
        <v>Bahia</v>
      </c>
      <c r="C2522" s="3">
        <v>36000</v>
      </c>
      <c r="D2522" s="5" t="str">
        <f>VLOOKUP(C2522, 'DICIONÁRIO CNAES'!$A:$B, 2, FALSE)</f>
        <v>Captação, tratamento e distribuição de água</v>
      </c>
      <c r="E2522" s="4">
        <v>11131.04157395</v>
      </c>
      <c r="F2522" s="4">
        <v>27585520.609464999</v>
      </c>
    </row>
    <row r="2523" spans="1:6" x14ac:dyDescent="0.3">
      <c r="A2523" s="3" t="s">
        <v>19</v>
      </c>
      <c r="B2523" s="7" t="str">
        <f>VLOOKUP(VALUE(A2523), 'DICIONÁRIO UF'!$A:$B, 2, FALSE)</f>
        <v>Bahia</v>
      </c>
      <c r="C2523" s="3">
        <v>38000</v>
      </c>
      <c r="D2523" s="5" t="str">
        <f>VLOOKUP(C2523, 'DICIONÁRIO CNAES'!$A:$B, 2, FALSE)</f>
        <v>Coleta, tratamento e disposição de resíduos; recuperação de materiais</v>
      </c>
      <c r="E2523" s="4">
        <v>11054.833883110001</v>
      </c>
      <c r="F2523" s="4">
        <v>11241334.3989037</v>
      </c>
    </row>
    <row r="2524" spans="1:6" x14ac:dyDescent="0.3">
      <c r="A2524" s="3" t="s">
        <v>19</v>
      </c>
      <c r="B2524" s="7" t="str">
        <f>VLOOKUP(VALUE(A2524), 'DICIONÁRIO UF'!$A:$B, 2, FALSE)</f>
        <v>Bahia</v>
      </c>
      <c r="C2524" s="3">
        <v>41000</v>
      </c>
      <c r="D2524" s="5" t="str">
        <f>VLOOKUP(C2524, 'DICIONÁRIO CNAES'!$A:$B, 2, FALSE)</f>
        <v>Construção de edifícios</v>
      </c>
      <c r="E2524" s="4">
        <v>374416.67171458999</v>
      </c>
      <c r="F2524" s="4">
        <v>460777088.93189049</v>
      </c>
    </row>
    <row r="2525" spans="1:6" x14ac:dyDescent="0.3">
      <c r="A2525" s="3" t="s">
        <v>19</v>
      </c>
      <c r="B2525" s="7" t="str">
        <f>VLOOKUP(VALUE(A2525), 'DICIONÁRIO UF'!$A:$B, 2, FALSE)</f>
        <v>Bahia</v>
      </c>
      <c r="C2525" s="3">
        <v>42000</v>
      </c>
      <c r="D2525" s="5" t="str">
        <f>VLOOKUP(C2525, 'DICIONÁRIO CNAES'!$A:$B, 2, FALSE)</f>
        <v>Construção de obras de infra-estrutura</v>
      </c>
      <c r="E2525" s="4">
        <v>20842.16812712</v>
      </c>
      <c r="F2525" s="4">
        <v>37294229.772571579</v>
      </c>
    </row>
    <row r="2526" spans="1:6" x14ac:dyDescent="0.3">
      <c r="A2526" s="3" t="s">
        <v>19</v>
      </c>
      <c r="B2526" s="7" t="str">
        <f>VLOOKUP(VALUE(A2526), 'DICIONÁRIO UF'!$A:$B, 2, FALSE)</f>
        <v>Bahia</v>
      </c>
      <c r="C2526" s="3">
        <v>43000</v>
      </c>
      <c r="D2526" s="5" t="str">
        <f>VLOOKUP(C2526, 'DICIONÁRIO CNAES'!$A:$B, 2, FALSE)</f>
        <v>Serviços especializados para construção</v>
      </c>
      <c r="E2526" s="4">
        <v>86491.240780380002</v>
      </c>
      <c r="F2526" s="4">
        <v>128863940.09166411</v>
      </c>
    </row>
    <row r="2527" spans="1:6" x14ac:dyDescent="0.3">
      <c r="A2527" s="3" t="s">
        <v>19</v>
      </c>
      <c r="B2527" s="7" t="str">
        <f>VLOOKUP(VALUE(A2527), 'DICIONÁRIO UF'!$A:$B, 2, FALSE)</f>
        <v>Bahia</v>
      </c>
      <c r="C2527" s="3">
        <v>45010</v>
      </c>
      <c r="D2527" s="5" t="str">
        <f>VLOOKUP(C2527, 'DICIONÁRIO CNAES'!$A:$B, 2, FALSE)</f>
        <v>Comércio de veículos automotores</v>
      </c>
      <c r="E2527" s="4">
        <v>15557.925935290001</v>
      </c>
      <c r="F2527" s="4">
        <v>22837010.9214947</v>
      </c>
    </row>
    <row r="2528" spans="1:6" x14ac:dyDescent="0.3">
      <c r="A2528" s="3" t="s">
        <v>19</v>
      </c>
      <c r="B2528" s="7" t="str">
        <f>VLOOKUP(VALUE(A2528), 'DICIONÁRIO UF'!$A:$B, 2, FALSE)</f>
        <v>Bahia</v>
      </c>
      <c r="C2528" s="3">
        <v>45020</v>
      </c>
      <c r="D2528" s="5" t="str">
        <f>VLOOKUP(C2528, 'DICIONÁRIO CNAES'!$A:$B, 2, FALSE)</f>
        <v>Manutenção e reparação de veículos automotores</v>
      </c>
      <c r="E2528" s="4">
        <v>92850.923933550002</v>
      </c>
      <c r="F2528" s="4">
        <v>117441325.4269572</v>
      </c>
    </row>
    <row r="2529" spans="1:6" x14ac:dyDescent="0.3">
      <c r="A2529" s="3" t="s">
        <v>19</v>
      </c>
      <c r="B2529" s="7" t="str">
        <f>VLOOKUP(VALUE(A2529), 'DICIONÁRIO UF'!$A:$B, 2, FALSE)</f>
        <v>Bahia</v>
      </c>
      <c r="C2529" s="3">
        <v>45030</v>
      </c>
      <c r="D2529" s="5" t="str">
        <f>VLOOKUP(C2529, 'DICIONÁRIO CNAES'!$A:$B, 2, FALSE)</f>
        <v>Comércio de peças e acessórios para veículos automotores</v>
      </c>
      <c r="E2529" s="4">
        <v>23123.070201499999</v>
      </c>
      <c r="F2529" s="4">
        <v>51412099.335627504</v>
      </c>
    </row>
    <row r="2530" spans="1:6" x14ac:dyDescent="0.3">
      <c r="A2530" s="3" t="s">
        <v>19</v>
      </c>
      <c r="B2530" s="7" t="str">
        <f>VLOOKUP(VALUE(A2530), 'DICIONÁRIO UF'!$A:$B, 2, FALSE)</f>
        <v>Bahia</v>
      </c>
      <c r="C2530" s="3">
        <v>45040</v>
      </c>
      <c r="D2530" s="5" t="str">
        <f>VLOOKUP(C2530, 'DICIONÁRIO CNAES'!$A:$B, 2, FALSE)</f>
        <v>Comércio, manutenção e reparação de motocicletas, peças e acessórios</v>
      </c>
      <c r="E2530" s="4">
        <v>25234.53353742</v>
      </c>
      <c r="F2530" s="4">
        <v>38042548.871917747</v>
      </c>
    </row>
    <row r="2531" spans="1:6" x14ac:dyDescent="0.3">
      <c r="A2531" s="3" t="s">
        <v>19</v>
      </c>
      <c r="B2531" s="7" t="str">
        <f>VLOOKUP(VALUE(A2531), 'DICIONÁRIO UF'!$A:$B, 2, FALSE)</f>
        <v>Bahia</v>
      </c>
      <c r="C2531" s="3">
        <v>48010</v>
      </c>
      <c r="D2531" s="5" t="str">
        <f>VLOOKUP(C2531, 'DICIONÁRIO CNAES'!$A:$B, 2, FALSE)</f>
        <v>Representantes comerciais e agentes do comércio, exceto de veículos automotores e motocicletas</v>
      </c>
      <c r="E2531" s="4">
        <v>8308.1950171499993</v>
      </c>
      <c r="F2531" s="4">
        <v>31008061.227250502</v>
      </c>
    </row>
    <row r="2532" spans="1:6" x14ac:dyDescent="0.3">
      <c r="A2532" s="3" t="s">
        <v>19</v>
      </c>
      <c r="B2532" s="7" t="str">
        <f>VLOOKUP(VALUE(A2532), 'DICIONÁRIO UF'!$A:$B, 2, FALSE)</f>
        <v>Bahia</v>
      </c>
      <c r="C2532" s="3">
        <v>48020</v>
      </c>
      <c r="D2532" s="5" t="str">
        <f>VLOOKUP(C2532, 'DICIONÁRIO CNAES'!$A:$B, 2, FALSE)</f>
        <v>Comércio de matérias-primas agrícolas e animais vivos</v>
      </c>
      <c r="E2532" s="4">
        <v>9416.2221326100007</v>
      </c>
      <c r="F2532" s="4">
        <v>14660979.3693728</v>
      </c>
    </row>
    <row r="2533" spans="1:6" x14ac:dyDescent="0.3">
      <c r="A2533" s="3" t="s">
        <v>19</v>
      </c>
      <c r="B2533" s="7" t="str">
        <f>VLOOKUP(VALUE(A2533), 'DICIONÁRIO UF'!$A:$B, 2, FALSE)</f>
        <v>Bahia</v>
      </c>
      <c r="C2533" s="3">
        <v>48030</v>
      </c>
      <c r="D2533" s="5" t="str">
        <f>VLOOKUP(C2533, 'DICIONÁRIO CNAES'!$A:$B, 2, FALSE)</f>
        <v>Comércio de produtos alimentícios, bebidas e fumo</v>
      </c>
      <c r="E2533" s="4">
        <v>269740.92600213003</v>
      </c>
      <c r="F2533" s="4">
        <v>385175508.09044278</v>
      </c>
    </row>
    <row r="2534" spans="1:6" x14ac:dyDescent="0.3">
      <c r="A2534" s="3" t="s">
        <v>19</v>
      </c>
      <c r="B2534" s="7" t="str">
        <f>VLOOKUP(VALUE(A2534), 'DICIONÁRIO UF'!$A:$B, 2, FALSE)</f>
        <v>Bahia</v>
      </c>
      <c r="C2534" s="3">
        <v>48041</v>
      </c>
      <c r="D2534" s="5" t="str">
        <f>VLOOKUP(C2534, 'DICIONÁRIO CNAES'!$A:$B, 2, FALSE)</f>
        <v>Comércio de tecidos, artefatos de tecidos e armarinho</v>
      </c>
      <c r="E2534" s="4">
        <v>5718.1647969200003</v>
      </c>
      <c r="F2534" s="4">
        <v>12946145.676924</v>
      </c>
    </row>
    <row r="2535" spans="1:6" x14ac:dyDescent="0.3">
      <c r="A2535" s="3" t="s">
        <v>19</v>
      </c>
      <c r="B2535" s="7" t="str">
        <f>VLOOKUP(VALUE(A2535), 'DICIONÁRIO UF'!$A:$B, 2, FALSE)</f>
        <v>Bahia</v>
      </c>
      <c r="C2535" s="3">
        <v>48042</v>
      </c>
      <c r="D2535" s="5" t="str">
        <f>VLOOKUP(C2535, 'DICIONÁRIO CNAES'!$A:$B, 2, FALSE)</f>
        <v>Comércio de artigos do vestuário, complementos, calçados e artigos de viagem</v>
      </c>
      <c r="E2535" s="4">
        <v>103322.31670542</v>
      </c>
      <c r="F2535" s="4">
        <v>127850157.207265</v>
      </c>
    </row>
    <row r="2536" spans="1:6" x14ac:dyDescent="0.3">
      <c r="A2536" s="3" t="s">
        <v>19</v>
      </c>
      <c r="B2536" s="7" t="str">
        <f>VLOOKUP(VALUE(A2536), 'DICIONÁRIO UF'!$A:$B, 2, FALSE)</f>
        <v>Bahia</v>
      </c>
      <c r="C2536" s="3">
        <v>48050</v>
      </c>
      <c r="D2536" s="5" t="str">
        <f>VLOOKUP(C2536, 'DICIONÁRIO CNAES'!$A:$B, 2, FALSE)</f>
        <v>Comércio de madeira, material de construção, ferragens e ferramentas</v>
      </c>
      <c r="E2536" s="4">
        <v>58948.769704669998</v>
      </c>
      <c r="F2536" s="4">
        <v>103778004.6271383</v>
      </c>
    </row>
    <row r="2537" spans="1:6" x14ac:dyDescent="0.3">
      <c r="A2537" s="3" t="s">
        <v>19</v>
      </c>
      <c r="B2537" s="7" t="str">
        <f>VLOOKUP(VALUE(A2537), 'DICIONÁRIO UF'!$A:$B, 2, FALSE)</f>
        <v>Bahia</v>
      </c>
      <c r="C2537" s="3">
        <v>48060</v>
      </c>
      <c r="D2537" s="5" t="str">
        <f>VLOOKUP(C2537, 'DICIONÁRIO CNAES'!$A:$B, 2, FALSE)</f>
        <v>Comércio de combustíveis para veículos automotores</v>
      </c>
      <c r="E2537" s="4">
        <v>25301.632208179999</v>
      </c>
      <c r="F2537" s="4">
        <v>38256827.323112004</v>
      </c>
    </row>
    <row r="2538" spans="1:6" x14ac:dyDescent="0.3">
      <c r="A2538" s="3" t="s">
        <v>19</v>
      </c>
      <c r="B2538" s="7" t="str">
        <f>VLOOKUP(VALUE(A2538), 'DICIONÁRIO UF'!$A:$B, 2, FALSE)</f>
        <v>Bahia</v>
      </c>
      <c r="C2538" s="3">
        <v>48071</v>
      </c>
      <c r="D2538" s="5" t="str">
        <f>VLOOKUP(C2538, 'DICIONÁRIO CNAES'!$A:$B, 2, FALSE)</f>
        <v>Comércio de produtos farmaceuticos, médicos, ortopédicos, odontológicos e de cosméticos e perfumaria</v>
      </c>
      <c r="E2538" s="4">
        <v>106394.96905108</v>
      </c>
      <c r="F2538" s="4">
        <v>159347394.6138494</v>
      </c>
    </row>
    <row r="2539" spans="1:6" x14ac:dyDescent="0.3">
      <c r="A2539" s="3" t="s">
        <v>19</v>
      </c>
      <c r="B2539" s="7" t="str">
        <f>VLOOKUP(VALUE(A2539), 'DICIONÁRIO UF'!$A:$B, 2, FALSE)</f>
        <v>Bahia</v>
      </c>
      <c r="C2539" s="3">
        <v>48072</v>
      </c>
      <c r="D2539" s="5" t="str">
        <f>VLOOKUP(C2539, 'DICIONÁRIO CNAES'!$A:$B, 2, FALSE)</f>
        <v>Comércio de artigos de escritório e de papelaria; livros, jornais e outras publicações</v>
      </c>
      <c r="E2539" s="4">
        <v>10238.135456620001</v>
      </c>
      <c r="F2539" s="4">
        <v>25390175.047359999</v>
      </c>
    </row>
    <row r="2540" spans="1:6" x14ac:dyDescent="0.3">
      <c r="A2540" s="3" t="s">
        <v>19</v>
      </c>
      <c r="B2540" s="7" t="str">
        <f>VLOOKUP(VALUE(A2540), 'DICIONÁRIO UF'!$A:$B, 2, FALSE)</f>
        <v>Bahia</v>
      </c>
      <c r="C2540" s="3">
        <v>48073</v>
      </c>
      <c r="D2540" s="5" t="str">
        <f>VLOOKUP(C2540, 'DICIONÁRIO CNAES'!$A:$B, 2, FALSE)</f>
        <v>Comércio de eletrodomésticos, móveis e outros artigos de residência</v>
      </c>
      <c r="E2540" s="4">
        <v>51195.193652189999</v>
      </c>
      <c r="F2540" s="4">
        <v>81266104.035476908</v>
      </c>
    </row>
    <row r="2541" spans="1:6" x14ac:dyDescent="0.3">
      <c r="A2541" s="3" t="s">
        <v>19</v>
      </c>
      <c r="B2541" s="7" t="str">
        <f>VLOOKUP(VALUE(A2541), 'DICIONÁRIO UF'!$A:$B, 2, FALSE)</f>
        <v>Bahia</v>
      </c>
      <c r="C2541" s="3">
        <v>48074</v>
      </c>
      <c r="D2541" s="5" t="str">
        <f>VLOOKUP(C2541, 'DICIONÁRIO CNAES'!$A:$B, 2, FALSE)</f>
        <v>Comércio de equipamentos e produtos de tecnologias de informação e comunicação</v>
      </c>
      <c r="E2541" s="4">
        <v>10647.12577364</v>
      </c>
      <c r="F2541" s="4">
        <v>12416973.57458074</v>
      </c>
    </row>
    <row r="2542" spans="1:6" x14ac:dyDescent="0.3">
      <c r="A2542" s="3" t="s">
        <v>19</v>
      </c>
      <c r="B2542" s="7" t="str">
        <f>VLOOKUP(VALUE(A2542), 'DICIONÁRIO UF'!$A:$B, 2, FALSE)</f>
        <v>Bahia</v>
      </c>
      <c r="C2542" s="3">
        <v>48075</v>
      </c>
      <c r="D2542" s="5" t="str">
        <f>VLOOKUP(C2542, 'DICIONÁRIO CNAES'!$A:$B, 2, FALSE)</f>
        <v xml:space="preserve">Comércio de máquinas, aparelhos e equipamentos, exceto eletrodomésticos </v>
      </c>
      <c r="E2542" s="4">
        <v>5073.3429467699998</v>
      </c>
      <c r="F2542" s="4">
        <v>8589865.3065600004</v>
      </c>
    </row>
    <row r="2543" spans="1:6" x14ac:dyDescent="0.3">
      <c r="A2543" s="3" t="s">
        <v>19</v>
      </c>
      <c r="B2543" s="7" t="str">
        <f>VLOOKUP(VALUE(A2543), 'DICIONÁRIO UF'!$A:$B, 2, FALSE)</f>
        <v>Bahia</v>
      </c>
      <c r="C2543" s="3">
        <v>48076</v>
      </c>
      <c r="D2543" s="5" t="str">
        <f>VLOOKUP(C2543, 'DICIONÁRIO CNAES'!$A:$B, 2, FALSE)</f>
        <v>Comércio de combustíveis sólidos, líquidos e gasosos, exceto para veículos automotores</v>
      </c>
      <c r="E2543" s="4">
        <v>10724.1648109</v>
      </c>
      <c r="F2543" s="4">
        <v>18252574.1867828</v>
      </c>
    </row>
    <row r="2544" spans="1:6" x14ac:dyDescent="0.3">
      <c r="A2544" s="3" t="s">
        <v>19</v>
      </c>
      <c r="B2544" s="7" t="str">
        <f>VLOOKUP(VALUE(A2544), 'DICIONÁRIO UF'!$A:$B, 2, FALSE)</f>
        <v>Bahia</v>
      </c>
      <c r="C2544" s="3">
        <v>48077</v>
      </c>
      <c r="D2544" s="5" t="str">
        <f>VLOOKUP(C2544, 'DICIONÁRIO CNAES'!$A:$B, 2, FALSE)</f>
        <v>Comércio de produtos usados</v>
      </c>
      <c r="E2544" s="4">
        <v>142.06076074999999</v>
      </c>
      <c r="F2544" s="4">
        <v>42618.228224999999</v>
      </c>
    </row>
    <row r="2545" spans="1:6" x14ac:dyDescent="0.3">
      <c r="A2545" s="3" t="s">
        <v>19</v>
      </c>
      <c r="B2545" s="7" t="str">
        <f>VLOOKUP(VALUE(A2545), 'DICIONÁRIO UF'!$A:$B, 2, FALSE)</f>
        <v>Bahia</v>
      </c>
      <c r="C2545" s="3">
        <v>48078</v>
      </c>
      <c r="D2545" s="5" t="str">
        <f>VLOOKUP(C2545, 'DICIONÁRIO CNAES'!$A:$B, 2, FALSE)</f>
        <v>Comercio de residuos e sucatas</v>
      </c>
      <c r="E2545" s="4">
        <v>12238.425093719999</v>
      </c>
      <c r="F2545" s="4">
        <v>6003875.0465991003</v>
      </c>
    </row>
    <row r="2546" spans="1:6" x14ac:dyDescent="0.3">
      <c r="A2546" s="3" t="s">
        <v>19</v>
      </c>
      <c r="B2546" s="7" t="str">
        <f>VLOOKUP(VALUE(A2546), 'DICIONÁRIO UF'!$A:$B, 2, FALSE)</f>
        <v>Bahia</v>
      </c>
      <c r="C2546" s="3">
        <v>48079</v>
      </c>
      <c r="D2546" s="5" t="str">
        <f>VLOOKUP(C2546, 'DICIONÁRIO CNAES'!$A:$B, 2, FALSE)</f>
        <v>Comércio de produtos novos não especificados anteriormente</v>
      </c>
      <c r="E2546" s="4">
        <v>56868.592530679998</v>
      </c>
      <c r="F2546" s="4">
        <v>87261399.000441149</v>
      </c>
    </row>
    <row r="2547" spans="1:6" x14ac:dyDescent="0.3">
      <c r="A2547" s="3" t="s">
        <v>19</v>
      </c>
      <c r="B2547" s="7" t="str">
        <f>VLOOKUP(VALUE(A2547), 'DICIONÁRIO UF'!$A:$B, 2, FALSE)</f>
        <v>Bahia</v>
      </c>
      <c r="C2547" s="3">
        <v>48080</v>
      </c>
      <c r="D2547" s="5" t="str">
        <f>VLOOKUP(C2547, 'DICIONÁRIO CNAES'!$A:$B, 2, FALSE)</f>
        <v>Supermercado e hipermercado</v>
      </c>
      <c r="E2547" s="4">
        <v>95330.991375629994</v>
      </c>
      <c r="F2547" s="4">
        <v>114227462.61684079</v>
      </c>
    </row>
    <row r="2548" spans="1:6" x14ac:dyDescent="0.3">
      <c r="A2548" s="3" t="s">
        <v>19</v>
      </c>
      <c r="B2548" s="7" t="str">
        <f>VLOOKUP(VALUE(A2548), 'DICIONÁRIO UF'!$A:$B, 2, FALSE)</f>
        <v>Bahia</v>
      </c>
      <c r="C2548" s="3">
        <v>48090</v>
      </c>
      <c r="D2548" s="5" t="str">
        <f>VLOOKUP(C2548, 'DICIONÁRIO CNAES'!$A:$B, 2, FALSE)</f>
        <v>Lojas de departamento e outros comércios não especializados, sem predominância de produtos alimentícios</v>
      </c>
      <c r="E2548" s="4">
        <v>4943.1019698099999</v>
      </c>
      <c r="F2548" s="4">
        <v>4941199.0968653001</v>
      </c>
    </row>
    <row r="2549" spans="1:6" x14ac:dyDescent="0.3">
      <c r="A2549" s="3" t="s">
        <v>19</v>
      </c>
      <c r="B2549" s="7" t="str">
        <f>VLOOKUP(VALUE(A2549), 'DICIONÁRIO UF'!$A:$B, 2, FALSE)</f>
        <v>Bahia</v>
      </c>
      <c r="C2549" s="3">
        <v>48100</v>
      </c>
      <c r="D2549" s="5" t="str">
        <f>VLOOKUP(C2549, 'DICIONÁRIO CNAES'!$A:$B, 2, FALSE)</f>
        <v>Comércio ambulante e feiras</v>
      </c>
      <c r="E2549" s="4">
        <v>68445.042417160003</v>
      </c>
      <c r="F2549" s="4">
        <v>71695577.548474103</v>
      </c>
    </row>
    <row r="2550" spans="1:6" x14ac:dyDescent="0.3">
      <c r="A2550" s="3" t="s">
        <v>19</v>
      </c>
      <c r="B2550" s="7" t="str">
        <f>VLOOKUP(VALUE(A2550), 'DICIONÁRIO UF'!$A:$B, 2, FALSE)</f>
        <v>Bahia</v>
      </c>
      <c r="C2550" s="3">
        <v>49010</v>
      </c>
      <c r="D2550" s="5" t="str">
        <f>VLOOKUP(C2550, 'DICIONÁRIO CNAES'!$A:$B, 2, FALSE)</f>
        <v>Transporte ferroviário e metroferroviário</v>
      </c>
      <c r="E2550" s="4">
        <v>5684.4104878300004</v>
      </c>
      <c r="F2550" s="4">
        <v>17529150.100271001</v>
      </c>
    </row>
    <row r="2551" spans="1:6" x14ac:dyDescent="0.3">
      <c r="A2551" s="3" t="s">
        <v>19</v>
      </c>
      <c r="B2551" s="7" t="str">
        <f>VLOOKUP(VALUE(A2551), 'DICIONÁRIO UF'!$A:$B, 2, FALSE)</f>
        <v>Bahia</v>
      </c>
      <c r="C2551" s="3">
        <v>49030</v>
      </c>
      <c r="D2551" s="5" t="str">
        <f>VLOOKUP(C2551, 'DICIONÁRIO CNAES'!$A:$B, 2, FALSE)</f>
        <v>Transporte rodoviário de passageiros</v>
      </c>
      <c r="E2551" s="4">
        <v>114456.93836742001</v>
      </c>
      <c r="F2551" s="4">
        <v>162381409.7338385</v>
      </c>
    </row>
    <row r="2552" spans="1:6" x14ac:dyDescent="0.3">
      <c r="A2552" s="3" t="s">
        <v>19</v>
      </c>
      <c r="B2552" s="7" t="str">
        <f>VLOOKUP(VALUE(A2552), 'DICIONÁRIO UF'!$A:$B, 2, FALSE)</f>
        <v>Bahia</v>
      </c>
      <c r="C2552" s="3">
        <v>49040</v>
      </c>
      <c r="D2552" s="5" t="str">
        <f>VLOOKUP(C2552, 'DICIONÁRIO CNAES'!$A:$B, 2, FALSE)</f>
        <v>Transporte rodoviário de carga</v>
      </c>
      <c r="E2552" s="4">
        <v>83713.980460820007</v>
      </c>
      <c r="F2552" s="4">
        <v>139005603.69028851</v>
      </c>
    </row>
    <row r="2553" spans="1:6" x14ac:dyDescent="0.3">
      <c r="A2553" s="3" t="s">
        <v>19</v>
      </c>
      <c r="B2553" s="7" t="str">
        <f>VLOOKUP(VALUE(A2553), 'DICIONÁRIO UF'!$A:$B, 2, FALSE)</f>
        <v>Bahia</v>
      </c>
      <c r="C2553" s="3">
        <v>50000</v>
      </c>
      <c r="D2553" s="5" t="str">
        <f>VLOOKUP(C2553, 'DICIONÁRIO CNAES'!$A:$B, 2, FALSE)</f>
        <v>Transporte Aquaviário</v>
      </c>
      <c r="E2553" s="4">
        <v>1666.7661376900001</v>
      </c>
      <c r="F2553" s="4">
        <v>8223991.0355090015</v>
      </c>
    </row>
    <row r="2554" spans="1:6" x14ac:dyDescent="0.3">
      <c r="A2554" s="3" t="s">
        <v>19</v>
      </c>
      <c r="B2554" s="7" t="str">
        <f>VLOOKUP(VALUE(A2554), 'DICIONÁRIO UF'!$A:$B, 2, FALSE)</f>
        <v>Bahia</v>
      </c>
      <c r="C2554" s="3">
        <v>51000</v>
      </c>
      <c r="D2554" s="5" t="str">
        <f>VLOOKUP(C2554, 'DICIONÁRIO CNAES'!$A:$B, 2, FALSE)</f>
        <v>Transporte Aéreo</v>
      </c>
      <c r="E2554" s="4">
        <v>1346.0249101700001</v>
      </c>
      <c r="F2554" s="4">
        <v>1817133.6287295001</v>
      </c>
    </row>
    <row r="2555" spans="1:6" x14ac:dyDescent="0.3">
      <c r="A2555" s="3" t="s">
        <v>19</v>
      </c>
      <c r="B2555" s="7" t="str">
        <f>VLOOKUP(VALUE(A2555), 'DICIONÁRIO UF'!$A:$B, 2, FALSE)</f>
        <v>Bahia</v>
      </c>
      <c r="C2555" s="3">
        <v>52010</v>
      </c>
      <c r="D2555" s="5" t="str">
        <f>VLOOKUP(C2555, 'DICIONÁRIO CNAES'!$A:$B, 2, FALSE)</f>
        <v>Armazenamento, carga e descarga</v>
      </c>
      <c r="E2555" s="4">
        <v>8562.3978179900005</v>
      </c>
      <c r="F2555" s="4">
        <v>7671620.7810495002</v>
      </c>
    </row>
    <row r="2556" spans="1:6" x14ac:dyDescent="0.3">
      <c r="A2556" s="3" t="s">
        <v>19</v>
      </c>
      <c r="B2556" s="7" t="str">
        <f>VLOOKUP(VALUE(A2556), 'DICIONÁRIO UF'!$A:$B, 2, FALSE)</f>
        <v>Bahia</v>
      </c>
      <c r="C2556" s="3">
        <v>52020</v>
      </c>
      <c r="D2556" s="5" t="str">
        <f>VLOOKUP(C2556, 'DICIONÁRIO CNAES'!$A:$B, 2, FALSE)</f>
        <v xml:space="preserve">Atividades auxiliares dos transportes e atividades relacionadas à organização do transporte de carga </v>
      </c>
      <c r="E2556" s="4">
        <v>10363.576784970001</v>
      </c>
      <c r="F2556" s="4">
        <v>24851024.1540065</v>
      </c>
    </row>
    <row r="2557" spans="1:6" x14ac:dyDescent="0.3">
      <c r="A2557" s="3" t="s">
        <v>19</v>
      </c>
      <c r="B2557" s="7" t="str">
        <f>VLOOKUP(VALUE(A2557), 'DICIONÁRIO UF'!$A:$B, 2, FALSE)</f>
        <v>Bahia</v>
      </c>
      <c r="C2557" s="3">
        <v>53001</v>
      </c>
      <c r="D2557" s="5" t="str">
        <f>VLOOKUP(C2557, 'DICIONÁRIO CNAES'!$A:$B, 2, FALSE)</f>
        <v>Atividades de Correio</v>
      </c>
      <c r="E2557" s="4">
        <v>5115.4323100299998</v>
      </c>
      <c r="F2557" s="4">
        <v>19377752.418179002</v>
      </c>
    </row>
    <row r="2558" spans="1:6" x14ac:dyDescent="0.3">
      <c r="A2558" s="3" t="s">
        <v>19</v>
      </c>
      <c r="B2558" s="7" t="str">
        <f>VLOOKUP(VALUE(A2558), 'DICIONÁRIO UF'!$A:$B, 2, FALSE)</f>
        <v>Bahia</v>
      </c>
      <c r="C2558" s="3">
        <v>53002</v>
      </c>
      <c r="D2558" s="5" t="str">
        <f>VLOOKUP(C2558, 'DICIONÁRIO CNAES'!$A:$B, 2, FALSE)</f>
        <v>Atividades de malote e de entrega</v>
      </c>
      <c r="E2558" s="4">
        <v>22141.75484184</v>
      </c>
      <c r="F2558" s="4">
        <v>20402171.800557781</v>
      </c>
    </row>
    <row r="2559" spans="1:6" x14ac:dyDescent="0.3">
      <c r="A2559" s="3" t="s">
        <v>19</v>
      </c>
      <c r="B2559" s="7" t="str">
        <f>VLOOKUP(VALUE(A2559), 'DICIONÁRIO UF'!$A:$B, 2, FALSE)</f>
        <v>Bahia</v>
      </c>
      <c r="C2559" s="3">
        <v>55000</v>
      </c>
      <c r="D2559" s="5" t="str">
        <f>VLOOKUP(C2559, 'DICIONÁRIO CNAES'!$A:$B, 2, FALSE)</f>
        <v>Alojamento</v>
      </c>
      <c r="E2559" s="4">
        <v>37084.831764210001</v>
      </c>
      <c r="F2559" s="4">
        <v>42292286.790093422</v>
      </c>
    </row>
    <row r="2560" spans="1:6" x14ac:dyDescent="0.3">
      <c r="A2560" s="3" t="s">
        <v>19</v>
      </c>
      <c r="B2560" s="7" t="str">
        <f>VLOOKUP(VALUE(A2560), 'DICIONÁRIO UF'!$A:$B, 2, FALSE)</f>
        <v>Bahia</v>
      </c>
      <c r="C2560" s="3">
        <v>56011</v>
      </c>
      <c r="D2560" s="5" t="str">
        <f>VLOOKUP(C2560, 'DICIONÁRIO CNAES'!$A:$B, 2, FALSE)</f>
        <v>Restaurantes e outros estabelecimentos de serviços de alimentação e bebidas</v>
      </c>
      <c r="E2560" s="4">
        <v>221500.01043565001</v>
      </c>
      <c r="F2560" s="4">
        <v>262811793.05452651</v>
      </c>
    </row>
    <row r="2561" spans="1:6" x14ac:dyDescent="0.3">
      <c r="A2561" s="3" t="s">
        <v>19</v>
      </c>
      <c r="B2561" s="7" t="str">
        <f>VLOOKUP(VALUE(A2561), 'DICIONÁRIO UF'!$A:$B, 2, FALSE)</f>
        <v>Bahia</v>
      </c>
      <c r="C2561" s="3">
        <v>56012</v>
      </c>
      <c r="D2561" s="5" t="str">
        <f>VLOOKUP(C2561, 'DICIONÁRIO CNAES'!$A:$B, 2, FALSE)</f>
        <v>Serviços de catering, bufê e outros serviços de comida preparada</v>
      </c>
      <c r="E2561" s="4">
        <v>45401.651545280001</v>
      </c>
      <c r="F2561" s="4">
        <v>51596183.089070581</v>
      </c>
    </row>
    <row r="2562" spans="1:6" x14ac:dyDescent="0.3">
      <c r="A2562" s="3" t="s">
        <v>19</v>
      </c>
      <c r="B2562" s="7" t="str">
        <f>VLOOKUP(VALUE(A2562), 'DICIONÁRIO UF'!$A:$B, 2, FALSE)</f>
        <v>Bahia</v>
      </c>
      <c r="C2562" s="3">
        <v>56020</v>
      </c>
      <c r="D2562" s="5" t="str">
        <f>VLOOKUP(C2562, 'DICIONÁRIO CNAES'!$A:$B, 2, FALSE)</f>
        <v>Serviços ambulantes de alimentação</v>
      </c>
      <c r="E2562" s="4">
        <v>45138.339679910001</v>
      </c>
      <c r="F2562" s="4">
        <v>28106100.411307301</v>
      </c>
    </row>
    <row r="2563" spans="1:6" x14ac:dyDescent="0.3">
      <c r="A2563" s="3" t="s">
        <v>19</v>
      </c>
      <c r="B2563" s="7" t="str">
        <f>VLOOKUP(VALUE(A2563), 'DICIONÁRIO UF'!$A:$B, 2, FALSE)</f>
        <v>Bahia</v>
      </c>
      <c r="C2563" s="3">
        <v>58000</v>
      </c>
      <c r="D2563" s="5" t="str">
        <f>VLOOKUP(C2563, 'DICIONÁRIO CNAES'!$A:$B, 2, FALSE)</f>
        <v xml:space="preserve">Edição e Edição integrada à impressão </v>
      </c>
      <c r="E2563" s="4">
        <v>3313.7807376999999</v>
      </c>
      <c r="F2563" s="4">
        <v>2152316.1230549999</v>
      </c>
    </row>
    <row r="2564" spans="1:6" x14ac:dyDescent="0.3">
      <c r="A2564" s="3" t="s">
        <v>19</v>
      </c>
      <c r="B2564" s="7" t="str">
        <f>VLOOKUP(VALUE(A2564), 'DICIONÁRIO UF'!$A:$B, 2, FALSE)</f>
        <v>Bahia</v>
      </c>
      <c r="C2564" s="3">
        <v>60001</v>
      </c>
      <c r="D2564" s="5" t="str">
        <f>VLOOKUP(C2564, 'DICIONÁRIO CNAES'!$A:$B, 2, FALSE)</f>
        <v>Atividades de rádio</v>
      </c>
      <c r="E2564" s="4">
        <v>1055.7396308</v>
      </c>
      <c r="F2564" s="4">
        <v>6539724.8204399999</v>
      </c>
    </row>
    <row r="2565" spans="1:6" x14ac:dyDescent="0.3">
      <c r="A2565" s="3" t="s">
        <v>19</v>
      </c>
      <c r="B2565" s="7" t="str">
        <f>VLOOKUP(VALUE(A2565), 'DICIONÁRIO UF'!$A:$B, 2, FALSE)</f>
        <v>Bahia</v>
      </c>
      <c r="C2565" s="3">
        <v>60002</v>
      </c>
      <c r="D2565" s="5" t="str">
        <f>VLOOKUP(C2565, 'DICIONÁRIO CNAES'!$A:$B, 2, FALSE)</f>
        <v>Atividades de televisão</v>
      </c>
      <c r="E2565" s="4">
        <v>2416.94215889</v>
      </c>
      <c r="F2565" s="4">
        <v>12880687.145684</v>
      </c>
    </row>
    <row r="2566" spans="1:6" x14ac:dyDescent="0.3">
      <c r="A2566" s="3" t="s">
        <v>19</v>
      </c>
      <c r="B2566" s="7" t="str">
        <f>VLOOKUP(VALUE(A2566), 'DICIONÁRIO UF'!$A:$B, 2, FALSE)</f>
        <v>Bahia</v>
      </c>
      <c r="C2566" s="3">
        <v>61000</v>
      </c>
      <c r="D2566" s="5" t="str">
        <f>VLOOKUP(C2566, 'DICIONÁRIO CNAES'!$A:$B, 2, FALSE)</f>
        <v>Telecomunicações</v>
      </c>
      <c r="E2566" s="4">
        <v>32420.013085999999</v>
      </c>
      <c r="F2566" s="4">
        <v>74565647.556299403</v>
      </c>
    </row>
    <row r="2567" spans="1:6" x14ac:dyDescent="0.3">
      <c r="A2567" s="3" t="s">
        <v>19</v>
      </c>
      <c r="B2567" s="7" t="str">
        <f>VLOOKUP(VALUE(A2567), 'DICIONÁRIO UF'!$A:$B, 2, FALSE)</f>
        <v>Bahia</v>
      </c>
      <c r="C2567" s="3">
        <v>62000</v>
      </c>
      <c r="D2567" s="5" t="str">
        <f>VLOOKUP(C2567, 'DICIONÁRIO CNAES'!$A:$B, 2, FALSE)</f>
        <v>Atividades dos serviços de tecnologia da informação</v>
      </c>
      <c r="E2567" s="4">
        <v>20298.3453003</v>
      </c>
      <c r="F2567" s="4">
        <v>56223930.252481639</v>
      </c>
    </row>
    <row r="2568" spans="1:6" x14ac:dyDescent="0.3">
      <c r="A2568" s="3" t="s">
        <v>19</v>
      </c>
      <c r="B2568" s="7" t="str">
        <f>VLOOKUP(VALUE(A2568), 'DICIONÁRIO UF'!$A:$B, 2, FALSE)</f>
        <v>Bahia</v>
      </c>
      <c r="C2568" s="3">
        <v>64000</v>
      </c>
      <c r="D2568" s="5" t="str">
        <f>VLOOKUP(C2568, 'DICIONÁRIO CNAES'!$A:$B, 2, FALSE)</f>
        <v>Serviços financeiros</v>
      </c>
      <c r="E2568" s="4">
        <v>19814.70088937</v>
      </c>
      <c r="F2568" s="4">
        <v>71032866.324330688</v>
      </c>
    </row>
    <row r="2569" spans="1:6" x14ac:dyDescent="0.3">
      <c r="A2569" s="3" t="s">
        <v>19</v>
      </c>
      <c r="B2569" s="7" t="str">
        <f>VLOOKUP(VALUE(A2569), 'DICIONÁRIO UF'!$A:$B, 2, FALSE)</f>
        <v>Bahia</v>
      </c>
      <c r="C2569" s="3">
        <v>65000</v>
      </c>
      <c r="D2569" s="5" t="str">
        <f>VLOOKUP(C2569, 'DICIONÁRIO CNAES'!$A:$B, 2, FALSE)</f>
        <v>Seguros e previdência privada</v>
      </c>
      <c r="E2569" s="4">
        <v>5736.5507622599998</v>
      </c>
      <c r="F2569" s="4">
        <v>10334240.122217</v>
      </c>
    </row>
    <row r="2570" spans="1:6" x14ac:dyDescent="0.3">
      <c r="A2570" s="3" t="s">
        <v>19</v>
      </c>
      <c r="B2570" s="7" t="str">
        <f>VLOOKUP(VALUE(A2570), 'DICIONÁRIO UF'!$A:$B, 2, FALSE)</f>
        <v>Bahia</v>
      </c>
      <c r="C2570" s="3">
        <v>66001</v>
      </c>
      <c r="D2570" s="5" t="str">
        <f>VLOOKUP(C2570, 'DICIONÁRIO CNAES'!$A:$B, 2, FALSE)</f>
        <v>Atividades auxiliares dos serviços financeiros</v>
      </c>
      <c r="E2570" s="4">
        <v>4422.77867917</v>
      </c>
      <c r="F2570" s="4">
        <v>14314438.563552</v>
      </c>
    </row>
    <row r="2571" spans="1:6" x14ac:dyDescent="0.3">
      <c r="A2571" s="3" t="s">
        <v>19</v>
      </c>
      <c r="B2571" s="7" t="str">
        <f>VLOOKUP(VALUE(A2571), 'DICIONÁRIO UF'!$A:$B, 2, FALSE)</f>
        <v>Bahia</v>
      </c>
      <c r="C2571" s="3">
        <v>66002</v>
      </c>
      <c r="D2571" s="5" t="str">
        <f>VLOOKUP(C2571, 'DICIONÁRIO CNAES'!$A:$B, 2, FALSE)</f>
        <v>Atividades auxiliares dos seguros, da previdência complementar e dos planos de saúde</v>
      </c>
      <c r="E2571" s="4">
        <v>3036.94665403</v>
      </c>
      <c r="F2571" s="4">
        <v>10090514.29689</v>
      </c>
    </row>
    <row r="2572" spans="1:6" x14ac:dyDescent="0.3">
      <c r="A2572" s="3" t="s">
        <v>19</v>
      </c>
      <c r="B2572" s="7" t="str">
        <f>VLOOKUP(VALUE(A2572), 'DICIONÁRIO UF'!$A:$B, 2, FALSE)</f>
        <v>Bahia</v>
      </c>
      <c r="C2572" s="3">
        <v>68000</v>
      </c>
      <c r="D2572" s="5" t="str">
        <f>VLOOKUP(C2572, 'DICIONÁRIO CNAES'!$A:$B, 2, FALSE)</f>
        <v>Atividades imobiliárias</v>
      </c>
      <c r="E2572" s="4">
        <v>16905.146851410002</v>
      </c>
      <c r="F2572" s="4">
        <v>38283412.442579001</v>
      </c>
    </row>
    <row r="2573" spans="1:6" x14ac:dyDescent="0.3">
      <c r="A2573" s="3" t="s">
        <v>19</v>
      </c>
      <c r="B2573" s="7" t="str">
        <f>VLOOKUP(VALUE(A2573), 'DICIONÁRIO UF'!$A:$B, 2, FALSE)</f>
        <v>Bahia</v>
      </c>
      <c r="C2573" s="3">
        <v>69000</v>
      </c>
      <c r="D2573" s="5" t="str">
        <f>VLOOKUP(C2573, 'DICIONÁRIO CNAES'!$A:$B, 2, FALSE)</f>
        <v xml:space="preserve">Atividades jurídicas, de contabilidade e de auditoria </v>
      </c>
      <c r="E2573" s="4">
        <v>73733.3913397</v>
      </c>
      <c r="F2573" s="4">
        <v>264148377.55800131</v>
      </c>
    </row>
    <row r="2574" spans="1:6" x14ac:dyDescent="0.3">
      <c r="A2574" s="3" t="s">
        <v>19</v>
      </c>
      <c r="B2574" s="7" t="str">
        <f>VLOOKUP(VALUE(A2574), 'DICIONÁRIO UF'!$A:$B, 2, FALSE)</f>
        <v>Bahia</v>
      </c>
      <c r="C2574" s="3">
        <v>70000</v>
      </c>
      <c r="D2574" s="5" t="str">
        <f>VLOOKUP(C2574, 'DICIONÁRIO CNAES'!$A:$B, 2, FALSE)</f>
        <v>Atividades de consultoria em gestão empresarial</v>
      </c>
      <c r="E2574" s="4">
        <v>1237.2601644700001</v>
      </c>
      <c r="F2574" s="4">
        <v>9889904.0502039995</v>
      </c>
    </row>
    <row r="2575" spans="1:6" x14ac:dyDescent="0.3">
      <c r="A2575" s="3" t="s">
        <v>19</v>
      </c>
      <c r="B2575" s="7" t="str">
        <f>VLOOKUP(VALUE(A2575), 'DICIONÁRIO UF'!$A:$B, 2, FALSE)</f>
        <v>Bahia</v>
      </c>
      <c r="C2575" s="3">
        <v>71000</v>
      </c>
      <c r="D2575" s="5" t="str">
        <f>VLOOKUP(C2575, 'DICIONÁRIO CNAES'!$A:$B, 2, FALSE)</f>
        <v>Serviços de arquitetura e engenharia e atividades técnicas relacionadas; Testes e análises técnicas</v>
      </c>
      <c r="E2575" s="4">
        <v>21716.014410939999</v>
      </c>
      <c r="F2575" s="4">
        <v>129925640.463212</v>
      </c>
    </row>
    <row r="2576" spans="1:6" x14ac:dyDescent="0.3">
      <c r="A2576" s="3" t="s">
        <v>19</v>
      </c>
      <c r="B2576" s="7" t="str">
        <f>VLOOKUP(VALUE(A2576), 'DICIONÁRIO UF'!$A:$B, 2, FALSE)</f>
        <v>Bahia</v>
      </c>
      <c r="C2576" s="3">
        <v>73010</v>
      </c>
      <c r="D2576" s="5" t="str">
        <f>VLOOKUP(C2576, 'DICIONÁRIO CNAES'!$A:$B, 2, FALSE)</f>
        <v>Publicidade</v>
      </c>
      <c r="E2576" s="4">
        <v>14060.22575301</v>
      </c>
      <c r="F2576" s="4">
        <v>26566122.798057999</v>
      </c>
    </row>
    <row r="2577" spans="1:6" x14ac:dyDescent="0.3">
      <c r="A2577" s="3" t="s">
        <v>19</v>
      </c>
      <c r="B2577" s="7" t="str">
        <f>VLOOKUP(VALUE(A2577), 'DICIONÁRIO UF'!$A:$B, 2, FALSE)</f>
        <v>Bahia</v>
      </c>
      <c r="C2577" s="3">
        <v>73020</v>
      </c>
      <c r="D2577" s="5" t="str">
        <f>VLOOKUP(C2577, 'DICIONÁRIO CNAES'!$A:$B, 2, FALSE)</f>
        <v>Pesquisas de mercado e opinião pública</v>
      </c>
      <c r="E2577" s="4">
        <v>1163.09166996</v>
      </c>
      <c r="F2577" s="4">
        <v>1395710.0039520001</v>
      </c>
    </row>
    <row r="2578" spans="1:6" x14ac:dyDescent="0.3">
      <c r="A2578" s="3" t="s">
        <v>19</v>
      </c>
      <c r="B2578" s="7" t="str">
        <f>VLOOKUP(VALUE(A2578), 'DICIONÁRIO UF'!$A:$B, 2, FALSE)</f>
        <v>Bahia</v>
      </c>
      <c r="C2578" s="3">
        <v>74000</v>
      </c>
      <c r="D2578" s="5" t="str">
        <f>VLOOKUP(C2578, 'DICIONÁRIO CNAES'!$A:$B, 2, FALSE)</f>
        <v>Outras atividades profissionais, científicas e técnicas não especificadas anteriormente</v>
      </c>
      <c r="E2578" s="4">
        <v>18304.2420207</v>
      </c>
      <c r="F2578" s="4">
        <v>30631122.234217498</v>
      </c>
    </row>
    <row r="2579" spans="1:6" x14ac:dyDescent="0.3">
      <c r="A2579" s="3" t="s">
        <v>19</v>
      </c>
      <c r="B2579" s="7" t="str">
        <f>VLOOKUP(VALUE(A2579), 'DICIONÁRIO UF'!$A:$B, 2, FALSE)</f>
        <v>Bahia</v>
      </c>
      <c r="C2579" s="3">
        <v>75000</v>
      </c>
      <c r="D2579" s="5" t="str">
        <f>VLOOKUP(C2579, 'DICIONÁRIO CNAES'!$A:$B, 2, FALSE)</f>
        <v>Atividades veterinárias</v>
      </c>
      <c r="E2579" s="4">
        <v>2965.5334436500002</v>
      </c>
      <c r="F2579" s="4">
        <v>16534585.333319999</v>
      </c>
    </row>
    <row r="2580" spans="1:6" x14ac:dyDescent="0.3">
      <c r="A2580" s="3" t="s">
        <v>19</v>
      </c>
      <c r="B2580" s="7" t="str">
        <f>VLOOKUP(VALUE(A2580), 'DICIONÁRIO UF'!$A:$B, 2, FALSE)</f>
        <v>Bahia</v>
      </c>
      <c r="C2580" s="3">
        <v>77020</v>
      </c>
      <c r="D2580" s="5" t="str">
        <f>VLOOKUP(C2580, 'DICIONÁRIO CNAES'!$A:$B, 2, FALSE)</f>
        <v>Aluguel de meios de transportes, maquinas e equipamentos sem operador e gestão de ativos intangíveis não financeiros</v>
      </c>
      <c r="E2580" s="4">
        <v>1237.54498773</v>
      </c>
      <c r="F2580" s="4">
        <v>1371294.6540649999</v>
      </c>
    </row>
    <row r="2581" spans="1:6" x14ac:dyDescent="0.3">
      <c r="A2581" s="3" t="s">
        <v>19</v>
      </c>
      <c r="B2581" s="7" t="str">
        <f>VLOOKUP(VALUE(A2581), 'DICIONÁRIO UF'!$A:$B, 2, FALSE)</f>
        <v>Bahia</v>
      </c>
      <c r="C2581" s="3">
        <v>78000</v>
      </c>
      <c r="D2581" s="5" t="str">
        <f>VLOOKUP(C2581, 'DICIONÁRIO CNAES'!$A:$B, 2, FALSE)</f>
        <v>Seleção, agenciamento e locação de mão-de-obra</v>
      </c>
      <c r="E2581" s="4">
        <v>49027.87176142</v>
      </c>
      <c r="F2581" s="4">
        <v>111217715.5862989</v>
      </c>
    </row>
    <row r="2582" spans="1:6" x14ac:dyDescent="0.3">
      <c r="A2582" s="3" t="s">
        <v>19</v>
      </c>
      <c r="B2582" s="7" t="str">
        <f>VLOOKUP(VALUE(A2582), 'DICIONÁRIO UF'!$A:$B, 2, FALSE)</f>
        <v>Bahia</v>
      </c>
      <c r="C2582" s="3">
        <v>79000</v>
      </c>
      <c r="D2582" s="5" t="str">
        <f>VLOOKUP(C2582, 'DICIONÁRIO CNAES'!$A:$B, 2, FALSE)</f>
        <v>Agências de viagens, operadores turísticos e serviços de reservas</v>
      </c>
      <c r="E2582" s="4">
        <v>1343.49151108</v>
      </c>
      <c r="F2582" s="4">
        <v>2019948.77466828</v>
      </c>
    </row>
    <row r="2583" spans="1:6" x14ac:dyDescent="0.3">
      <c r="A2583" s="3" t="s">
        <v>19</v>
      </c>
      <c r="B2583" s="7" t="str">
        <f>VLOOKUP(VALUE(A2583), 'DICIONÁRIO UF'!$A:$B, 2, FALSE)</f>
        <v>Bahia</v>
      </c>
      <c r="C2583" s="3">
        <v>80000</v>
      </c>
      <c r="D2583" s="5" t="str">
        <f>VLOOKUP(C2583, 'DICIONÁRIO CNAES'!$A:$B, 2, FALSE)</f>
        <v>Atividades de vigilância, segurança, transporte de valores e investigação</v>
      </c>
      <c r="E2583" s="4">
        <v>34267.213453919998</v>
      </c>
      <c r="F2583" s="4">
        <v>62477697.620499</v>
      </c>
    </row>
    <row r="2584" spans="1:6" x14ac:dyDescent="0.3">
      <c r="A2584" s="3" t="s">
        <v>19</v>
      </c>
      <c r="B2584" s="7" t="str">
        <f>VLOOKUP(VALUE(A2584), 'DICIONÁRIO UF'!$A:$B, 2, FALSE)</f>
        <v>Bahia</v>
      </c>
      <c r="C2584" s="3">
        <v>81011</v>
      </c>
      <c r="D2584" s="5" t="str">
        <f>VLOOKUP(C2584, 'DICIONÁRIO CNAES'!$A:$B, 2, FALSE)</f>
        <v>Serviços de limpeza e de apoio a edifícios, exceto condomínios prediais</v>
      </c>
      <c r="E2584" s="4">
        <v>40630.347961009997</v>
      </c>
      <c r="F2584" s="4">
        <v>45243848.818890586</v>
      </c>
    </row>
    <row r="2585" spans="1:6" x14ac:dyDescent="0.3">
      <c r="A2585" s="3" t="s">
        <v>19</v>
      </c>
      <c r="B2585" s="7" t="str">
        <f>VLOOKUP(VALUE(A2585), 'DICIONÁRIO UF'!$A:$B, 2, FALSE)</f>
        <v>Bahia</v>
      </c>
      <c r="C2585" s="3">
        <v>81012</v>
      </c>
      <c r="D2585" s="5" t="str">
        <f>VLOOKUP(C2585, 'DICIONÁRIO CNAES'!$A:$B, 2, FALSE)</f>
        <v>Condomínios prediais</v>
      </c>
      <c r="E2585" s="4">
        <v>20570.700395939999</v>
      </c>
      <c r="F2585" s="4">
        <v>27608136.592280999</v>
      </c>
    </row>
    <row r="2586" spans="1:6" x14ac:dyDescent="0.3">
      <c r="A2586" s="3" t="s">
        <v>19</v>
      </c>
      <c r="B2586" s="7" t="str">
        <f>VLOOKUP(VALUE(A2586), 'DICIONÁRIO UF'!$A:$B, 2, FALSE)</f>
        <v>Bahia</v>
      </c>
      <c r="C2586" s="3">
        <v>81020</v>
      </c>
      <c r="D2586" s="5" t="str">
        <f>VLOOKUP(C2586, 'DICIONÁRIO CNAES'!$A:$B, 2, FALSE)</f>
        <v>Atividades paisagísticas</v>
      </c>
      <c r="E2586" s="4">
        <v>3710.0810836800001</v>
      </c>
      <c r="F2586" s="4">
        <v>4872862.604479</v>
      </c>
    </row>
    <row r="2587" spans="1:6" x14ac:dyDescent="0.3">
      <c r="A2587" s="3" t="s">
        <v>19</v>
      </c>
      <c r="B2587" s="7" t="str">
        <f>VLOOKUP(VALUE(A2587), 'DICIONÁRIO UF'!$A:$B, 2, FALSE)</f>
        <v>Bahia</v>
      </c>
      <c r="C2587" s="3">
        <v>82001</v>
      </c>
      <c r="D2587" s="5" t="str">
        <f>VLOOKUP(C2587, 'DICIONÁRIO CNAES'!$A:$B, 2, FALSE)</f>
        <v>Serviços de escritório e apoio administrativo</v>
      </c>
      <c r="E2587" s="4">
        <v>1547.8578929600001</v>
      </c>
      <c r="F2587" s="4">
        <v>1173905.4291650001</v>
      </c>
    </row>
    <row r="2588" spans="1:6" x14ac:dyDescent="0.3">
      <c r="A2588" s="3" t="s">
        <v>19</v>
      </c>
      <c r="B2588" s="7" t="str">
        <f>VLOOKUP(VALUE(A2588), 'DICIONÁRIO UF'!$A:$B, 2, FALSE)</f>
        <v>Bahia</v>
      </c>
      <c r="C2588" s="3">
        <v>82002</v>
      </c>
      <c r="D2588" s="5" t="str">
        <f>VLOOKUP(C2588, 'DICIONÁRIO CNAES'!$A:$B, 2, FALSE)</f>
        <v>Atividades de teleatendimento</v>
      </c>
      <c r="E2588" s="4">
        <v>20549.190391370001</v>
      </c>
      <c r="F2588" s="4">
        <v>22904083.5688775</v>
      </c>
    </row>
    <row r="2589" spans="1:6" x14ac:dyDescent="0.3">
      <c r="A2589" s="3" t="s">
        <v>19</v>
      </c>
      <c r="B2589" s="7" t="str">
        <f>VLOOKUP(VALUE(A2589), 'DICIONÁRIO UF'!$A:$B, 2, FALSE)</f>
        <v>Bahia</v>
      </c>
      <c r="C2589" s="3">
        <v>82003</v>
      </c>
      <c r="D2589" s="5" t="str">
        <f>VLOOKUP(C2589, 'DICIONÁRIO CNAES'!$A:$B, 2, FALSE)</f>
        <v>Atividades de organização de eventos, exceto culturais e esportivos</v>
      </c>
      <c r="E2589" s="4">
        <v>2187.76740483</v>
      </c>
      <c r="F2589" s="4">
        <v>9103272.6187220011</v>
      </c>
    </row>
    <row r="2590" spans="1:6" x14ac:dyDescent="0.3">
      <c r="A2590" s="3" t="s">
        <v>19</v>
      </c>
      <c r="B2590" s="7" t="str">
        <f>VLOOKUP(VALUE(A2590), 'DICIONÁRIO UF'!$A:$B, 2, FALSE)</f>
        <v>Bahia</v>
      </c>
      <c r="C2590" s="3">
        <v>82009</v>
      </c>
      <c r="D2590" s="5" t="str">
        <f>VLOOKUP(C2590, 'DICIONÁRIO CNAES'!$A:$B, 2, FALSE)</f>
        <v>Outras atividades de serviços prestados principalmente às empresas</v>
      </c>
      <c r="E2590" s="4">
        <v>12849.201226269999</v>
      </c>
      <c r="F2590" s="4">
        <v>14019367.486703459</v>
      </c>
    </row>
    <row r="2591" spans="1:6" x14ac:dyDescent="0.3">
      <c r="A2591" s="3" t="s">
        <v>19</v>
      </c>
      <c r="B2591" s="7" t="str">
        <f>VLOOKUP(VALUE(A2591), 'DICIONÁRIO UF'!$A:$B, 2, FALSE)</f>
        <v>Bahia</v>
      </c>
      <c r="C2591" s="3">
        <v>84011</v>
      </c>
      <c r="D2591" s="5" t="str">
        <f>VLOOKUP(C2591, 'DICIONÁRIO CNAES'!$A:$B, 2, FALSE)</f>
        <v>Administração publica e regulação da política econômica e social - Federal</v>
      </c>
      <c r="E2591" s="4">
        <v>7461.4918379299997</v>
      </c>
      <c r="F2591" s="4">
        <v>35682719.46829889</v>
      </c>
    </row>
    <row r="2592" spans="1:6" x14ac:dyDescent="0.3">
      <c r="A2592" s="3" t="s">
        <v>19</v>
      </c>
      <c r="B2592" s="7" t="str">
        <f>VLOOKUP(VALUE(A2592), 'DICIONÁRIO UF'!$A:$B, 2, FALSE)</f>
        <v>Bahia</v>
      </c>
      <c r="C2592" s="3">
        <v>84012</v>
      </c>
      <c r="D2592" s="5" t="str">
        <f>VLOOKUP(C2592, 'DICIONÁRIO CNAES'!$A:$B, 2, FALSE)</f>
        <v>Administração publica e regulação da política econômica e social - Estadual</v>
      </c>
      <c r="E2592" s="4">
        <v>19717.513903499999</v>
      </c>
      <c r="F2592" s="4">
        <v>106640506.25740489</v>
      </c>
    </row>
    <row r="2593" spans="1:6" x14ac:dyDescent="0.3">
      <c r="A2593" s="3" t="s">
        <v>19</v>
      </c>
      <c r="B2593" s="7" t="str">
        <f>VLOOKUP(VALUE(A2593), 'DICIONÁRIO UF'!$A:$B, 2, FALSE)</f>
        <v>Bahia</v>
      </c>
      <c r="C2593" s="3">
        <v>84013</v>
      </c>
      <c r="D2593" s="5" t="str">
        <f>VLOOKUP(C2593, 'DICIONÁRIO CNAES'!$A:$B, 2, FALSE)</f>
        <v>Administração publica e regulação da política econômica e social - Municipal</v>
      </c>
      <c r="E2593" s="4">
        <v>205479.28576187001</v>
      </c>
      <c r="F2593" s="4">
        <v>379952557.16978151</v>
      </c>
    </row>
    <row r="2594" spans="1:6" x14ac:dyDescent="0.3">
      <c r="A2594" s="3" t="s">
        <v>19</v>
      </c>
      <c r="B2594" s="7" t="str">
        <f>VLOOKUP(VALUE(A2594), 'DICIONÁRIO UF'!$A:$B, 2, FALSE)</f>
        <v>Bahia</v>
      </c>
      <c r="C2594" s="3">
        <v>84014</v>
      </c>
      <c r="D2594" s="5" t="str">
        <f>VLOOKUP(C2594, 'DICIONÁRIO CNAES'!$A:$B, 2, FALSE)</f>
        <v>Defesa</v>
      </c>
      <c r="E2594" s="4">
        <v>4074.5899192400002</v>
      </c>
      <c r="F2594" s="4">
        <v>12785498.827986</v>
      </c>
    </row>
    <row r="2595" spans="1:6" x14ac:dyDescent="0.3">
      <c r="A2595" s="3" t="s">
        <v>19</v>
      </c>
      <c r="B2595" s="7" t="str">
        <f>VLOOKUP(VALUE(A2595), 'DICIONÁRIO UF'!$A:$B, 2, FALSE)</f>
        <v>Bahia</v>
      </c>
      <c r="C2595" s="3">
        <v>84015</v>
      </c>
      <c r="D2595" s="5" t="str">
        <f>VLOOKUP(C2595, 'DICIONÁRIO CNAES'!$A:$B, 2, FALSE)</f>
        <v>Outros serviços coletivos prestados pela administração pública - Federal</v>
      </c>
      <c r="E2595" s="4">
        <v>7036.1297367400002</v>
      </c>
      <c r="F2595" s="4">
        <v>54053120.945874438</v>
      </c>
    </row>
    <row r="2596" spans="1:6" x14ac:dyDescent="0.3">
      <c r="A2596" s="3" t="s">
        <v>19</v>
      </c>
      <c r="B2596" s="7" t="str">
        <f>VLOOKUP(VALUE(A2596), 'DICIONÁRIO UF'!$A:$B, 2, FALSE)</f>
        <v>Bahia</v>
      </c>
      <c r="C2596" s="3">
        <v>84016</v>
      </c>
      <c r="D2596" s="5" t="str">
        <f>VLOOKUP(C2596, 'DICIONÁRIO CNAES'!$A:$B, 2, FALSE)</f>
        <v>Outros serviços coletivos prestados pela administração pública - Estadual</v>
      </c>
      <c r="E2596" s="4">
        <v>51086.90081811</v>
      </c>
      <c r="F2596" s="4">
        <v>230075805.30378211</v>
      </c>
    </row>
    <row r="2597" spans="1:6" x14ac:dyDescent="0.3">
      <c r="A2597" s="3" t="s">
        <v>19</v>
      </c>
      <c r="B2597" s="7" t="str">
        <f>VLOOKUP(VALUE(A2597), 'DICIONÁRIO UF'!$A:$B, 2, FALSE)</f>
        <v>Bahia</v>
      </c>
      <c r="C2597" s="3">
        <v>84017</v>
      </c>
      <c r="D2597" s="5" t="str">
        <f>VLOOKUP(C2597, 'DICIONÁRIO CNAES'!$A:$B, 2, FALSE)</f>
        <v>Outros serviços coletivos prestados pela administração pública - Municipal</v>
      </c>
      <c r="E2597" s="4">
        <v>6599.44242106</v>
      </c>
      <c r="F2597" s="4">
        <v>18430885.789234798</v>
      </c>
    </row>
    <row r="2598" spans="1:6" x14ac:dyDescent="0.3">
      <c r="A2598" s="3" t="s">
        <v>19</v>
      </c>
      <c r="B2598" s="7" t="str">
        <f>VLOOKUP(VALUE(A2598), 'DICIONÁRIO UF'!$A:$B, 2, FALSE)</f>
        <v>Bahia</v>
      </c>
      <c r="C2598" s="3">
        <v>84020</v>
      </c>
      <c r="D2598" s="5" t="str">
        <f>VLOOKUP(C2598, 'DICIONÁRIO CNAES'!$A:$B, 2, FALSE)</f>
        <v>Seguridade social obrigatória</v>
      </c>
      <c r="E2598" s="4">
        <v>947.68850550000002</v>
      </c>
      <c r="F2598" s="4">
        <v>1249363.306839</v>
      </c>
    </row>
    <row r="2599" spans="1:6" x14ac:dyDescent="0.3">
      <c r="A2599" s="3" t="s">
        <v>19</v>
      </c>
      <c r="B2599" s="7" t="str">
        <f>VLOOKUP(VALUE(A2599), 'DICIONÁRIO UF'!$A:$B, 2, FALSE)</f>
        <v>Bahia</v>
      </c>
      <c r="C2599" s="3">
        <v>85011</v>
      </c>
      <c r="D2599" s="5" t="str">
        <f>VLOOKUP(C2599, 'DICIONÁRIO CNAES'!$A:$B, 2, FALSE)</f>
        <v>Creche</v>
      </c>
      <c r="E2599" s="4">
        <v>15033.69462192</v>
      </c>
      <c r="F2599" s="4">
        <v>28251487.6291079</v>
      </c>
    </row>
    <row r="2600" spans="1:6" x14ac:dyDescent="0.3">
      <c r="A2600" s="3" t="s">
        <v>19</v>
      </c>
      <c r="B2600" s="7" t="str">
        <f>VLOOKUP(VALUE(A2600), 'DICIONÁRIO UF'!$A:$B, 2, FALSE)</f>
        <v>Bahia</v>
      </c>
      <c r="C2600" s="3">
        <v>85012</v>
      </c>
      <c r="D2600" s="5" t="str">
        <f>VLOOKUP(C2600, 'DICIONÁRIO CNAES'!$A:$B, 2, FALSE)</f>
        <v>Pré-escola e ensino fundamental</v>
      </c>
      <c r="E2600" s="4">
        <v>225115.23457661999</v>
      </c>
      <c r="F2600" s="4">
        <v>532096766.26743972</v>
      </c>
    </row>
    <row r="2601" spans="1:6" x14ac:dyDescent="0.3">
      <c r="A2601" s="3" t="s">
        <v>19</v>
      </c>
      <c r="B2601" s="7" t="str">
        <f>VLOOKUP(VALUE(A2601), 'DICIONÁRIO UF'!$A:$B, 2, FALSE)</f>
        <v>Bahia</v>
      </c>
      <c r="C2601" s="3">
        <v>85013</v>
      </c>
      <c r="D2601" s="5" t="str">
        <f>VLOOKUP(C2601, 'DICIONÁRIO CNAES'!$A:$B, 2, FALSE)</f>
        <v>Ensino médio</v>
      </c>
      <c r="E2601" s="4">
        <v>65690.160175199999</v>
      </c>
      <c r="F2601" s="4">
        <v>202927884.029192</v>
      </c>
    </row>
    <row r="2602" spans="1:6" x14ac:dyDescent="0.3">
      <c r="A2602" s="3" t="s">
        <v>19</v>
      </c>
      <c r="B2602" s="7" t="str">
        <f>VLOOKUP(VALUE(A2602), 'DICIONÁRIO UF'!$A:$B, 2, FALSE)</f>
        <v>Bahia</v>
      </c>
      <c r="C2602" s="3">
        <v>85014</v>
      </c>
      <c r="D2602" s="5" t="str">
        <f>VLOOKUP(C2602, 'DICIONÁRIO CNAES'!$A:$B, 2, FALSE)</f>
        <v>Educação superior</v>
      </c>
      <c r="E2602" s="4">
        <v>24477.237905720001</v>
      </c>
      <c r="F2602" s="4">
        <v>146367549.27257201</v>
      </c>
    </row>
    <row r="2603" spans="1:6" x14ac:dyDescent="0.3">
      <c r="A2603" s="3" t="s">
        <v>19</v>
      </c>
      <c r="B2603" s="7" t="str">
        <f>VLOOKUP(VALUE(A2603), 'DICIONÁRIO UF'!$A:$B, 2, FALSE)</f>
        <v>Bahia</v>
      </c>
      <c r="C2603" s="3">
        <v>85029</v>
      </c>
      <c r="D2603" s="5" t="str">
        <f>VLOOKUP(C2603, 'DICIONÁRIO CNAES'!$A:$B, 2, FALSE)</f>
        <v>Outras atividades de ensino</v>
      </c>
      <c r="E2603" s="4">
        <v>33230.685328959997</v>
      </c>
      <c r="F2603" s="4">
        <v>44657261.739517763</v>
      </c>
    </row>
    <row r="2604" spans="1:6" x14ac:dyDescent="0.3">
      <c r="A2604" s="3" t="s">
        <v>19</v>
      </c>
      <c r="B2604" s="7" t="str">
        <f>VLOOKUP(VALUE(A2604), 'DICIONÁRIO UF'!$A:$B, 2, FALSE)</f>
        <v>Bahia</v>
      </c>
      <c r="C2604" s="3">
        <v>86001</v>
      </c>
      <c r="D2604" s="5" t="str">
        <f>VLOOKUP(C2604, 'DICIONÁRIO CNAES'!$A:$B, 2, FALSE)</f>
        <v>Atividades de atendimento hospitalar</v>
      </c>
      <c r="E2604" s="4">
        <v>99075.772613239998</v>
      </c>
      <c r="F2604" s="4">
        <v>280721011.90476412</v>
      </c>
    </row>
    <row r="2605" spans="1:6" x14ac:dyDescent="0.3">
      <c r="A2605" s="3" t="s">
        <v>19</v>
      </c>
      <c r="B2605" s="7" t="str">
        <f>VLOOKUP(VALUE(A2605), 'DICIONÁRIO UF'!$A:$B, 2, FALSE)</f>
        <v>Bahia</v>
      </c>
      <c r="C2605" s="3">
        <v>86002</v>
      </c>
      <c r="D2605" s="5" t="str">
        <f>VLOOKUP(C2605, 'DICIONÁRIO CNAES'!$A:$B, 2, FALSE)</f>
        <v>Atividades de atenção ambulatorial executadas por médicos e odontólogos</v>
      </c>
      <c r="E2605" s="4">
        <v>136421.51124287999</v>
      </c>
      <c r="F2605" s="4">
        <v>272774152.21957242</v>
      </c>
    </row>
    <row r="2606" spans="1:6" x14ac:dyDescent="0.3">
      <c r="A2606" s="3" t="s">
        <v>19</v>
      </c>
      <c r="B2606" s="7" t="str">
        <f>VLOOKUP(VALUE(A2606), 'DICIONÁRIO UF'!$A:$B, 2, FALSE)</f>
        <v>Bahia</v>
      </c>
      <c r="C2606" s="3">
        <v>86003</v>
      </c>
      <c r="D2606" s="5" t="str">
        <f>VLOOKUP(C2606, 'DICIONÁRIO CNAES'!$A:$B, 2, FALSE)</f>
        <v>Atividades de serviços de complementação diagnóstica e terapêutica</v>
      </c>
      <c r="E2606" s="4">
        <v>15724.100221889999</v>
      </c>
      <c r="F2606" s="4">
        <v>36620746.284239501</v>
      </c>
    </row>
    <row r="2607" spans="1:6" x14ac:dyDescent="0.3">
      <c r="A2607" s="3" t="s">
        <v>19</v>
      </c>
      <c r="B2607" s="7" t="str">
        <f>VLOOKUP(VALUE(A2607), 'DICIONÁRIO UF'!$A:$B, 2, FALSE)</f>
        <v>Bahia</v>
      </c>
      <c r="C2607" s="3">
        <v>86004</v>
      </c>
      <c r="D2607" s="5" t="str">
        <f>VLOOKUP(C2607, 'DICIONÁRIO CNAES'!$A:$B, 2, FALSE)</f>
        <v>Atividades de profissionais da área de saúde, exceto médicos e odontólogos</v>
      </c>
      <c r="E2607" s="4">
        <v>20402.93090693</v>
      </c>
      <c r="F2607" s="4">
        <v>68128675.677133501</v>
      </c>
    </row>
    <row r="2608" spans="1:6" x14ac:dyDescent="0.3">
      <c r="A2608" s="3" t="s">
        <v>19</v>
      </c>
      <c r="B2608" s="7" t="str">
        <f>VLOOKUP(VALUE(A2608), 'DICIONÁRIO UF'!$A:$B, 2, FALSE)</f>
        <v>Bahia</v>
      </c>
      <c r="C2608" s="3">
        <v>86009</v>
      </c>
      <c r="D2608" s="5" t="str">
        <f>VLOOKUP(C2608, 'DICIONÁRIO CNAES'!$A:$B, 2, FALSE)</f>
        <v>Atividades de atenção à saúde humana não especificadas anteriormente</v>
      </c>
      <c r="E2608" s="4">
        <v>4145.2668907899997</v>
      </c>
      <c r="F2608" s="4">
        <v>5119456.2910714997</v>
      </c>
    </row>
    <row r="2609" spans="1:6" x14ac:dyDescent="0.3">
      <c r="A2609" s="3" t="s">
        <v>19</v>
      </c>
      <c r="B2609" s="7" t="str">
        <f>VLOOKUP(VALUE(A2609), 'DICIONÁRIO UF'!$A:$B, 2, FALSE)</f>
        <v>Bahia</v>
      </c>
      <c r="C2609" s="3">
        <v>87000</v>
      </c>
      <c r="D2609" s="5" t="str">
        <f>VLOOKUP(C2609, 'DICIONÁRIO CNAES'!$A:$B, 2, FALSE)</f>
        <v>Atividades de assistência à saude humana integradas com assistencia social, inclusive prestadas em residencias</v>
      </c>
      <c r="E2609" s="4">
        <v>11431.468809829999</v>
      </c>
      <c r="F2609" s="4">
        <v>26907541.037838999</v>
      </c>
    </row>
    <row r="2610" spans="1:6" x14ac:dyDescent="0.3">
      <c r="A2610" s="3" t="s">
        <v>19</v>
      </c>
      <c r="B2610" s="7" t="str">
        <f>VLOOKUP(VALUE(A2610), 'DICIONÁRIO UF'!$A:$B, 2, FALSE)</f>
        <v>Bahia</v>
      </c>
      <c r="C2610" s="3">
        <v>88000</v>
      </c>
      <c r="D2610" s="5" t="str">
        <f>VLOOKUP(C2610, 'DICIONÁRIO CNAES'!$A:$B, 2, FALSE)</f>
        <v>Serviços de assistência social sem alojamento</v>
      </c>
      <c r="E2610" s="4">
        <v>2166.5087722500002</v>
      </c>
      <c r="F2610" s="4">
        <v>2316953.723055</v>
      </c>
    </row>
    <row r="2611" spans="1:6" x14ac:dyDescent="0.3">
      <c r="A2611" s="3" t="s">
        <v>19</v>
      </c>
      <c r="B2611" s="7" t="str">
        <f>VLOOKUP(VALUE(A2611), 'DICIONÁRIO UF'!$A:$B, 2, FALSE)</f>
        <v>Bahia</v>
      </c>
      <c r="C2611" s="3">
        <v>90000</v>
      </c>
      <c r="D2611" s="5" t="str">
        <f>VLOOKUP(C2611, 'DICIONÁRIO CNAES'!$A:$B, 2, FALSE)</f>
        <v>Atividades artísticas, criativas e de espetáculos</v>
      </c>
      <c r="E2611" s="4">
        <v>10168.12260708</v>
      </c>
      <c r="F2611" s="4">
        <v>12808572.57725315</v>
      </c>
    </row>
    <row r="2612" spans="1:6" x14ac:dyDescent="0.3">
      <c r="A2612" s="3" t="s">
        <v>19</v>
      </c>
      <c r="B2612" s="7" t="str">
        <f>VLOOKUP(VALUE(A2612), 'DICIONÁRIO UF'!$A:$B, 2, FALSE)</f>
        <v>Bahia</v>
      </c>
      <c r="C2612" s="3">
        <v>91000</v>
      </c>
      <c r="D2612" s="5" t="str">
        <f>VLOOKUP(C2612, 'DICIONÁRIO CNAES'!$A:$B, 2, FALSE)</f>
        <v>Atividades ligadas ao patrimônio cultural e ambiental</v>
      </c>
      <c r="E2612" s="4">
        <v>855.30189567000002</v>
      </c>
      <c r="F2612" s="4">
        <v>2191573.1641779998</v>
      </c>
    </row>
    <row r="2613" spans="1:6" x14ac:dyDescent="0.3">
      <c r="A2613" s="3" t="s">
        <v>19</v>
      </c>
      <c r="B2613" s="7" t="str">
        <f>VLOOKUP(VALUE(A2613), 'DICIONÁRIO UF'!$A:$B, 2, FALSE)</f>
        <v>Bahia</v>
      </c>
      <c r="C2613" s="3">
        <v>92000</v>
      </c>
      <c r="D2613" s="5" t="str">
        <f>VLOOKUP(C2613, 'DICIONÁRIO CNAES'!$A:$B, 2, FALSE)</f>
        <v>Atividades de exploração de jogos de azar e apostas</v>
      </c>
      <c r="E2613" s="4">
        <v>8541.7786053399996</v>
      </c>
      <c r="F2613" s="4">
        <v>8320591.4311539</v>
      </c>
    </row>
    <row r="2614" spans="1:6" x14ac:dyDescent="0.3">
      <c r="A2614" s="3" t="s">
        <v>19</v>
      </c>
      <c r="B2614" s="7" t="str">
        <f>VLOOKUP(VALUE(A2614), 'DICIONÁRIO UF'!$A:$B, 2, FALSE)</f>
        <v>Bahia</v>
      </c>
      <c r="C2614" s="3">
        <v>93011</v>
      </c>
      <c r="D2614" s="5" t="str">
        <f>VLOOKUP(C2614, 'DICIONÁRIO CNAES'!$A:$B, 2, FALSE)</f>
        <v>Atividades esportivas</v>
      </c>
      <c r="E2614" s="4">
        <v>5325.8059198599994</v>
      </c>
      <c r="F2614" s="4">
        <v>6194337.6686319998</v>
      </c>
    </row>
    <row r="2615" spans="1:6" x14ac:dyDescent="0.3">
      <c r="A2615" s="3" t="s">
        <v>19</v>
      </c>
      <c r="B2615" s="7" t="str">
        <f>VLOOKUP(VALUE(A2615), 'DICIONÁRIO UF'!$A:$B, 2, FALSE)</f>
        <v>Bahia</v>
      </c>
      <c r="C2615" s="3">
        <v>93012</v>
      </c>
      <c r="D2615" s="5" t="str">
        <f>VLOOKUP(C2615, 'DICIONÁRIO CNAES'!$A:$B, 2, FALSE)</f>
        <v>Atividades de condicionamento físico</v>
      </c>
      <c r="E2615" s="4">
        <v>12308.59734371</v>
      </c>
      <c r="F2615" s="4">
        <v>21337510.405652002</v>
      </c>
    </row>
    <row r="2616" spans="1:6" x14ac:dyDescent="0.3">
      <c r="A2616" s="3" t="s">
        <v>19</v>
      </c>
      <c r="B2616" s="7" t="str">
        <f>VLOOKUP(VALUE(A2616), 'DICIONÁRIO UF'!$A:$B, 2, FALSE)</f>
        <v>Bahia</v>
      </c>
      <c r="C2616" s="3">
        <v>93020</v>
      </c>
      <c r="D2616" s="5" t="str">
        <f>VLOOKUP(C2616, 'DICIONÁRIO CNAES'!$A:$B, 2, FALSE)</f>
        <v>Atividades de recreação e lazer</v>
      </c>
      <c r="E2616" s="4">
        <v>1807.65723123</v>
      </c>
      <c r="F2616" s="4">
        <v>1144023.5975250001</v>
      </c>
    </row>
    <row r="2617" spans="1:6" x14ac:dyDescent="0.3">
      <c r="A2617" s="3" t="s">
        <v>19</v>
      </c>
      <c r="B2617" s="7" t="str">
        <f>VLOOKUP(VALUE(A2617), 'DICIONÁRIO UF'!$A:$B, 2, FALSE)</f>
        <v>Bahia</v>
      </c>
      <c r="C2617" s="3">
        <v>94010</v>
      </c>
      <c r="D2617" s="5" t="str">
        <f>VLOOKUP(C2617, 'DICIONÁRIO CNAES'!$A:$B, 2, FALSE)</f>
        <v>Atividades de organizações associativas patronais, empresariais e profissionais</v>
      </c>
      <c r="E2617" s="4">
        <v>1805.10946526</v>
      </c>
      <c r="F2617" s="4">
        <v>8889883.4919850007</v>
      </c>
    </row>
    <row r="2618" spans="1:6" x14ac:dyDescent="0.3">
      <c r="A2618" s="3" t="s">
        <v>19</v>
      </c>
      <c r="B2618" s="7" t="str">
        <f>VLOOKUP(VALUE(A2618), 'DICIONÁRIO UF'!$A:$B, 2, FALSE)</f>
        <v>Bahia</v>
      </c>
      <c r="C2618" s="3">
        <v>94020</v>
      </c>
      <c r="D2618" s="5" t="str">
        <f>VLOOKUP(C2618, 'DICIONÁRIO CNAES'!$A:$B, 2, FALSE)</f>
        <v>Atividades de organizações sindicais</v>
      </c>
      <c r="E2618" s="4">
        <v>2276.1086726799999</v>
      </c>
      <c r="F2618" s="4">
        <v>2881366.2616522</v>
      </c>
    </row>
    <row r="2619" spans="1:6" x14ac:dyDescent="0.3">
      <c r="A2619" s="3" t="s">
        <v>19</v>
      </c>
      <c r="B2619" s="7" t="str">
        <f>VLOOKUP(VALUE(A2619), 'DICIONÁRIO UF'!$A:$B, 2, FALSE)</f>
        <v>Bahia</v>
      </c>
      <c r="C2619" s="3">
        <v>94091</v>
      </c>
      <c r="D2619" s="5" t="str">
        <f>VLOOKUP(C2619, 'DICIONÁRIO CNAES'!$A:$B, 2, FALSE)</f>
        <v>Atividades de organizações religiosas e filosóficas</v>
      </c>
      <c r="E2619" s="4">
        <v>13672.202920809999</v>
      </c>
      <c r="F2619" s="4">
        <v>23046901.358103398</v>
      </c>
    </row>
    <row r="2620" spans="1:6" x14ac:dyDescent="0.3">
      <c r="A2620" s="3" t="s">
        <v>19</v>
      </c>
      <c r="B2620" s="7" t="str">
        <f>VLOOKUP(VALUE(A2620), 'DICIONÁRIO UF'!$A:$B, 2, FALSE)</f>
        <v>Bahia</v>
      </c>
      <c r="C2620" s="3">
        <v>94099</v>
      </c>
      <c r="D2620" s="5" t="str">
        <f>VLOOKUP(C2620, 'DICIONÁRIO CNAES'!$A:$B, 2, FALSE)</f>
        <v xml:space="preserve">Outras atividades associativas não especificadas anteriormente </v>
      </c>
      <c r="E2620" s="4">
        <v>3890.29814244</v>
      </c>
      <c r="F2620" s="4">
        <v>4720881.0185700003</v>
      </c>
    </row>
    <row r="2621" spans="1:6" x14ac:dyDescent="0.3">
      <c r="A2621" s="3" t="s">
        <v>19</v>
      </c>
      <c r="B2621" s="7" t="str">
        <f>VLOOKUP(VALUE(A2621), 'DICIONÁRIO UF'!$A:$B, 2, FALSE)</f>
        <v>Bahia</v>
      </c>
      <c r="C2621" s="3">
        <v>95010</v>
      </c>
      <c r="D2621" s="5" t="str">
        <f>VLOOKUP(C2621, 'DICIONÁRIO CNAES'!$A:$B, 2, FALSE)</f>
        <v>Reparação e manutenção de equipamentos de informática e comunicação</v>
      </c>
      <c r="E2621" s="4">
        <v>8873.1892085099989</v>
      </c>
      <c r="F2621" s="4">
        <v>19869595.126340002</v>
      </c>
    </row>
    <row r="2622" spans="1:6" x14ac:dyDescent="0.3">
      <c r="A2622" s="3" t="s">
        <v>19</v>
      </c>
      <c r="B2622" s="7" t="str">
        <f>VLOOKUP(VALUE(A2622), 'DICIONÁRIO UF'!$A:$B, 2, FALSE)</f>
        <v>Bahia</v>
      </c>
      <c r="C2622" s="3">
        <v>95030</v>
      </c>
      <c r="D2622" s="5" t="str">
        <f>VLOOKUP(C2622, 'DICIONÁRIO CNAES'!$A:$B, 2, FALSE)</f>
        <v>Reparação e manutenção de objetos e equipamentos pessoais e domésticos</v>
      </c>
      <c r="E2622" s="4">
        <v>25976.58550148</v>
      </c>
      <c r="F2622" s="4">
        <v>40772580.741834998</v>
      </c>
    </row>
    <row r="2623" spans="1:6" x14ac:dyDescent="0.3">
      <c r="A2623" s="3" t="s">
        <v>19</v>
      </c>
      <c r="B2623" s="7" t="str">
        <f>VLOOKUP(VALUE(A2623), 'DICIONÁRIO UF'!$A:$B, 2, FALSE)</f>
        <v>Bahia</v>
      </c>
      <c r="C2623" s="3">
        <v>96010</v>
      </c>
      <c r="D2623" s="5" t="str">
        <f>VLOOKUP(C2623, 'DICIONÁRIO CNAES'!$A:$B, 2, FALSE)</f>
        <v>Lavanderias, tinturarias e toalheiros</v>
      </c>
      <c r="E2623" s="4">
        <v>1924.6376794299999</v>
      </c>
      <c r="F2623" s="4">
        <v>2491877.8925370001</v>
      </c>
    </row>
    <row r="2624" spans="1:6" x14ac:dyDescent="0.3">
      <c r="A2624" s="3" t="s">
        <v>19</v>
      </c>
      <c r="B2624" s="7" t="str">
        <f>VLOOKUP(VALUE(A2624), 'DICIONÁRIO UF'!$A:$B, 2, FALSE)</f>
        <v>Bahia</v>
      </c>
      <c r="C2624" s="3">
        <v>96020</v>
      </c>
      <c r="D2624" s="5" t="str">
        <f>VLOOKUP(C2624, 'DICIONÁRIO CNAES'!$A:$B, 2, FALSE)</f>
        <v>Cabeleireiros e outras atividades de tratamento de beleza</v>
      </c>
      <c r="E2624" s="4">
        <v>145839.20133042999</v>
      </c>
      <c r="F2624" s="4">
        <v>138121973.24253619</v>
      </c>
    </row>
    <row r="2625" spans="1:6" x14ac:dyDescent="0.3">
      <c r="A2625" s="3" t="s">
        <v>19</v>
      </c>
      <c r="B2625" s="7" t="str">
        <f>VLOOKUP(VALUE(A2625), 'DICIONÁRIO UF'!$A:$B, 2, FALSE)</f>
        <v>Bahia</v>
      </c>
      <c r="C2625" s="3">
        <v>96030</v>
      </c>
      <c r="D2625" s="5" t="str">
        <f>VLOOKUP(C2625, 'DICIONÁRIO CNAES'!$A:$B, 2, FALSE)</f>
        <v xml:space="preserve">Atividades funerárias e serviços relacionados </v>
      </c>
      <c r="E2625" s="4">
        <v>5501.0558746099996</v>
      </c>
      <c r="F2625" s="4">
        <v>5895710.8674034998</v>
      </c>
    </row>
    <row r="2626" spans="1:6" x14ac:dyDescent="0.3">
      <c r="A2626" s="3" t="s">
        <v>19</v>
      </c>
      <c r="B2626" s="7" t="str">
        <f>VLOOKUP(VALUE(A2626), 'DICIONÁRIO UF'!$A:$B, 2, FALSE)</f>
        <v>Bahia</v>
      </c>
      <c r="C2626" s="3">
        <v>96090</v>
      </c>
      <c r="D2626" s="5" t="str">
        <f>VLOOKUP(C2626, 'DICIONÁRIO CNAES'!$A:$B, 2, FALSE)</f>
        <v>Outras atividades de serviços pessoais</v>
      </c>
      <c r="E2626" s="4">
        <v>7909.6561541600004</v>
      </c>
      <c r="F2626" s="4">
        <v>8821475.8550282009</v>
      </c>
    </row>
    <row r="2627" spans="1:6" x14ac:dyDescent="0.3">
      <c r="A2627" s="3" t="s">
        <v>19</v>
      </c>
      <c r="B2627" s="7" t="str">
        <f>VLOOKUP(VALUE(A2627), 'DICIONÁRIO UF'!$A:$B, 2, FALSE)</f>
        <v>Bahia</v>
      </c>
      <c r="C2627" s="3">
        <v>97000</v>
      </c>
      <c r="D2627" s="5" t="str">
        <f>VLOOKUP(C2627, 'DICIONÁRIO CNAES'!$A:$B, 2, FALSE)</f>
        <v>Serviços domésticos</v>
      </c>
      <c r="E2627" s="4">
        <v>375851.54414638999</v>
      </c>
      <c r="F2627" s="4">
        <v>220751221.96162951</v>
      </c>
    </row>
    <row r="2628" spans="1:6" x14ac:dyDescent="0.3">
      <c r="A2628" s="3" t="s">
        <v>20</v>
      </c>
      <c r="B2628" s="7" t="str">
        <f>VLOOKUP(VALUE(A2628), 'DICIONÁRIO UF'!$A:$B, 2, FALSE)</f>
        <v>Minas Gerais</v>
      </c>
      <c r="C2628" s="3">
        <v>0</v>
      </c>
      <c r="D2628" s="5" t="str">
        <f>VLOOKUP(C2628, 'DICIONÁRIO CNAES'!$A:$B, 2, FALSE)</f>
        <v xml:space="preserve">Atividades mal definidas </v>
      </c>
      <c r="E2628" s="4">
        <v>767.42296366999994</v>
      </c>
      <c r="F2628" s="4">
        <v>230226.88910100001</v>
      </c>
    </row>
    <row r="2629" spans="1:6" x14ac:dyDescent="0.3">
      <c r="A2629" s="3" t="s">
        <v>20</v>
      </c>
      <c r="B2629" s="7" t="str">
        <f>VLOOKUP(VALUE(A2629), 'DICIONÁRIO UF'!$A:$B, 2, FALSE)</f>
        <v>Minas Gerais</v>
      </c>
      <c r="C2629" s="3">
        <v>1101</v>
      </c>
      <c r="D2629" s="5" t="str">
        <f>VLOOKUP(C2629, 'DICIONÁRIO CNAES'!$A:$B, 2, FALSE)</f>
        <v>Cultivo de arroz</v>
      </c>
      <c r="E2629" s="4">
        <v>450.48165141999999</v>
      </c>
      <c r="F2629" s="4">
        <v>450481.65142000001</v>
      </c>
    </row>
    <row r="2630" spans="1:6" x14ac:dyDescent="0.3">
      <c r="A2630" s="3" t="s">
        <v>20</v>
      </c>
      <c r="B2630" s="7" t="str">
        <f>VLOOKUP(VALUE(A2630), 'DICIONÁRIO UF'!$A:$B, 2, FALSE)</f>
        <v>Minas Gerais</v>
      </c>
      <c r="C2630" s="3">
        <v>1102</v>
      </c>
      <c r="D2630" s="5" t="str">
        <f>VLOOKUP(C2630, 'DICIONÁRIO CNAES'!$A:$B, 2, FALSE)</f>
        <v>Cultivo de milho</v>
      </c>
      <c r="E2630" s="4">
        <v>46703.928462440002</v>
      </c>
      <c r="F2630" s="4">
        <v>53476364.61938142</v>
      </c>
    </row>
    <row r="2631" spans="1:6" x14ac:dyDescent="0.3">
      <c r="A2631" s="3" t="s">
        <v>20</v>
      </c>
      <c r="B2631" s="7" t="str">
        <f>VLOOKUP(VALUE(A2631), 'DICIONÁRIO UF'!$A:$B, 2, FALSE)</f>
        <v>Minas Gerais</v>
      </c>
      <c r="C2631" s="3">
        <v>1103</v>
      </c>
      <c r="D2631" s="5" t="str">
        <f>VLOOKUP(C2631, 'DICIONÁRIO CNAES'!$A:$B, 2, FALSE)</f>
        <v>Cultivo de outros cereais</v>
      </c>
      <c r="E2631" s="4">
        <v>224.07430029</v>
      </c>
      <c r="F2631" s="4">
        <v>1187593.7915370001</v>
      </c>
    </row>
    <row r="2632" spans="1:6" x14ac:dyDescent="0.3">
      <c r="A2632" s="3" t="s">
        <v>20</v>
      </c>
      <c r="B2632" s="7" t="str">
        <f>VLOOKUP(VALUE(A2632), 'DICIONÁRIO UF'!$A:$B, 2, FALSE)</f>
        <v>Minas Gerais</v>
      </c>
      <c r="C2632" s="3">
        <v>1105</v>
      </c>
      <c r="D2632" s="5" t="str">
        <f>VLOOKUP(C2632, 'DICIONÁRIO CNAES'!$A:$B, 2, FALSE)</f>
        <v>Cultivo de cana-de-açúcar</v>
      </c>
      <c r="E2632" s="4">
        <v>24223.59371461</v>
      </c>
      <c r="F2632" s="4">
        <v>60012304.535854399</v>
      </c>
    </row>
    <row r="2633" spans="1:6" x14ac:dyDescent="0.3">
      <c r="A2633" s="3" t="s">
        <v>20</v>
      </c>
      <c r="B2633" s="7" t="str">
        <f>VLOOKUP(VALUE(A2633), 'DICIONÁRIO UF'!$A:$B, 2, FALSE)</f>
        <v>Minas Gerais</v>
      </c>
      <c r="C2633" s="3">
        <v>1106</v>
      </c>
      <c r="D2633" s="5" t="str">
        <f>VLOOKUP(C2633, 'DICIONÁRIO CNAES'!$A:$B, 2, FALSE)</f>
        <v>Cultivo de fumo</v>
      </c>
      <c r="E2633" s="4">
        <v>5755.5939013300003</v>
      </c>
      <c r="F2633" s="4">
        <v>10034152.77201537</v>
      </c>
    </row>
    <row r="2634" spans="1:6" x14ac:dyDescent="0.3">
      <c r="A2634" s="3" t="s">
        <v>20</v>
      </c>
      <c r="B2634" s="7" t="str">
        <f>VLOOKUP(VALUE(A2634), 'DICIONÁRIO UF'!$A:$B, 2, FALSE)</f>
        <v>Minas Gerais</v>
      </c>
      <c r="C2634" s="3">
        <v>1107</v>
      </c>
      <c r="D2634" s="5" t="str">
        <f>VLOOKUP(C2634, 'DICIONÁRIO CNAES'!$A:$B, 2, FALSE)</f>
        <v>Cultivo de soja</v>
      </c>
      <c r="E2634" s="4">
        <v>18800.793887330001</v>
      </c>
      <c r="F2634" s="4">
        <v>45160803.744896598</v>
      </c>
    </row>
    <row r="2635" spans="1:6" x14ac:dyDescent="0.3">
      <c r="A2635" s="3" t="s">
        <v>20</v>
      </c>
      <c r="B2635" s="7" t="str">
        <f>VLOOKUP(VALUE(A2635), 'DICIONÁRIO UF'!$A:$B, 2, FALSE)</f>
        <v>Minas Gerais</v>
      </c>
      <c r="C2635" s="3">
        <v>1108</v>
      </c>
      <c r="D2635" s="5" t="str">
        <f>VLOOKUP(C2635, 'DICIONÁRIO CNAES'!$A:$B, 2, FALSE)</f>
        <v>Cultivo de mandioca</v>
      </c>
      <c r="E2635" s="4">
        <v>9212.4324330100008</v>
      </c>
      <c r="F2635" s="4">
        <v>4027847.2975601</v>
      </c>
    </row>
    <row r="2636" spans="1:6" x14ac:dyDescent="0.3">
      <c r="A2636" s="3" t="s">
        <v>20</v>
      </c>
      <c r="B2636" s="7" t="str">
        <f>VLOOKUP(VALUE(A2636), 'DICIONÁRIO UF'!$A:$B, 2, FALSE)</f>
        <v>Minas Gerais</v>
      </c>
      <c r="C2636" s="3">
        <v>1109</v>
      </c>
      <c r="D2636" s="5" t="str">
        <f>VLOOKUP(C2636, 'DICIONÁRIO CNAES'!$A:$B, 2, FALSE)</f>
        <v>Cultivo de outras lavouras temporárias não especificadas anteriormente</v>
      </c>
      <c r="E2636" s="4">
        <v>41295.411559679997</v>
      </c>
      <c r="F2636" s="4">
        <v>66229182.928364404</v>
      </c>
    </row>
    <row r="2637" spans="1:6" x14ac:dyDescent="0.3">
      <c r="A2637" s="3" t="s">
        <v>20</v>
      </c>
      <c r="B2637" s="7" t="str">
        <f>VLOOKUP(VALUE(A2637), 'DICIONÁRIO UF'!$A:$B, 2, FALSE)</f>
        <v>Minas Gerais</v>
      </c>
      <c r="C2637" s="3">
        <v>1110</v>
      </c>
      <c r="D2637" s="5" t="str">
        <f>VLOOKUP(C2637, 'DICIONÁRIO CNAES'!$A:$B, 2, FALSE)</f>
        <v>Horticultura</v>
      </c>
      <c r="E2637" s="4">
        <v>142154.90549236999</v>
      </c>
      <c r="F2637" s="4">
        <v>165206227.40110651</v>
      </c>
    </row>
    <row r="2638" spans="1:6" x14ac:dyDescent="0.3">
      <c r="A2638" s="3" t="s">
        <v>20</v>
      </c>
      <c r="B2638" s="7" t="str">
        <f>VLOOKUP(VALUE(A2638), 'DICIONÁRIO UF'!$A:$B, 2, FALSE)</f>
        <v>Minas Gerais</v>
      </c>
      <c r="C2638" s="3">
        <v>1111</v>
      </c>
      <c r="D2638" s="5" t="str">
        <f>VLOOKUP(C2638, 'DICIONÁRIO CNAES'!$A:$B, 2, FALSE)</f>
        <v>Cultivo de flores e plantas ornamentais</v>
      </c>
      <c r="E2638" s="4">
        <v>20686.60616712</v>
      </c>
      <c r="F2638" s="4">
        <v>27701693.045431189</v>
      </c>
    </row>
    <row r="2639" spans="1:6" x14ac:dyDescent="0.3">
      <c r="A2639" s="3" t="s">
        <v>20</v>
      </c>
      <c r="B2639" s="7" t="str">
        <f>VLOOKUP(VALUE(A2639), 'DICIONÁRIO UF'!$A:$B, 2, FALSE)</f>
        <v>Minas Gerais</v>
      </c>
      <c r="C2639" s="3">
        <v>1112</v>
      </c>
      <c r="D2639" s="5" t="str">
        <f>VLOOKUP(C2639, 'DICIONÁRIO CNAES'!$A:$B, 2, FALSE)</f>
        <v>Cultivo de frutas cítricas</v>
      </c>
      <c r="E2639" s="4">
        <v>17624.31366394</v>
      </c>
      <c r="F2639" s="4">
        <v>21261568.35237335</v>
      </c>
    </row>
    <row r="2640" spans="1:6" x14ac:dyDescent="0.3">
      <c r="A2640" s="3" t="s">
        <v>20</v>
      </c>
      <c r="B2640" s="7" t="str">
        <f>VLOOKUP(VALUE(A2640), 'DICIONÁRIO UF'!$A:$B, 2, FALSE)</f>
        <v>Minas Gerais</v>
      </c>
      <c r="C2640" s="3">
        <v>1113</v>
      </c>
      <c r="D2640" s="5" t="str">
        <f>VLOOKUP(C2640, 'DICIONÁRIO CNAES'!$A:$B, 2, FALSE)</f>
        <v>Cultivo de café</v>
      </c>
      <c r="E2640" s="4">
        <v>325686.84762617003</v>
      </c>
      <c r="F2640" s="4">
        <v>498978776.99530721</v>
      </c>
    </row>
    <row r="2641" spans="1:6" x14ac:dyDescent="0.3">
      <c r="A2641" s="3" t="s">
        <v>20</v>
      </c>
      <c r="B2641" s="7" t="str">
        <f>VLOOKUP(VALUE(A2641), 'DICIONÁRIO UF'!$A:$B, 2, FALSE)</f>
        <v>Minas Gerais</v>
      </c>
      <c r="C2641" s="3">
        <v>1116</v>
      </c>
      <c r="D2641" s="5" t="str">
        <f>VLOOKUP(C2641, 'DICIONÁRIO CNAES'!$A:$B, 2, FALSE)</f>
        <v>Cultivo de banana</v>
      </c>
      <c r="E2641" s="4">
        <v>18000.956654459998</v>
      </c>
      <c r="F2641" s="4">
        <v>28505463.369176459</v>
      </c>
    </row>
    <row r="2642" spans="1:6" x14ac:dyDescent="0.3">
      <c r="A2642" s="3" t="s">
        <v>20</v>
      </c>
      <c r="B2642" s="7" t="str">
        <f>VLOOKUP(VALUE(A2642), 'DICIONÁRIO UF'!$A:$B, 2, FALSE)</f>
        <v>Minas Gerais</v>
      </c>
      <c r="C2642" s="3">
        <v>1117</v>
      </c>
      <c r="D2642" s="5" t="str">
        <f>VLOOKUP(C2642, 'DICIONÁRIO CNAES'!$A:$B, 2, FALSE)</f>
        <v>Cultivo de outras plantas e frutas de lavoura permanente não especificadas anteriormente</v>
      </c>
      <c r="E2642" s="4">
        <v>14179.961085499999</v>
      </c>
      <c r="F2642" s="4">
        <v>19852511.897241</v>
      </c>
    </row>
    <row r="2643" spans="1:6" x14ac:dyDescent="0.3">
      <c r="A2643" s="3" t="s">
        <v>20</v>
      </c>
      <c r="B2643" s="7" t="str">
        <f>VLOOKUP(VALUE(A2643), 'DICIONÁRIO UF'!$A:$B, 2, FALSE)</f>
        <v>Minas Gerais</v>
      </c>
      <c r="C2643" s="3">
        <v>1118</v>
      </c>
      <c r="D2643" s="5" t="str">
        <f>VLOOKUP(C2643, 'DICIONÁRIO CNAES'!$A:$B, 2, FALSE)</f>
        <v>Produção de sementes e mudas certificadas</v>
      </c>
      <c r="E2643" s="4">
        <v>1244.3499383400001</v>
      </c>
      <c r="F2643" s="4">
        <v>2289412.792508</v>
      </c>
    </row>
    <row r="2644" spans="1:6" x14ac:dyDescent="0.3">
      <c r="A2644" s="3" t="s">
        <v>20</v>
      </c>
      <c r="B2644" s="7" t="str">
        <f>VLOOKUP(VALUE(A2644), 'DICIONÁRIO UF'!$A:$B, 2, FALSE)</f>
        <v>Minas Gerais</v>
      </c>
      <c r="C2644" s="3">
        <v>1119</v>
      </c>
      <c r="D2644" s="5" t="str">
        <f>VLOOKUP(C2644, 'DICIONÁRIO CNAES'!$A:$B, 2, FALSE)</f>
        <v>Lavoura não especificada</v>
      </c>
      <c r="E2644" s="4">
        <v>10806.30325852</v>
      </c>
      <c r="F2644" s="4">
        <v>16453946.468596499</v>
      </c>
    </row>
    <row r="2645" spans="1:6" x14ac:dyDescent="0.3">
      <c r="A2645" s="3" t="s">
        <v>20</v>
      </c>
      <c r="B2645" s="7" t="str">
        <f>VLOOKUP(VALUE(A2645), 'DICIONÁRIO UF'!$A:$B, 2, FALSE)</f>
        <v>Minas Gerais</v>
      </c>
      <c r="C2645" s="3">
        <v>1201</v>
      </c>
      <c r="D2645" s="5" t="str">
        <f>VLOOKUP(C2645, 'DICIONÁRIO CNAES'!$A:$B, 2, FALSE)</f>
        <v>Criação de bovinos</v>
      </c>
      <c r="E2645" s="4">
        <v>395782.43089177</v>
      </c>
      <c r="F2645" s="4">
        <v>693353301.65240669</v>
      </c>
    </row>
    <row r="2646" spans="1:6" x14ac:dyDescent="0.3">
      <c r="A2646" s="3" t="s">
        <v>20</v>
      </c>
      <c r="B2646" s="7" t="str">
        <f>VLOOKUP(VALUE(A2646), 'DICIONÁRIO UF'!$A:$B, 2, FALSE)</f>
        <v>Minas Gerais</v>
      </c>
      <c r="C2646" s="3">
        <v>1202</v>
      </c>
      <c r="D2646" s="5" t="str">
        <f>VLOOKUP(C2646, 'DICIONÁRIO CNAES'!$A:$B, 2, FALSE)</f>
        <v>Criação de outros animais de grande porte não especificados anteriormente</v>
      </c>
      <c r="E2646" s="4">
        <v>7181.2776107600002</v>
      </c>
      <c r="F2646" s="4">
        <v>12046475.383592</v>
      </c>
    </row>
    <row r="2647" spans="1:6" x14ac:dyDescent="0.3">
      <c r="A2647" s="3" t="s">
        <v>20</v>
      </c>
      <c r="B2647" s="7" t="str">
        <f>VLOOKUP(VALUE(A2647), 'DICIONÁRIO UF'!$A:$B, 2, FALSE)</f>
        <v>Minas Gerais</v>
      </c>
      <c r="C2647" s="3">
        <v>1203</v>
      </c>
      <c r="D2647" s="5" t="str">
        <f>VLOOKUP(C2647, 'DICIONÁRIO CNAES'!$A:$B, 2, FALSE)</f>
        <v>Criação de caprinos e ovinos</v>
      </c>
      <c r="E2647" s="4">
        <v>1125.7740000399999</v>
      </c>
      <c r="F2647" s="4">
        <v>1132020.94334</v>
      </c>
    </row>
    <row r="2648" spans="1:6" x14ac:dyDescent="0.3">
      <c r="A2648" s="3" t="s">
        <v>20</v>
      </c>
      <c r="B2648" s="7" t="str">
        <f>VLOOKUP(VALUE(A2648), 'DICIONÁRIO UF'!$A:$B, 2, FALSE)</f>
        <v>Minas Gerais</v>
      </c>
      <c r="C2648" s="3">
        <v>1204</v>
      </c>
      <c r="D2648" s="5" t="str">
        <f>VLOOKUP(C2648, 'DICIONÁRIO CNAES'!$A:$B, 2, FALSE)</f>
        <v>Criação de suínos</v>
      </c>
      <c r="E2648" s="4">
        <v>9902.8166051499993</v>
      </c>
      <c r="F2648" s="4">
        <v>13347968.109889001</v>
      </c>
    </row>
    <row r="2649" spans="1:6" x14ac:dyDescent="0.3">
      <c r="A2649" s="3" t="s">
        <v>20</v>
      </c>
      <c r="B2649" s="7" t="str">
        <f>VLOOKUP(VALUE(A2649), 'DICIONÁRIO UF'!$A:$B, 2, FALSE)</f>
        <v>Minas Gerais</v>
      </c>
      <c r="C2649" s="3">
        <v>1205</v>
      </c>
      <c r="D2649" s="5" t="str">
        <f>VLOOKUP(C2649, 'DICIONÁRIO CNAES'!$A:$B, 2, FALSE)</f>
        <v>Criação de aves</v>
      </c>
      <c r="E2649" s="4">
        <v>20702.598331270001</v>
      </c>
      <c r="F2649" s="4">
        <v>26922482.839652609</v>
      </c>
    </row>
    <row r="2650" spans="1:6" x14ac:dyDescent="0.3">
      <c r="A2650" s="3" t="s">
        <v>20</v>
      </c>
      <c r="B2650" s="7" t="str">
        <f>VLOOKUP(VALUE(A2650), 'DICIONÁRIO UF'!$A:$B, 2, FALSE)</f>
        <v>Minas Gerais</v>
      </c>
      <c r="C2650" s="3">
        <v>1206</v>
      </c>
      <c r="D2650" s="5" t="str">
        <f>VLOOKUP(C2650, 'DICIONÁRIO CNAES'!$A:$B, 2, FALSE)</f>
        <v>Apicultura</v>
      </c>
      <c r="E2650" s="4">
        <v>3786.48336457</v>
      </c>
      <c r="F2650" s="4">
        <v>10132578.0535715</v>
      </c>
    </row>
    <row r="2651" spans="1:6" x14ac:dyDescent="0.3">
      <c r="A2651" s="3" t="s">
        <v>20</v>
      </c>
      <c r="B2651" s="7" t="str">
        <f>VLOOKUP(VALUE(A2651), 'DICIONÁRIO UF'!$A:$B, 2, FALSE)</f>
        <v>Minas Gerais</v>
      </c>
      <c r="C2651" s="3">
        <v>1401</v>
      </c>
      <c r="D2651" s="5" t="str">
        <f>VLOOKUP(C2651, 'DICIONÁRIO CNAES'!$A:$B, 2, FALSE)</f>
        <v>Atividades de apoio à agricultura e pós-colheita</v>
      </c>
      <c r="E2651" s="4">
        <v>48883.372665720002</v>
      </c>
      <c r="F2651" s="4">
        <v>53023213.449093603</v>
      </c>
    </row>
    <row r="2652" spans="1:6" x14ac:dyDescent="0.3">
      <c r="A2652" s="3" t="s">
        <v>20</v>
      </c>
      <c r="B2652" s="7" t="str">
        <f>VLOOKUP(VALUE(A2652), 'DICIONÁRIO UF'!$A:$B, 2, FALSE)</f>
        <v>Minas Gerais</v>
      </c>
      <c r="C2652" s="3">
        <v>1402</v>
      </c>
      <c r="D2652" s="5" t="str">
        <f>VLOOKUP(C2652, 'DICIONÁRIO CNAES'!$A:$B, 2, FALSE)</f>
        <v xml:space="preserve">Atividades de apoio à pecuária </v>
      </c>
      <c r="E2652" s="4">
        <v>33159.03818345</v>
      </c>
      <c r="F2652" s="4">
        <v>39248833.816612802</v>
      </c>
    </row>
    <row r="2653" spans="1:6" x14ac:dyDescent="0.3">
      <c r="A2653" s="3" t="s">
        <v>20</v>
      </c>
      <c r="B2653" s="7" t="str">
        <f>VLOOKUP(VALUE(A2653), 'DICIONÁRIO UF'!$A:$B, 2, FALSE)</f>
        <v>Minas Gerais</v>
      </c>
      <c r="C2653" s="3">
        <v>1999</v>
      </c>
      <c r="D2653" s="5" t="str">
        <f>VLOOKUP(C2653, 'DICIONÁRIO CNAES'!$A:$B, 2, FALSE)</f>
        <v>Agropecuária</v>
      </c>
      <c r="E2653" s="4">
        <v>198.28164434000001</v>
      </c>
      <c r="F2653" s="4">
        <v>329147.52960439998</v>
      </c>
    </row>
    <row r="2654" spans="1:6" x14ac:dyDescent="0.3">
      <c r="A2654" s="3" t="s">
        <v>20</v>
      </c>
      <c r="B2654" s="7" t="str">
        <f>VLOOKUP(VALUE(A2654), 'DICIONÁRIO UF'!$A:$B, 2, FALSE)</f>
        <v>Minas Gerais</v>
      </c>
      <c r="C2654" s="3">
        <v>2000</v>
      </c>
      <c r="D2654" s="5" t="str">
        <f>VLOOKUP(C2654, 'DICIONÁRIO CNAES'!$A:$B, 2, FALSE)</f>
        <v xml:space="preserve">Produção florestal </v>
      </c>
      <c r="E2654" s="4">
        <v>51659.074993230002</v>
      </c>
      <c r="F2654" s="4">
        <v>72967746.97467418</v>
      </c>
    </row>
    <row r="2655" spans="1:6" x14ac:dyDescent="0.3">
      <c r="A2655" s="3" t="s">
        <v>20</v>
      </c>
      <c r="B2655" s="7" t="str">
        <f>VLOOKUP(VALUE(A2655), 'DICIONÁRIO UF'!$A:$B, 2, FALSE)</f>
        <v>Minas Gerais</v>
      </c>
      <c r="C2655" s="3">
        <v>3001</v>
      </c>
      <c r="D2655" s="5" t="str">
        <f>VLOOKUP(C2655, 'DICIONÁRIO CNAES'!$A:$B, 2, FALSE)</f>
        <v>Pesca</v>
      </c>
      <c r="E2655" s="4">
        <v>4523.4439560299998</v>
      </c>
      <c r="F2655" s="4">
        <v>6157910.2629030002</v>
      </c>
    </row>
    <row r="2656" spans="1:6" x14ac:dyDescent="0.3">
      <c r="A2656" s="3" t="s">
        <v>20</v>
      </c>
      <c r="B2656" s="7" t="str">
        <f>VLOOKUP(VALUE(A2656), 'DICIONÁRIO UF'!$A:$B, 2, FALSE)</f>
        <v>Minas Gerais</v>
      </c>
      <c r="C2656" s="3">
        <v>3002</v>
      </c>
      <c r="D2656" s="5" t="str">
        <f>VLOOKUP(C2656, 'DICIONÁRIO CNAES'!$A:$B, 2, FALSE)</f>
        <v>Aqüicultura</v>
      </c>
      <c r="E2656" s="4">
        <v>1753.07566359</v>
      </c>
      <c r="F2656" s="4">
        <v>2097292.033611</v>
      </c>
    </row>
    <row r="2657" spans="1:6" x14ac:dyDescent="0.3">
      <c r="A2657" s="3" t="s">
        <v>20</v>
      </c>
      <c r="B2657" s="7" t="str">
        <f>VLOOKUP(VALUE(A2657), 'DICIONÁRIO UF'!$A:$B, 2, FALSE)</f>
        <v>Minas Gerais</v>
      </c>
      <c r="C2657" s="3">
        <v>6000</v>
      </c>
      <c r="D2657" s="5" t="str">
        <f>VLOOKUP(C2657, 'DICIONÁRIO CNAES'!$A:$B, 2, FALSE)</f>
        <v xml:space="preserve">Extração de petróleo e gás natural </v>
      </c>
      <c r="E2657" s="4">
        <v>2725.4095424100001</v>
      </c>
      <c r="F2657" s="4">
        <v>15570334.12744</v>
      </c>
    </row>
    <row r="2658" spans="1:6" x14ac:dyDescent="0.3">
      <c r="A2658" s="3" t="s">
        <v>20</v>
      </c>
      <c r="B2658" s="7" t="str">
        <f>VLOOKUP(VALUE(A2658), 'DICIONÁRIO UF'!$A:$B, 2, FALSE)</f>
        <v>Minas Gerais</v>
      </c>
      <c r="C2658" s="3">
        <v>7001</v>
      </c>
      <c r="D2658" s="5" t="str">
        <f>VLOOKUP(C2658, 'DICIONÁRIO CNAES'!$A:$B, 2, FALSE)</f>
        <v>Extração de minérios de metais preciosos</v>
      </c>
      <c r="E2658" s="4">
        <v>1088.31744211</v>
      </c>
      <c r="F2658" s="4">
        <v>2732795.3218569998</v>
      </c>
    </row>
    <row r="2659" spans="1:6" x14ac:dyDescent="0.3">
      <c r="A2659" s="3" t="s">
        <v>20</v>
      </c>
      <c r="B2659" s="7" t="str">
        <f>VLOOKUP(VALUE(A2659), 'DICIONÁRIO UF'!$A:$B, 2, FALSE)</f>
        <v>Minas Gerais</v>
      </c>
      <c r="C2659" s="3">
        <v>7002</v>
      </c>
      <c r="D2659" s="5" t="str">
        <f>VLOOKUP(C2659, 'DICIONÁRIO CNAES'!$A:$B, 2, FALSE)</f>
        <v xml:space="preserve">Extração de minerais metálicos não especificados anteriormente </v>
      </c>
      <c r="E2659" s="4">
        <v>58957.897859509998</v>
      </c>
      <c r="F2659" s="4">
        <v>204260344.18367541</v>
      </c>
    </row>
    <row r="2660" spans="1:6" x14ac:dyDescent="0.3">
      <c r="A2660" s="3" t="s">
        <v>20</v>
      </c>
      <c r="B2660" s="7" t="str">
        <f>VLOOKUP(VALUE(A2660), 'DICIONÁRIO UF'!$A:$B, 2, FALSE)</f>
        <v>Minas Gerais</v>
      </c>
      <c r="C2660" s="3">
        <v>8001</v>
      </c>
      <c r="D2660" s="5" t="str">
        <f>VLOOKUP(C2660, 'DICIONÁRIO CNAES'!$A:$B, 2, FALSE)</f>
        <v>Extração de pedras, areia e argila</v>
      </c>
      <c r="E2660" s="4">
        <v>10870.66809807</v>
      </c>
      <c r="F2660" s="4">
        <v>14928633.9300813</v>
      </c>
    </row>
    <row r="2661" spans="1:6" x14ac:dyDescent="0.3">
      <c r="A2661" s="3" t="s">
        <v>20</v>
      </c>
      <c r="B2661" s="7" t="str">
        <f>VLOOKUP(VALUE(A2661), 'DICIONÁRIO UF'!$A:$B, 2, FALSE)</f>
        <v>Minas Gerais</v>
      </c>
      <c r="C2661" s="3">
        <v>8002</v>
      </c>
      <c r="D2661" s="5" t="str">
        <f>VLOOKUP(C2661, 'DICIONÁRIO CNAES'!$A:$B, 2, FALSE)</f>
        <v>Extração de gemas (pedras preciosas e semi-preciosas)</v>
      </c>
      <c r="E2661" s="4">
        <v>1694.4538087400001</v>
      </c>
      <c r="F2661" s="4">
        <v>6851225.3112129997</v>
      </c>
    </row>
    <row r="2662" spans="1:6" x14ac:dyDescent="0.3">
      <c r="A2662" s="3" t="s">
        <v>20</v>
      </c>
      <c r="B2662" s="7" t="str">
        <f>VLOOKUP(VALUE(A2662), 'DICIONÁRIO UF'!$A:$B, 2, FALSE)</f>
        <v>Minas Gerais</v>
      </c>
      <c r="C2662" s="3">
        <v>8009</v>
      </c>
      <c r="D2662" s="5" t="str">
        <f>VLOOKUP(C2662, 'DICIONÁRIO CNAES'!$A:$B, 2, FALSE)</f>
        <v xml:space="preserve">Extração de minerais não metálicos não especificados anteriormente </v>
      </c>
      <c r="E2662" s="4">
        <v>2685.81617022</v>
      </c>
      <c r="F2662" s="4">
        <v>7747860.2803170001</v>
      </c>
    </row>
    <row r="2663" spans="1:6" x14ac:dyDescent="0.3">
      <c r="A2663" s="3" t="s">
        <v>20</v>
      </c>
      <c r="B2663" s="7" t="str">
        <f>VLOOKUP(VALUE(A2663), 'DICIONÁRIO UF'!$A:$B, 2, FALSE)</f>
        <v>Minas Gerais</v>
      </c>
      <c r="C2663" s="3">
        <v>10010</v>
      </c>
      <c r="D2663" s="5" t="str">
        <f>VLOOKUP(C2663, 'DICIONÁRIO CNAES'!$A:$B, 2, FALSE)</f>
        <v xml:space="preserve">Abate e fabricação de produtos de carne e pescado </v>
      </c>
      <c r="E2663" s="4">
        <v>63480.78710075</v>
      </c>
      <c r="F2663" s="4">
        <v>119555490.64786419</v>
      </c>
    </row>
    <row r="2664" spans="1:6" x14ac:dyDescent="0.3">
      <c r="A2664" s="3" t="s">
        <v>20</v>
      </c>
      <c r="B2664" s="7" t="str">
        <f>VLOOKUP(VALUE(A2664), 'DICIONÁRIO UF'!$A:$B, 2, FALSE)</f>
        <v>Minas Gerais</v>
      </c>
      <c r="C2664" s="3">
        <v>10021</v>
      </c>
      <c r="D2664" s="5" t="str">
        <f>VLOOKUP(C2664, 'DICIONÁRIO CNAES'!$A:$B, 2, FALSE)</f>
        <v>Fabricação de conservas de frutas, legumes e outros vegetais</v>
      </c>
      <c r="E2664" s="4">
        <v>10352.131543850001</v>
      </c>
      <c r="F2664" s="4">
        <v>15427181.954391001</v>
      </c>
    </row>
    <row r="2665" spans="1:6" x14ac:dyDescent="0.3">
      <c r="A2665" s="3" t="s">
        <v>20</v>
      </c>
      <c r="B2665" s="7" t="str">
        <f>VLOOKUP(VALUE(A2665), 'DICIONÁRIO UF'!$A:$B, 2, FALSE)</f>
        <v>Minas Gerais</v>
      </c>
      <c r="C2665" s="3">
        <v>10022</v>
      </c>
      <c r="D2665" s="5" t="str">
        <f>VLOOKUP(C2665, 'DICIONÁRIO CNAES'!$A:$B, 2, FALSE)</f>
        <v>Fabricação de óleos vegetais e gorduras vegetais e animais</v>
      </c>
      <c r="E2665" s="4">
        <v>2048.0629898799998</v>
      </c>
      <c r="F2665" s="4">
        <v>5834145.064983</v>
      </c>
    </row>
    <row r="2666" spans="1:6" x14ac:dyDescent="0.3">
      <c r="A2666" s="3" t="s">
        <v>20</v>
      </c>
      <c r="B2666" s="7" t="str">
        <f>VLOOKUP(VALUE(A2666), 'DICIONÁRIO UF'!$A:$B, 2, FALSE)</f>
        <v>Minas Gerais</v>
      </c>
      <c r="C2666" s="3">
        <v>10030</v>
      </c>
      <c r="D2666" s="5" t="str">
        <f>VLOOKUP(C2666, 'DICIONÁRIO CNAES'!$A:$B, 2, FALSE)</f>
        <v>Laticínios</v>
      </c>
      <c r="E2666" s="4">
        <v>60538.603498160002</v>
      </c>
      <c r="F2666" s="4">
        <v>109125029.2054835</v>
      </c>
    </row>
    <row r="2667" spans="1:6" x14ac:dyDescent="0.3">
      <c r="A2667" s="3" t="s">
        <v>20</v>
      </c>
      <c r="B2667" s="7" t="str">
        <f>VLOOKUP(VALUE(A2667), 'DICIONÁRIO UF'!$A:$B, 2, FALSE)</f>
        <v>Minas Gerais</v>
      </c>
      <c r="C2667" s="3">
        <v>10091</v>
      </c>
      <c r="D2667" s="5" t="str">
        <f>VLOOKUP(C2667, 'DICIONÁRIO CNAES'!$A:$B, 2, FALSE)</f>
        <v>Moagem, fabricação de produtos amiláceos e de alimentos para animais</v>
      </c>
      <c r="E2667" s="4">
        <v>13831.454638880001</v>
      </c>
      <c r="F2667" s="4">
        <v>26491837.293308701</v>
      </c>
    </row>
    <row r="2668" spans="1:6" x14ac:dyDescent="0.3">
      <c r="A2668" s="3" t="s">
        <v>20</v>
      </c>
      <c r="B2668" s="7" t="str">
        <f>VLOOKUP(VALUE(A2668), 'DICIONÁRIO UF'!$A:$B, 2, FALSE)</f>
        <v>Minas Gerais</v>
      </c>
      <c r="C2668" s="3">
        <v>10092</v>
      </c>
      <c r="D2668" s="5" t="str">
        <f>VLOOKUP(C2668, 'DICIONÁRIO CNAES'!$A:$B, 2, FALSE)</f>
        <v>Fabricação e refino do açúcar</v>
      </c>
      <c r="E2668" s="4">
        <v>5356.9606131099999</v>
      </c>
      <c r="F2668" s="4">
        <v>12994243.302139999</v>
      </c>
    </row>
    <row r="2669" spans="1:6" x14ac:dyDescent="0.3">
      <c r="A2669" s="3" t="s">
        <v>20</v>
      </c>
      <c r="B2669" s="7" t="str">
        <f>VLOOKUP(VALUE(A2669), 'DICIONÁRIO UF'!$A:$B, 2, FALSE)</f>
        <v>Minas Gerais</v>
      </c>
      <c r="C2669" s="3">
        <v>10093</v>
      </c>
      <c r="D2669" s="5" t="str">
        <f>VLOOKUP(C2669, 'DICIONÁRIO CNAES'!$A:$B, 2, FALSE)</f>
        <v>Torrefação e moagem de café</v>
      </c>
      <c r="E2669" s="4">
        <v>8620.7116605899992</v>
      </c>
      <c r="F2669" s="4">
        <v>14471499.938465999</v>
      </c>
    </row>
    <row r="2670" spans="1:6" x14ac:dyDescent="0.3">
      <c r="A2670" s="3" t="s">
        <v>20</v>
      </c>
      <c r="B2670" s="7" t="str">
        <f>VLOOKUP(VALUE(A2670), 'DICIONÁRIO UF'!$A:$B, 2, FALSE)</f>
        <v>Minas Gerais</v>
      </c>
      <c r="C2670" s="3">
        <v>10099</v>
      </c>
      <c r="D2670" s="5" t="str">
        <f>VLOOKUP(C2670, 'DICIONÁRIO CNAES'!$A:$B, 2, FALSE)</f>
        <v>Fabricação de outros produtos alimentícios</v>
      </c>
      <c r="E2670" s="4">
        <v>39975.392606590001</v>
      </c>
      <c r="F2670" s="4">
        <v>81786401.960007533</v>
      </c>
    </row>
    <row r="2671" spans="1:6" x14ac:dyDescent="0.3">
      <c r="A2671" s="3" t="s">
        <v>20</v>
      </c>
      <c r="B2671" s="7" t="str">
        <f>VLOOKUP(VALUE(A2671), 'DICIONÁRIO UF'!$A:$B, 2, FALSE)</f>
        <v>Minas Gerais</v>
      </c>
      <c r="C2671" s="3">
        <v>11000</v>
      </c>
      <c r="D2671" s="5" t="str">
        <f>VLOOKUP(C2671, 'DICIONÁRIO CNAES'!$A:$B, 2, FALSE)</f>
        <v>Fabricação de bebidas</v>
      </c>
      <c r="E2671" s="4">
        <v>16432.723610739999</v>
      </c>
      <c r="F2671" s="4">
        <v>40213205.65257252</v>
      </c>
    </row>
    <row r="2672" spans="1:6" x14ac:dyDescent="0.3">
      <c r="A2672" s="3" t="s">
        <v>20</v>
      </c>
      <c r="B2672" s="7" t="str">
        <f>VLOOKUP(VALUE(A2672), 'DICIONÁRIO UF'!$A:$B, 2, FALSE)</f>
        <v>Minas Gerais</v>
      </c>
      <c r="C2672" s="3">
        <v>12000</v>
      </c>
      <c r="D2672" s="5" t="str">
        <f>VLOOKUP(C2672, 'DICIONÁRIO CNAES'!$A:$B, 2, FALSE)</f>
        <v>Processamento industrial e fabricação de produtos do fumo</v>
      </c>
      <c r="E2672" s="4">
        <v>10504.313840680001</v>
      </c>
      <c r="F2672" s="4">
        <v>16626465.016773099</v>
      </c>
    </row>
    <row r="2673" spans="1:6" x14ac:dyDescent="0.3">
      <c r="A2673" s="3" t="s">
        <v>20</v>
      </c>
      <c r="B2673" s="7" t="str">
        <f>VLOOKUP(VALUE(A2673), 'DICIONÁRIO UF'!$A:$B, 2, FALSE)</f>
        <v>Minas Gerais</v>
      </c>
      <c r="C2673" s="3">
        <v>13001</v>
      </c>
      <c r="D2673" s="5" t="str">
        <f>VLOOKUP(C2673, 'DICIONÁRIO CNAES'!$A:$B, 2, FALSE)</f>
        <v>Preparação de fibras, fiação e tecelagem</v>
      </c>
      <c r="E2673" s="4">
        <v>26803.217564980001</v>
      </c>
      <c r="F2673" s="4">
        <v>36009862.652968504</v>
      </c>
    </row>
    <row r="2674" spans="1:6" x14ac:dyDescent="0.3">
      <c r="A2674" s="3" t="s">
        <v>20</v>
      </c>
      <c r="B2674" s="7" t="str">
        <f>VLOOKUP(VALUE(A2674), 'DICIONÁRIO UF'!$A:$B, 2, FALSE)</f>
        <v>Minas Gerais</v>
      </c>
      <c r="C2674" s="3">
        <v>13002</v>
      </c>
      <c r="D2674" s="5" t="str">
        <f>VLOOKUP(C2674, 'DICIONÁRIO CNAES'!$A:$B, 2, FALSE)</f>
        <v>Fabricação de artefatos têxteis, exceto vestuário</v>
      </c>
      <c r="E2674" s="4">
        <v>29345.59222739</v>
      </c>
      <c r="F2674" s="4">
        <v>22573190.437360629</v>
      </c>
    </row>
    <row r="2675" spans="1:6" x14ac:dyDescent="0.3">
      <c r="A2675" s="3" t="s">
        <v>20</v>
      </c>
      <c r="B2675" s="7" t="str">
        <f>VLOOKUP(VALUE(A2675), 'DICIONÁRIO UF'!$A:$B, 2, FALSE)</f>
        <v>Minas Gerais</v>
      </c>
      <c r="C2675" s="3">
        <v>14001</v>
      </c>
      <c r="D2675" s="5" t="str">
        <f>VLOOKUP(C2675, 'DICIONÁRIO CNAES'!$A:$B, 2, FALSE)</f>
        <v>Confecção de artigos do vestuário e acessórios, exceto sob medida</v>
      </c>
      <c r="E2675" s="4">
        <v>90578.71954808</v>
      </c>
      <c r="F2675" s="4">
        <v>135889891.56322649</v>
      </c>
    </row>
    <row r="2676" spans="1:6" x14ac:dyDescent="0.3">
      <c r="A2676" s="3" t="s">
        <v>20</v>
      </c>
      <c r="B2676" s="7" t="str">
        <f>VLOOKUP(VALUE(A2676), 'DICIONÁRIO UF'!$A:$B, 2, FALSE)</f>
        <v>Minas Gerais</v>
      </c>
      <c r="C2676" s="3">
        <v>14002</v>
      </c>
      <c r="D2676" s="5" t="str">
        <f>VLOOKUP(C2676, 'DICIONÁRIO CNAES'!$A:$B, 2, FALSE)</f>
        <v>Confecção, sob medida, de artigos do vestuário</v>
      </c>
      <c r="E2676" s="4">
        <v>42477.441326250002</v>
      </c>
      <c r="F2676" s="4">
        <v>35452147.385342002</v>
      </c>
    </row>
    <row r="2677" spans="1:6" x14ac:dyDescent="0.3">
      <c r="A2677" s="3" t="s">
        <v>20</v>
      </c>
      <c r="B2677" s="7" t="str">
        <f>VLOOKUP(VALUE(A2677), 'DICIONÁRIO UF'!$A:$B, 2, FALSE)</f>
        <v>Minas Gerais</v>
      </c>
      <c r="C2677" s="3">
        <v>15011</v>
      </c>
      <c r="D2677" s="5" t="str">
        <f>VLOOKUP(C2677, 'DICIONÁRIO CNAES'!$A:$B, 2, FALSE)</f>
        <v>Curtimento e outras preparações de couro</v>
      </c>
      <c r="E2677" s="4">
        <v>523.4561185</v>
      </c>
      <c r="F2677" s="4">
        <v>2093824.4739999999</v>
      </c>
    </row>
    <row r="2678" spans="1:6" x14ac:dyDescent="0.3">
      <c r="A2678" s="3" t="s">
        <v>20</v>
      </c>
      <c r="B2678" s="7" t="str">
        <f>VLOOKUP(VALUE(A2678), 'DICIONÁRIO UF'!$A:$B, 2, FALSE)</f>
        <v>Minas Gerais</v>
      </c>
      <c r="C2678" s="3">
        <v>15012</v>
      </c>
      <c r="D2678" s="5" t="str">
        <f>VLOOKUP(C2678, 'DICIONÁRIO CNAES'!$A:$B, 2, FALSE)</f>
        <v>Fabricação de artigos de viagem e de artefatos diversos de couro</v>
      </c>
      <c r="E2678" s="4">
        <v>2241.3614640999999</v>
      </c>
      <c r="F2678" s="4">
        <v>1980104.434386</v>
      </c>
    </row>
    <row r="2679" spans="1:6" x14ac:dyDescent="0.3">
      <c r="A2679" s="3" t="s">
        <v>20</v>
      </c>
      <c r="B2679" s="7" t="str">
        <f>VLOOKUP(VALUE(A2679), 'DICIONÁRIO UF'!$A:$B, 2, FALSE)</f>
        <v>Minas Gerais</v>
      </c>
      <c r="C2679" s="3">
        <v>15020</v>
      </c>
      <c r="D2679" s="5" t="str">
        <f>VLOOKUP(C2679, 'DICIONÁRIO CNAES'!$A:$B, 2, FALSE)</f>
        <v>Fabricação de calçados e partes para calçados, de qualquer material</v>
      </c>
      <c r="E2679" s="4">
        <v>117866.23043877</v>
      </c>
      <c r="F2679" s="4">
        <v>190309137.02706751</v>
      </c>
    </row>
    <row r="2680" spans="1:6" x14ac:dyDescent="0.3">
      <c r="A2680" s="3" t="s">
        <v>20</v>
      </c>
      <c r="B2680" s="7" t="str">
        <f>VLOOKUP(VALUE(A2680), 'DICIONÁRIO UF'!$A:$B, 2, FALSE)</f>
        <v>Minas Gerais</v>
      </c>
      <c r="C2680" s="3">
        <v>16001</v>
      </c>
      <c r="D2680" s="5" t="str">
        <f>VLOOKUP(C2680, 'DICIONÁRIO CNAES'!$A:$B, 2, FALSE)</f>
        <v>Serrarias</v>
      </c>
      <c r="E2680" s="4">
        <v>3331.7708135900002</v>
      </c>
      <c r="F2680" s="4">
        <v>4418795.2080110004</v>
      </c>
    </row>
    <row r="2681" spans="1:6" x14ac:dyDescent="0.3">
      <c r="A2681" s="3" t="s">
        <v>20</v>
      </c>
      <c r="B2681" s="7" t="str">
        <f>VLOOKUP(VALUE(A2681), 'DICIONÁRIO UF'!$A:$B, 2, FALSE)</f>
        <v>Minas Gerais</v>
      </c>
      <c r="C2681" s="3">
        <v>16002</v>
      </c>
      <c r="D2681" s="5" t="str">
        <f>VLOOKUP(C2681, 'DICIONÁRIO CNAES'!$A:$B, 2, FALSE)</f>
        <v>Fabricação de produtos de madeira, cortiça e material trançado, exceto móveis</v>
      </c>
      <c r="E2681" s="4">
        <v>25501.202758790001</v>
      </c>
      <c r="F2681" s="4">
        <v>41332722.314069599</v>
      </c>
    </row>
    <row r="2682" spans="1:6" x14ac:dyDescent="0.3">
      <c r="A2682" s="3" t="s">
        <v>20</v>
      </c>
      <c r="B2682" s="7" t="str">
        <f>VLOOKUP(VALUE(A2682), 'DICIONÁRIO UF'!$A:$B, 2, FALSE)</f>
        <v>Minas Gerais</v>
      </c>
      <c r="C2682" s="3">
        <v>17001</v>
      </c>
      <c r="D2682" s="5" t="str">
        <f>VLOOKUP(C2682, 'DICIONÁRIO CNAES'!$A:$B, 2, FALSE)</f>
        <v>Fabricação de celulose, papel, cartolina e papel-cartão</v>
      </c>
      <c r="E2682" s="4">
        <v>5496.2519555400004</v>
      </c>
      <c r="F2682" s="4">
        <v>19227914.1932045</v>
      </c>
    </row>
    <row r="2683" spans="1:6" x14ac:dyDescent="0.3">
      <c r="A2683" s="3" t="s">
        <v>20</v>
      </c>
      <c r="B2683" s="7" t="str">
        <f>VLOOKUP(VALUE(A2683), 'DICIONÁRIO UF'!$A:$B, 2, FALSE)</f>
        <v>Minas Gerais</v>
      </c>
      <c r="C2683" s="3">
        <v>17002</v>
      </c>
      <c r="D2683" s="5" t="str">
        <f>VLOOKUP(C2683, 'DICIONÁRIO CNAES'!$A:$B, 2, FALSE)</f>
        <v>Fabricação de embalagens e de produtos diversos de papel, cartolina, papel-cartão e papelão ondulado</v>
      </c>
      <c r="E2683" s="4">
        <v>15280.286531829999</v>
      </c>
      <c r="F2683" s="4">
        <v>21406832.37742582</v>
      </c>
    </row>
    <row r="2684" spans="1:6" x14ac:dyDescent="0.3">
      <c r="A2684" s="3" t="s">
        <v>20</v>
      </c>
      <c r="B2684" s="7" t="str">
        <f>VLOOKUP(VALUE(A2684), 'DICIONÁRIO UF'!$A:$B, 2, FALSE)</f>
        <v>Minas Gerais</v>
      </c>
      <c r="C2684" s="3">
        <v>18000</v>
      </c>
      <c r="D2684" s="5" t="str">
        <f>VLOOKUP(C2684, 'DICIONÁRIO CNAES'!$A:$B, 2, FALSE)</f>
        <v>Impressão e reprodução de gravações</v>
      </c>
      <c r="E2684" s="4">
        <v>22389.489965209999</v>
      </c>
      <c r="F2684" s="4">
        <v>35970261.29005412</v>
      </c>
    </row>
    <row r="2685" spans="1:6" x14ac:dyDescent="0.3">
      <c r="A2685" s="3" t="s">
        <v>20</v>
      </c>
      <c r="B2685" s="7" t="str">
        <f>VLOOKUP(VALUE(A2685), 'DICIONÁRIO UF'!$A:$B, 2, FALSE)</f>
        <v>Minas Gerais</v>
      </c>
      <c r="C2685" s="3">
        <v>19020</v>
      </c>
      <c r="D2685" s="5" t="str">
        <f>VLOOKUP(C2685, 'DICIONÁRIO CNAES'!$A:$B, 2, FALSE)</f>
        <v>Fabricação de produtos derivados do petróleo</v>
      </c>
      <c r="E2685" s="4">
        <v>2983.2705911200001</v>
      </c>
      <c r="F2685" s="4">
        <v>17637115.252725001</v>
      </c>
    </row>
    <row r="2686" spans="1:6" x14ac:dyDescent="0.3">
      <c r="A2686" s="3" t="s">
        <v>20</v>
      </c>
      <c r="B2686" s="7" t="str">
        <f>VLOOKUP(VALUE(A2686), 'DICIONÁRIO UF'!$A:$B, 2, FALSE)</f>
        <v>Minas Gerais</v>
      </c>
      <c r="C2686" s="3">
        <v>19030</v>
      </c>
      <c r="D2686" s="5" t="str">
        <f>VLOOKUP(C2686, 'DICIONÁRIO CNAES'!$A:$B, 2, FALSE)</f>
        <v>Produção de biocombustíveis</v>
      </c>
      <c r="E2686" s="4">
        <v>5732.8464439600002</v>
      </c>
      <c r="F2686" s="4">
        <v>42642857.97535</v>
      </c>
    </row>
    <row r="2687" spans="1:6" x14ac:dyDescent="0.3">
      <c r="A2687" s="3" t="s">
        <v>20</v>
      </c>
      <c r="B2687" s="7" t="str">
        <f>VLOOKUP(VALUE(A2687), 'DICIONÁRIO UF'!$A:$B, 2, FALSE)</f>
        <v>Minas Gerais</v>
      </c>
      <c r="C2687" s="3">
        <v>20010</v>
      </c>
      <c r="D2687" s="5" t="str">
        <f>VLOOKUP(C2687, 'DICIONÁRIO CNAES'!$A:$B, 2, FALSE)</f>
        <v>Fabricação de tintas, vernizes, esmaltes, lacas e produtos afins</v>
      </c>
      <c r="E2687" s="4">
        <v>486.85771468000002</v>
      </c>
      <c r="F2687" s="4">
        <v>7302865.7202000003</v>
      </c>
    </row>
    <row r="2688" spans="1:6" x14ac:dyDescent="0.3">
      <c r="A2688" s="3" t="s">
        <v>20</v>
      </c>
      <c r="B2688" s="7" t="str">
        <f>VLOOKUP(VALUE(A2688), 'DICIONÁRIO UF'!$A:$B, 2, FALSE)</f>
        <v>Minas Gerais</v>
      </c>
      <c r="C2688" s="3">
        <v>20020</v>
      </c>
      <c r="D2688" s="5" t="str">
        <f>VLOOKUP(C2688, 'DICIONÁRIO CNAES'!$A:$B, 2, FALSE)</f>
        <v>Fabricação de sabões, detergentes, produtos de limpeza, cosméticos, produtos de perfumaria e de higiene pessoal</v>
      </c>
      <c r="E2688" s="4">
        <v>14388.618393070001</v>
      </c>
      <c r="F2688" s="4">
        <v>27986777.879851699</v>
      </c>
    </row>
    <row r="2689" spans="1:6" x14ac:dyDescent="0.3">
      <c r="A2689" s="3" t="s">
        <v>20</v>
      </c>
      <c r="B2689" s="7" t="str">
        <f>VLOOKUP(VALUE(A2689), 'DICIONÁRIO UF'!$A:$B, 2, FALSE)</f>
        <v>Minas Gerais</v>
      </c>
      <c r="C2689" s="3">
        <v>20090</v>
      </c>
      <c r="D2689" s="5" t="str">
        <f>VLOOKUP(C2689, 'DICIONÁRIO CNAES'!$A:$B, 2, FALSE)</f>
        <v>Fabricação de outros produtos químicos não especificados anteriormente</v>
      </c>
      <c r="E2689" s="4">
        <v>11142.511510599999</v>
      </c>
      <c r="F2689" s="4">
        <v>31938243.769386001</v>
      </c>
    </row>
    <row r="2690" spans="1:6" x14ac:dyDescent="0.3">
      <c r="A2690" s="3" t="s">
        <v>20</v>
      </c>
      <c r="B2690" s="7" t="str">
        <f>VLOOKUP(VALUE(A2690), 'DICIONÁRIO UF'!$A:$B, 2, FALSE)</f>
        <v>Minas Gerais</v>
      </c>
      <c r="C2690" s="3">
        <v>21000</v>
      </c>
      <c r="D2690" s="5" t="str">
        <f>VLOOKUP(C2690, 'DICIONÁRIO CNAES'!$A:$B, 2, FALSE)</f>
        <v>Fabricação de produtos farmoquimicos e farmacêuticos</v>
      </c>
      <c r="E2690" s="4">
        <v>13583.35458406</v>
      </c>
      <c r="F2690" s="4">
        <v>49303863.064464599</v>
      </c>
    </row>
    <row r="2691" spans="1:6" x14ac:dyDescent="0.3">
      <c r="A2691" s="3" t="s">
        <v>20</v>
      </c>
      <c r="B2691" s="7" t="str">
        <f>VLOOKUP(VALUE(A2691), 'DICIONÁRIO UF'!$A:$B, 2, FALSE)</f>
        <v>Minas Gerais</v>
      </c>
      <c r="C2691" s="3">
        <v>22010</v>
      </c>
      <c r="D2691" s="5" t="str">
        <f>VLOOKUP(C2691, 'DICIONÁRIO CNAES'!$A:$B, 2, FALSE)</f>
        <v>Fabricação de produtos de borracha</v>
      </c>
      <c r="E2691" s="4">
        <v>2883.8497029099999</v>
      </c>
      <c r="F2691" s="4">
        <v>4692443.8342655003</v>
      </c>
    </row>
    <row r="2692" spans="1:6" x14ac:dyDescent="0.3">
      <c r="A2692" s="3" t="s">
        <v>20</v>
      </c>
      <c r="B2692" s="7" t="str">
        <f>VLOOKUP(VALUE(A2692), 'DICIONÁRIO UF'!$A:$B, 2, FALSE)</f>
        <v>Minas Gerais</v>
      </c>
      <c r="C2692" s="3">
        <v>22020</v>
      </c>
      <c r="D2692" s="5" t="str">
        <f>VLOOKUP(C2692, 'DICIONÁRIO CNAES'!$A:$B, 2, FALSE)</f>
        <v>Fabricação de produtos de material plástico</v>
      </c>
      <c r="E2692" s="4">
        <v>33127.698138439999</v>
      </c>
      <c r="F2692" s="4">
        <v>100670188.69189741</v>
      </c>
    </row>
    <row r="2693" spans="1:6" x14ac:dyDescent="0.3">
      <c r="A2693" s="3" t="s">
        <v>20</v>
      </c>
      <c r="B2693" s="7" t="str">
        <f>VLOOKUP(VALUE(A2693), 'DICIONÁRIO UF'!$A:$B, 2, FALSE)</f>
        <v>Minas Gerais</v>
      </c>
      <c r="C2693" s="3">
        <v>23010</v>
      </c>
      <c r="D2693" s="5" t="str">
        <f>VLOOKUP(C2693, 'DICIONÁRIO CNAES'!$A:$B, 2, FALSE)</f>
        <v>Fabricação de vidro e produtos de vidro</v>
      </c>
      <c r="E2693" s="4">
        <v>8418.5990832400003</v>
      </c>
      <c r="F2693" s="4">
        <v>13637462.68341</v>
      </c>
    </row>
    <row r="2694" spans="1:6" x14ac:dyDescent="0.3">
      <c r="A2694" s="3" t="s">
        <v>20</v>
      </c>
      <c r="B2694" s="7" t="str">
        <f>VLOOKUP(VALUE(A2694), 'DICIONÁRIO UF'!$A:$B, 2, FALSE)</f>
        <v>Minas Gerais</v>
      </c>
      <c r="C2694" s="3">
        <v>23091</v>
      </c>
      <c r="D2694" s="5" t="str">
        <f>VLOOKUP(C2694, 'DICIONÁRIO CNAES'!$A:$B, 2, FALSE)</f>
        <v>Fabricação de produtos cerâmicos</v>
      </c>
      <c r="E2694" s="4">
        <v>31373.41300026</v>
      </c>
      <c r="F2694" s="4">
        <v>57987716.695784211</v>
      </c>
    </row>
    <row r="2695" spans="1:6" x14ac:dyDescent="0.3">
      <c r="A2695" s="3" t="s">
        <v>20</v>
      </c>
      <c r="B2695" s="7" t="str">
        <f>VLOOKUP(VALUE(A2695), 'DICIONÁRIO UF'!$A:$B, 2, FALSE)</f>
        <v>Minas Gerais</v>
      </c>
      <c r="C2695" s="3">
        <v>23099</v>
      </c>
      <c r="D2695" s="5" t="str">
        <f>VLOOKUP(C2695, 'DICIONÁRIO CNAES'!$A:$B, 2, FALSE)</f>
        <v>Fabricação de outros produtos de minerais não-metálicos não especificados anteriormente</v>
      </c>
      <c r="E2695" s="4">
        <v>42362.080374680001</v>
      </c>
      <c r="F2695" s="4">
        <v>82512400.568877637</v>
      </c>
    </row>
    <row r="2696" spans="1:6" x14ac:dyDescent="0.3">
      <c r="A2696" s="3" t="s">
        <v>20</v>
      </c>
      <c r="B2696" s="7" t="str">
        <f>VLOOKUP(VALUE(A2696), 'DICIONÁRIO UF'!$A:$B, 2, FALSE)</f>
        <v>Minas Gerais</v>
      </c>
      <c r="C2696" s="3">
        <v>24001</v>
      </c>
      <c r="D2696" s="5" t="str">
        <f>VLOOKUP(C2696, 'DICIONÁRIO CNAES'!$A:$B, 2, FALSE)</f>
        <v>Fabricação de produtos siderúrgicos</v>
      </c>
      <c r="E2696" s="4">
        <v>40070.292348980001</v>
      </c>
      <c r="F2696" s="4">
        <v>133901601.4617777</v>
      </c>
    </row>
    <row r="2697" spans="1:6" x14ac:dyDescent="0.3">
      <c r="A2697" s="3" t="s">
        <v>20</v>
      </c>
      <c r="B2697" s="7" t="str">
        <f>VLOOKUP(VALUE(A2697), 'DICIONÁRIO UF'!$A:$B, 2, FALSE)</f>
        <v>Minas Gerais</v>
      </c>
      <c r="C2697" s="3">
        <v>24002</v>
      </c>
      <c r="D2697" s="5" t="str">
        <f>VLOOKUP(C2697, 'DICIONÁRIO CNAES'!$A:$B, 2, FALSE)</f>
        <v>Metalurgia dos metais não-ferrosos</v>
      </c>
      <c r="E2697" s="4">
        <v>10599.380308850001</v>
      </c>
      <c r="F2697" s="4">
        <v>52203597.751493007</v>
      </c>
    </row>
    <row r="2698" spans="1:6" x14ac:dyDescent="0.3">
      <c r="A2698" s="3" t="s">
        <v>20</v>
      </c>
      <c r="B2698" s="7" t="str">
        <f>VLOOKUP(VALUE(A2698), 'DICIONÁRIO UF'!$A:$B, 2, FALSE)</f>
        <v>Minas Gerais</v>
      </c>
      <c r="C2698" s="3">
        <v>24003</v>
      </c>
      <c r="D2698" s="5" t="str">
        <f>VLOOKUP(C2698, 'DICIONÁRIO CNAES'!$A:$B, 2, FALSE)</f>
        <v>Fundição</v>
      </c>
      <c r="E2698" s="4">
        <v>17908.967026750001</v>
      </c>
      <c r="F2698" s="4">
        <v>50287185.228102997</v>
      </c>
    </row>
    <row r="2699" spans="1:6" x14ac:dyDescent="0.3">
      <c r="A2699" s="3" t="s">
        <v>20</v>
      </c>
      <c r="B2699" s="7" t="str">
        <f>VLOOKUP(VALUE(A2699), 'DICIONÁRIO UF'!$A:$B, 2, FALSE)</f>
        <v>Minas Gerais</v>
      </c>
      <c r="C2699" s="3">
        <v>25001</v>
      </c>
      <c r="D2699" s="5" t="str">
        <f>VLOOKUP(C2699, 'DICIONÁRIO CNAES'!$A:$B, 2, FALSE)</f>
        <v>Fabricação de produtos de metal, exceto máquinas e equipamentos</v>
      </c>
      <c r="E2699" s="4">
        <v>92964.864753579997</v>
      </c>
      <c r="F2699" s="4">
        <v>179188336.6581578</v>
      </c>
    </row>
    <row r="2700" spans="1:6" x14ac:dyDescent="0.3">
      <c r="A2700" s="3" t="s">
        <v>20</v>
      </c>
      <c r="B2700" s="7" t="str">
        <f>VLOOKUP(VALUE(A2700), 'DICIONÁRIO UF'!$A:$B, 2, FALSE)</f>
        <v>Minas Gerais</v>
      </c>
      <c r="C2700" s="3">
        <v>25002</v>
      </c>
      <c r="D2700" s="5" t="str">
        <f>VLOOKUP(C2700, 'DICIONÁRIO CNAES'!$A:$B, 2, FALSE)</f>
        <v>Forjaria, estamparia, metalurgia do pó e serviços de tratamento de metais</v>
      </c>
      <c r="E2700" s="4">
        <v>12285.623457039999</v>
      </c>
      <c r="F2700" s="4">
        <v>25647739.5929191</v>
      </c>
    </row>
    <row r="2701" spans="1:6" x14ac:dyDescent="0.3">
      <c r="A2701" s="3" t="s">
        <v>20</v>
      </c>
      <c r="B2701" s="7" t="str">
        <f>VLOOKUP(VALUE(A2701), 'DICIONÁRIO UF'!$A:$B, 2, FALSE)</f>
        <v>Minas Gerais</v>
      </c>
      <c r="C2701" s="3">
        <v>26010</v>
      </c>
      <c r="D2701" s="5" t="str">
        <f>VLOOKUP(C2701, 'DICIONÁRIO CNAES'!$A:$B, 2, FALSE)</f>
        <v>Fabricação de componentes eletrônicos</v>
      </c>
      <c r="E2701" s="4">
        <v>4809.8467625499998</v>
      </c>
      <c r="F2701" s="4">
        <v>11435819.97085914</v>
      </c>
    </row>
    <row r="2702" spans="1:6" x14ac:dyDescent="0.3">
      <c r="A2702" s="3" t="s">
        <v>20</v>
      </c>
      <c r="B2702" s="7" t="str">
        <f>VLOOKUP(VALUE(A2702), 'DICIONÁRIO UF'!$A:$B, 2, FALSE)</f>
        <v>Minas Gerais</v>
      </c>
      <c r="C2702" s="3">
        <v>26030</v>
      </c>
      <c r="D2702" s="5" t="str">
        <f>VLOOKUP(C2702, 'DICIONÁRIO CNAES'!$A:$B, 2, FALSE)</f>
        <v>Fabricação de equipamentos de comunicação e de aparelhos de recepção, reprodução, gravação e amplificação de áudio e vídeo</v>
      </c>
      <c r="E2702" s="4">
        <v>1013.63219224</v>
      </c>
      <c r="F2702" s="4">
        <v>2242319.748251</v>
      </c>
    </row>
    <row r="2703" spans="1:6" x14ac:dyDescent="0.3">
      <c r="A2703" s="3" t="s">
        <v>20</v>
      </c>
      <c r="B2703" s="7" t="str">
        <f>VLOOKUP(VALUE(A2703), 'DICIONÁRIO UF'!$A:$B, 2, FALSE)</f>
        <v>Minas Gerais</v>
      </c>
      <c r="C2703" s="3">
        <v>26041</v>
      </c>
      <c r="D2703" s="5" t="str">
        <f>VLOOKUP(C2703, 'DICIONÁRIO CNAES'!$A:$B, 2, FALSE)</f>
        <v>Fabricação de aparelhos e instrumentos de medida, teste e controle; cronômetros e relógios e de aparelhos eletromédicos e eletroterapêuticos</v>
      </c>
      <c r="E2703" s="4">
        <v>8965.7591768799994</v>
      </c>
      <c r="F2703" s="4">
        <v>27629196.683357999</v>
      </c>
    </row>
    <row r="2704" spans="1:6" x14ac:dyDescent="0.3">
      <c r="A2704" s="3" t="s">
        <v>20</v>
      </c>
      <c r="B2704" s="7" t="str">
        <f>VLOOKUP(VALUE(A2704), 'DICIONÁRIO UF'!$A:$B, 2, FALSE)</f>
        <v>Minas Gerais</v>
      </c>
      <c r="C2704" s="3">
        <v>27010</v>
      </c>
      <c r="D2704" s="5" t="str">
        <f>VLOOKUP(C2704, 'DICIONÁRIO CNAES'!$A:$B, 2, FALSE)</f>
        <v>Fabricação de eletrodomesticos</v>
      </c>
      <c r="E2704" s="4">
        <v>1820.86949815</v>
      </c>
      <c r="F2704" s="4">
        <v>4039004.2324760002</v>
      </c>
    </row>
    <row r="2705" spans="1:6" x14ac:dyDescent="0.3">
      <c r="A2705" s="3" t="s">
        <v>20</v>
      </c>
      <c r="B2705" s="7" t="str">
        <f>VLOOKUP(VALUE(A2705), 'DICIONÁRIO UF'!$A:$B, 2, FALSE)</f>
        <v>Minas Gerais</v>
      </c>
      <c r="C2705" s="3">
        <v>27090</v>
      </c>
      <c r="D2705" s="5" t="str">
        <f>VLOOKUP(C2705, 'DICIONÁRIO CNAES'!$A:$B, 2, FALSE)</f>
        <v>Fabricação de máquinas, aparelhos e materiais elétricos diversos, exceto eletrodomesticos</v>
      </c>
      <c r="E2705" s="4">
        <v>11044.74615386</v>
      </c>
      <c r="F2705" s="4">
        <v>27508154.833305448</v>
      </c>
    </row>
    <row r="2706" spans="1:6" x14ac:dyDescent="0.3">
      <c r="A2706" s="3" t="s">
        <v>20</v>
      </c>
      <c r="B2706" s="7" t="str">
        <f>VLOOKUP(VALUE(A2706), 'DICIONÁRIO UF'!$A:$B, 2, FALSE)</f>
        <v>Minas Gerais</v>
      </c>
      <c r="C2706" s="3">
        <v>28000</v>
      </c>
      <c r="D2706" s="5" t="str">
        <f>VLOOKUP(C2706, 'DICIONÁRIO CNAES'!$A:$B, 2, FALSE)</f>
        <v>Fabricação de máquinas e equipamentos</v>
      </c>
      <c r="E2706" s="4">
        <v>19789.464569209998</v>
      </c>
      <c r="F2706" s="4">
        <v>67799129.487249002</v>
      </c>
    </row>
    <row r="2707" spans="1:6" x14ac:dyDescent="0.3">
      <c r="A2707" s="3" t="s">
        <v>20</v>
      </c>
      <c r="B2707" s="7" t="str">
        <f>VLOOKUP(VALUE(A2707), 'DICIONÁRIO UF'!$A:$B, 2, FALSE)</f>
        <v>Minas Gerais</v>
      </c>
      <c r="C2707" s="3">
        <v>29001</v>
      </c>
      <c r="D2707" s="5" t="str">
        <f>VLOOKUP(C2707, 'DICIONÁRIO CNAES'!$A:$B, 2, FALSE)</f>
        <v>Fabricação e montagem de veículos automotores</v>
      </c>
      <c r="E2707" s="4">
        <v>31394.291958000002</v>
      </c>
      <c r="F2707" s="4">
        <v>140462441.73392501</v>
      </c>
    </row>
    <row r="2708" spans="1:6" x14ac:dyDescent="0.3">
      <c r="A2708" s="3" t="s">
        <v>20</v>
      </c>
      <c r="B2708" s="7" t="str">
        <f>VLOOKUP(VALUE(A2708), 'DICIONÁRIO UF'!$A:$B, 2, FALSE)</f>
        <v>Minas Gerais</v>
      </c>
      <c r="C2708" s="3">
        <v>29002</v>
      </c>
      <c r="D2708" s="5" t="str">
        <f>VLOOKUP(C2708, 'DICIONÁRIO CNAES'!$A:$B, 2, FALSE)</f>
        <v>Fabricação de cabines, carrocerias, reboques e peças para veículos automotores</v>
      </c>
      <c r="E2708" s="4">
        <v>50817.230460300001</v>
      </c>
      <c r="F2708" s="4">
        <v>113319782.89490619</v>
      </c>
    </row>
    <row r="2709" spans="1:6" x14ac:dyDescent="0.3">
      <c r="A2709" s="3" t="s">
        <v>20</v>
      </c>
      <c r="B2709" s="7" t="str">
        <f>VLOOKUP(VALUE(A2709), 'DICIONÁRIO UF'!$A:$B, 2, FALSE)</f>
        <v>Minas Gerais</v>
      </c>
      <c r="C2709" s="3">
        <v>30030</v>
      </c>
      <c r="D2709" s="5" t="str">
        <f>VLOOKUP(C2709, 'DICIONÁRIO CNAES'!$A:$B, 2, FALSE)</f>
        <v>Fabricação de aeronaves</v>
      </c>
      <c r="E2709" s="4">
        <v>1335.5257931799999</v>
      </c>
      <c r="F2709" s="4">
        <v>4006577.3795400001</v>
      </c>
    </row>
    <row r="2710" spans="1:6" x14ac:dyDescent="0.3">
      <c r="A2710" s="3" t="s">
        <v>20</v>
      </c>
      <c r="B2710" s="7" t="str">
        <f>VLOOKUP(VALUE(A2710), 'DICIONÁRIO UF'!$A:$B, 2, FALSE)</f>
        <v>Minas Gerais</v>
      </c>
      <c r="C2710" s="3">
        <v>31000</v>
      </c>
      <c r="D2710" s="5" t="str">
        <f>VLOOKUP(C2710, 'DICIONÁRIO CNAES'!$A:$B, 2, FALSE)</f>
        <v>Fabricação de móveis</v>
      </c>
      <c r="E2710" s="4">
        <v>115564.59930769</v>
      </c>
      <c r="F2710" s="4">
        <v>242547882.25354409</v>
      </c>
    </row>
    <row r="2711" spans="1:6" x14ac:dyDescent="0.3">
      <c r="A2711" s="3" t="s">
        <v>20</v>
      </c>
      <c r="B2711" s="7" t="str">
        <f>VLOOKUP(VALUE(A2711), 'DICIONÁRIO UF'!$A:$B, 2, FALSE)</f>
        <v>Minas Gerais</v>
      </c>
      <c r="C2711" s="3">
        <v>32001</v>
      </c>
      <c r="D2711" s="5" t="str">
        <f>VLOOKUP(C2711, 'DICIONÁRIO CNAES'!$A:$B, 2, FALSE)</f>
        <v>Fabricação de artigos de joalheria, bijuteria e semelhantes</v>
      </c>
      <c r="E2711" s="4">
        <v>9143.9200243899995</v>
      </c>
      <c r="F2711" s="4">
        <v>39628958.095652997</v>
      </c>
    </row>
    <row r="2712" spans="1:6" x14ac:dyDescent="0.3">
      <c r="A2712" s="3" t="s">
        <v>20</v>
      </c>
      <c r="B2712" s="7" t="str">
        <f>VLOOKUP(VALUE(A2712), 'DICIONÁRIO UF'!$A:$B, 2, FALSE)</f>
        <v>Minas Gerais</v>
      </c>
      <c r="C2712" s="3">
        <v>32003</v>
      </c>
      <c r="D2712" s="5" t="str">
        <f>VLOOKUP(C2712, 'DICIONÁRIO CNAES'!$A:$B, 2, FALSE)</f>
        <v>Fabricação de artefatos para pesca e esporte e de brinquedos e jogos recreativos</v>
      </c>
      <c r="E2712" s="4">
        <v>7865.78043213</v>
      </c>
      <c r="F2712" s="4">
        <v>10991543.439882001</v>
      </c>
    </row>
    <row r="2713" spans="1:6" x14ac:dyDescent="0.3">
      <c r="A2713" s="3" t="s">
        <v>20</v>
      </c>
      <c r="B2713" s="7" t="str">
        <f>VLOOKUP(VALUE(A2713), 'DICIONÁRIO UF'!$A:$B, 2, FALSE)</f>
        <v>Minas Gerais</v>
      </c>
      <c r="C2713" s="3">
        <v>32009</v>
      </c>
      <c r="D2713" s="5" t="str">
        <f>VLOOKUP(C2713, 'DICIONÁRIO CNAES'!$A:$B, 2, FALSE)</f>
        <v>Fabricação de produtos diversos</v>
      </c>
      <c r="E2713" s="4">
        <v>23117.22003461</v>
      </c>
      <c r="F2713" s="4">
        <v>40726729.740802497</v>
      </c>
    </row>
    <row r="2714" spans="1:6" x14ac:dyDescent="0.3">
      <c r="A2714" s="3" t="s">
        <v>20</v>
      </c>
      <c r="B2714" s="7" t="str">
        <f>VLOOKUP(VALUE(A2714), 'DICIONÁRIO UF'!$A:$B, 2, FALSE)</f>
        <v>Minas Gerais</v>
      </c>
      <c r="C2714" s="3">
        <v>33001</v>
      </c>
      <c r="D2714" s="5" t="str">
        <f>VLOOKUP(C2714, 'DICIONÁRIO CNAES'!$A:$B, 2, FALSE)</f>
        <v>Manutenção e reparação de máquinas e equipamentos</v>
      </c>
      <c r="E2714" s="4">
        <v>52828.774178899999</v>
      </c>
      <c r="F2714" s="4">
        <v>128251844.5216454</v>
      </c>
    </row>
    <row r="2715" spans="1:6" x14ac:dyDescent="0.3">
      <c r="A2715" s="3" t="s">
        <v>20</v>
      </c>
      <c r="B2715" s="7" t="str">
        <f>VLOOKUP(VALUE(A2715), 'DICIONÁRIO UF'!$A:$B, 2, FALSE)</f>
        <v>Minas Gerais</v>
      </c>
      <c r="C2715" s="3">
        <v>33002</v>
      </c>
      <c r="D2715" s="5" t="str">
        <f>VLOOKUP(C2715, 'DICIONÁRIO CNAES'!$A:$B, 2, FALSE)</f>
        <v>Instalação de máquinas e equipamentos</v>
      </c>
      <c r="E2715" s="4">
        <v>6851.65808836</v>
      </c>
      <c r="F2715" s="4">
        <v>17894074.228250001</v>
      </c>
    </row>
    <row r="2716" spans="1:6" x14ac:dyDescent="0.3">
      <c r="A2716" s="3" t="s">
        <v>20</v>
      </c>
      <c r="B2716" s="7" t="str">
        <f>VLOOKUP(VALUE(A2716), 'DICIONÁRIO UF'!$A:$B, 2, FALSE)</f>
        <v>Minas Gerais</v>
      </c>
      <c r="C2716" s="3">
        <v>35010</v>
      </c>
      <c r="D2716" s="5" t="str">
        <f>VLOOKUP(C2716, 'DICIONÁRIO CNAES'!$A:$B, 2, FALSE)</f>
        <v>Geração, transmissão e distribuição de energia elétrica</v>
      </c>
      <c r="E2716" s="4">
        <v>9387.6359244100004</v>
      </c>
      <c r="F2716" s="4">
        <v>49861566.039831303</v>
      </c>
    </row>
    <row r="2717" spans="1:6" x14ac:dyDescent="0.3">
      <c r="A2717" s="3" t="s">
        <v>20</v>
      </c>
      <c r="B2717" s="7" t="str">
        <f>VLOOKUP(VALUE(A2717), 'DICIONÁRIO UF'!$A:$B, 2, FALSE)</f>
        <v>Minas Gerais</v>
      </c>
      <c r="C2717" s="3">
        <v>35021</v>
      </c>
      <c r="D2717" s="5" t="str">
        <f>VLOOKUP(C2717, 'DICIONÁRIO CNAES'!$A:$B, 2, FALSE)</f>
        <v>Produção e distribuição de combustíveis gasosos por redes urbanas</v>
      </c>
      <c r="E2717" s="4">
        <v>878.39839996000001</v>
      </c>
      <c r="F2717" s="4">
        <v>2195995.9999000002</v>
      </c>
    </row>
    <row r="2718" spans="1:6" x14ac:dyDescent="0.3">
      <c r="A2718" s="3" t="s">
        <v>20</v>
      </c>
      <c r="B2718" s="7" t="str">
        <f>VLOOKUP(VALUE(A2718), 'DICIONÁRIO UF'!$A:$B, 2, FALSE)</f>
        <v>Minas Gerais</v>
      </c>
      <c r="C2718" s="3">
        <v>36000</v>
      </c>
      <c r="D2718" s="5" t="str">
        <f>VLOOKUP(C2718, 'DICIONÁRIO CNAES'!$A:$B, 2, FALSE)</f>
        <v>Captação, tratamento e distribuição de água</v>
      </c>
      <c r="E2718" s="4">
        <v>18283.777835609999</v>
      </c>
      <c r="F2718" s="4">
        <v>77163284.767380431</v>
      </c>
    </row>
    <row r="2719" spans="1:6" x14ac:dyDescent="0.3">
      <c r="A2719" s="3" t="s">
        <v>20</v>
      </c>
      <c r="B2719" s="7" t="str">
        <f>VLOOKUP(VALUE(A2719), 'DICIONÁRIO UF'!$A:$B, 2, FALSE)</f>
        <v>Minas Gerais</v>
      </c>
      <c r="C2719" s="3">
        <v>37000</v>
      </c>
      <c r="D2719" s="5" t="str">
        <f>VLOOKUP(C2719, 'DICIONÁRIO CNAES'!$A:$B, 2, FALSE)</f>
        <v>Esgoto e atividades relacionadas</v>
      </c>
      <c r="E2719" s="4">
        <v>153.91642451000001</v>
      </c>
      <c r="F2719" s="4">
        <v>246266.279216</v>
      </c>
    </row>
    <row r="2720" spans="1:6" x14ac:dyDescent="0.3">
      <c r="A2720" s="3" t="s">
        <v>20</v>
      </c>
      <c r="B2720" s="7" t="str">
        <f>VLOOKUP(VALUE(A2720), 'DICIONÁRIO UF'!$A:$B, 2, FALSE)</f>
        <v>Minas Gerais</v>
      </c>
      <c r="C2720" s="3">
        <v>38000</v>
      </c>
      <c r="D2720" s="5" t="str">
        <f>VLOOKUP(C2720, 'DICIONÁRIO CNAES'!$A:$B, 2, FALSE)</f>
        <v>Coleta, tratamento e disposição de resíduos; recuperação de materiais</v>
      </c>
      <c r="E2720" s="4">
        <v>21985.671621670001</v>
      </c>
      <c r="F2720" s="4">
        <v>38249315.106817141</v>
      </c>
    </row>
    <row r="2721" spans="1:6" x14ac:dyDescent="0.3">
      <c r="A2721" s="3" t="s">
        <v>20</v>
      </c>
      <c r="B2721" s="7" t="str">
        <f>VLOOKUP(VALUE(A2721), 'DICIONÁRIO UF'!$A:$B, 2, FALSE)</f>
        <v>Minas Gerais</v>
      </c>
      <c r="C2721" s="3">
        <v>41000</v>
      </c>
      <c r="D2721" s="5" t="str">
        <f>VLOOKUP(C2721, 'DICIONÁRIO CNAES'!$A:$B, 2, FALSE)</f>
        <v>Construção de edifícios</v>
      </c>
      <c r="E2721" s="4">
        <v>602407.06728123</v>
      </c>
      <c r="F2721" s="4">
        <v>1062483756.470499</v>
      </c>
    </row>
    <row r="2722" spans="1:6" x14ac:dyDescent="0.3">
      <c r="A2722" s="3" t="s">
        <v>20</v>
      </c>
      <c r="B2722" s="7" t="str">
        <f>VLOOKUP(VALUE(A2722), 'DICIONÁRIO UF'!$A:$B, 2, FALSE)</f>
        <v>Minas Gerais</v>
      </c>
      <c r="C2722" s="3">
        <v>42000</v>
      </c>
      <c r="D2722" s="5" t="str">
        <f>VLOOKUP(C2722, 'DICIONÁRIO CNAES'!$A:$B, 2, FALSE)</f>
        <v>Construção de obras de infra-estrutura</v>
      </c>
      <c r="E2722" s="4">
        <v>65456.482645490003</v>
      </c>
      <c r="F2722" s="4">
        <v>196991555.06894511</v>
      </c>
    </row>
    <row r="2723" spans="1:6" x14ac:dyDescent="0.3">
      <c r="A2723" s="3" t="s">
        <v>20</v>
      </c>
      <c r="B2723" s="7" t="str">
        <f>VLOOKUP(VALUE(A2723), 'DICIONÁRIO UF'!$A:$B, 2, FALSE)</f>
        <v>Minas Gerais</v>
      </c>
      <c r="C2723" s="3">
        <v>43000</v>
      </c>
      <c r="D2723" s="5" t="str">
        <f>VLOOKUP(C2723, 'DICIONÁRIO CNAES'!$A:$B, 2, FALSE)</f>
        <v>Serviços especializados para construção</v>
      </c>
      <c r="E2723" s="4">
        <v>183473.78086922001</v>
      </c>
      <c r="F2723" s="4">
        <v>368016123.30656773</v>
      </c>
    </row>
    <row r="2724" spans="1:6" x14ac:dyDescent="0.3">
      <c r="A2724" s="3" t="s">
        <v>20</v>
      </c>
      <c r="B2724" s="7" t="str">
        <f>VLOOKUP(VALUE(A2724), 'DICIONÁRIO UF'!$A:$B, 2, FALSE)</f>
        <v>Minas Gerais</v>
      </c>
      <c r="C2724" s="3">
        <v>45010</v>
      </c>
      <c r="D2724" s="5" t="str">
        <f>VLOOKUP(C2724, 'DICIONÁRIO CNAES'!$A:$B, 2, FALSE)</f>
        <v>Comércio de veículos automotores</v>
      </c>
      <c r="E2724" s="4">
        <v>38701.913605729998</v>
      </c>
      <c r="F2724" s="4">
        <v>94723037.701680139</v>
      </c>
    </row>
    <row r="2725" spans="1:6" x14ac:dyDescent="0.3">
      <c r="A2725" s="3" t="s">
        <v>20</v>
      </c>
      <c r="B2725" s="7" t="str">
        <f>VLOOKUP(VALUE(A2725), 'DICIONÁRIO UF'!$A:$B, 2, FALSE)</f>
        <v>Minas Gerais</v>
      </c>
      <c r="C2725" s="3">
        <v>45020</v>
      </c>
      <c r="D2725" s="5" t="str">
        <f>VLOOKUP(C2725, 'DICIONÁRIO CNAES'!$A:$B, 2, FALSE)</f>
        <v>Manutenção e reparação de veículos automotores</v>
      </c>
      <c r="E2725" s="4">
        <v>177345.57675581999</v>
      </c>
      <c r="F2725" s="4">
        <v>313362410.0276165</v>
      </c>
    </row>
    <row r="2726" spans="1:6" x14ac:dyDescent="0.3">
      <c r="A2726" s="3" t="s">
        <v>20</v>
      </c>
      <c r="B2726" s="7" t="str">
        <f>VLOOKUP(VALUE(A2726), 'DICIONÁRIO UF'!$A:$B, 2, FALSE)</f>
        <v>Minas Gerais</v>
      </c>
      <c r="C2726" s="3">
        <v>45030</v>
      </c>
      <c r="D2726" s="5" t="str">
        <f>VLOOKUP(C2726, 'DICIONÁRIO CNAES'!$A:$B, 2, FALSE)</f>
        <v>Comércio de peças e acessórios para veículos automotores</v>
      </c>
      <c r="E2726" s="4">
        <v>27136.518511599999</v>
      </c>
      <c r="F2726" s="4">
        <v>71221282.726650998</v>
      </c>
    </row>
    <row r="2727" spans="1:6" x14ac:dyDescent="0.3">
      <c r="A2727" s="3" t="s">
        <v>20</v>
      </c>
      <c r="B2727" s="7" t="str">
        <f>VLOOKUP(VALUE(A2727), 'DICIONÁRIO UF'!$A:$B, 2, FALSE)</f>
        <v>Minas Gerais</v>
      </c>
      <c r="C2727" s="3">
        <v>45040</v>
      </c>
      <c r="D2727" s="5" t="str">
        <f>VLOOKUP(C2727, 'DICIONÁRIO CNAES'!$A:$B, 2, FALSE)</f>
        <v>Comércio, manutenção e reparação de motocicletas, peças e acessórios</v>
      </c>
      <c r="E2727" s="4">
        <v>18633.663735139999</v>
      </c>
      <c r="F2727" s="4">
        <v>32808972.273968499</v>
      </c>
    </row>
    <row r="2728" spans="1:6" x14ac:dyDescent="0.3">
      <c r="A2728" s="3" t="s">
        <v>20</v>
      </c>
      <c r="B2728" s="7" t="str">
        <f>VLOOKUP(VALUE(A2728), 'DICIONÁRIO UF'!$A:$B, 2, FALSE)</f>
        <v>Minas Gerais</v>
      </c>
      <c r="C2728" s="3">
        <v>48010</v>
      </c>
      <c r="D2728" s="5" t="str">
        <f>VLOOKUP(C2728, 'DICIONÁRIO CNAES'!$A:$B, 2, FALSE)</f>
        <v>Representantes comerciais e agentes do comércio, exceto de veículos automotores e motocicletas</v>
      </c>
      <c r="E2728" s="4">
        <v>23739.194819389999</v>
      </c>
      <c r="F2728" s="4">
        <v>123535415.006984</v>
      </c>
    </row>
    <row r="2729" spans="1:6" x14ac:dyDescent="0.3">
      <c r="A2729" s="3" t="s">
        <v>20</v>
      </c>
      <c r="B2729" s="7" t="str">
        <f>VLOOKUP(VALUE(A2729), 'DICIONÁRIO UF'!$A:$B, 2, FALSE)</f>
        <v>Minas Gerais</v>
      </c>
      <c r="C2729" s="3">
        <v>48020</v>
      </c>
      <c r="D2729" s="5" t="str">
        <f>VLOOKUP(C2729, 'DICIONÁRIO CNAES'!$A:$B, 2, FALSE)</f>
        <v>Comércio de matérias-primas agrícolas e animais vivos</v>
      </c>
      <c r="E2729" s="4">
        <v>31947.949628620001</v>
      </c>
      <c r="F2729" s="4">
        <v>64076405.2842011</v>
      </c>
    </row>
    <row r="2730" spans="1:6" x14ac:dyDescent="0.3">
      <c r="A2730" s="3" t="s">
        <v>20</v>
      </c>
      <c r="B2730" s="7" t="str">
        <f>VLOOKUP(VALUE(A2730), 'DICIONÁRIO UF'!$A:$B, 2, FALSE)</f>
        <v>Minas Gerais</v>
      </c>
      <c r="C2730" s="3">
        <v>48030</v>
      </c>
      <c r="D2730" s="5" t="str">
        <f>VLOOKUP(C2730, 'DICIONÁRIO CNAES'!$A:$B, 2, FALSE)</f>
        <v>Comércio de produtos alimentícios, bebidas e fumo</v>
      </c>
      <c r="E2730" s="4">
        <v>384414.50383861002</v>
      </c>
      <c r="F2730" s="4">
        <v>656440348.87016439</v>
      </c>
    </row>
    <row r="2731" spans="1:6" x14ac:dyDescent="0.3">
      <c r="A2731" s="3" t="s">
        <v>20</v>
      </c>
      <c r="B2731" s="7" t="str">
        <f>VLOOKUP(VALUE(A2731), 'DICIONÁRIO UF'!$A:$B, 2, FALSE)</f>
        <v>Minas Gerais</v>
      </c>
      <c r="C2731" s="3">
        <v>48041</v>
      </c>
      <c r="D2731" s="5" t="str">
        <f>VLOOKUP(C2731, 'DICIONÁRIO CNAES'!$A:$B, 2, FALSE)</f>
        <v>Comércio de tecidos, artefatos de tecidos e armarinho</v>
      </c>
      <c r="E2731" s="4">
        <v>15498.23985097</v>
      </c>
      <c r="F2731" s="4">
        <v>28970546.069318</v>
      </c>
    </row>
    <row r="2732" spans="1:6" x14ac:dyDescent="0.3">
      <c r="A2732" s="3" t="s">
        <v>20</v>
      </c>
      <c r="B2732" s="7" t="str">
        <f>VLOOKUP(VALUE(A2732), 'DICIONÁRIO UF'!$A:$B, 2, FALSE)</f>
        <v>Minas Gerais</v>
      </c>
      <c r="C2732" s="3">
        <v>48042</v>
      </c>
      <c r="D2732" s="5" t="str">
        <f>VLOOKUP(C2732, 'DICIONÁRIO CNAES'!$A:$B, 2, FALSE)</f>
        <v>Comércio de artigos do vestuário, complementos, calçados e artigos de viagem</v>
      </c>
      <c r="E2732" s="4">
        <v>215487.1021897</v>
      </c>
      <c r="F2732" s="4">
        <v>316040094.40162218</v>
      </c>
    </row>
    <row r="2733" spans="1:6" x14ac:dyDescent="0.3">
      <c r="A2733" s="3" t="s">
        <v>20</v>
      </c>
      <c r="B2733" s="7" t="str">
        <f>VLOOKUP(VALUE(A2733), 'DICIONÁRIO UF'!$A:$B, 2, FALSE)</f>
        <v>Minas Gerais</v>
      </c>
      <c r="C2733" s="3">
        <v>48050</v>
      </c>
      <c r="D2733" s="5" t="str">
        <f>VLOOKUP(C2733, 'DICIONÁRIO CNAES'!$A:$B, 2, FALSE)</f>
        <v>Comércio de madeira, material de construção, ferragens e ferramentas</v>
      </c>
      <c r="E2733" s="4">
        <v>138329.11881766</v>
      </c>
      <c r="F2733" s="4">
        <v>358193806.50041378</v>
      </c>
    </row>
    <row r="2734" spans="1:6" x14ac:dyDescent="0.3">
      <c r="A2734" s="3" t="s">
        <v>20</v>
      </c>
      <c r="B2734" s="7" t="str">
        <f>VLOOKUP(VALUE(A2734), 'DICIONÁRIO UF'!$A:$B, 2, FALSE)</f>
        <v>Minas Gerais</v>
      </c>
      <c r="C2734" s="3">
        <v>48060</v>
      </c>
      <c r="D2734" s="5" t="str">
        <f>VLOOKUP(C2734, 'DICIONÁRIO CNAES'!$A:$B, 2, FALSE)</f>
        <v>Comércio de combustíveis para veículos automotores</v>
      </c>
      <c r="E2734" s="4">
        <v>48481.546992349999</v>
      </c>
      <c r="F2734" s="4">
        <v>87000759.699812874</v>
      </c>
    </row>
    <row r="2735" spans="1:6" x14ac:dyDescent="0.3">
      <c r="A2735" s="3" t="s">
        <v>20</v>
      </c>
      <c r="B2735" s="7" t="str">
        <f>VLOOKUP(VALUE(A2735), 'DICIONÁRIO UF'!$A:$B, 2, FALSE)</f>
        <v>Minas Gerais</v>
      </c>
      <c r="C2735" s="3">
        <v>48071</v>
      </c>
      <c r="D2735" s="5" t="str">
        <f>VLOOKUP(C2735, 'DICIONÁRIO CNAES'!$A:$B, 2, FALSE)</f>
        <v>Comércio de produtos farmaceuticos, médicos, ortopédicos, odontológicos e de cosméticos e perfumaria</v>
      </c>
      <c r="E2735" s="4">
        <v>121311.60577590999</v>
      </c>
      <c r="F2735" s="4">
        <v>185378104.3280715</v>
      </c>
    </row>
    <row r="2736" spans="1:6" x14ac:dyDescent="0.3">
      <c r="A2736" s="3" t="s">
        <v>20</v>
      </c>
      <c r="B2736" s="7" t="str">
        <f>VLOOKUP(VALUE(A2736), 'DICIONÁRIO UF'!$A:$B, 2, FALSE)</f>
        <v>Minas Gerais</v>
      </c>
      <c r="C2736" s="3">
        <v>48072</v>
      </c>
      <c r="D2736" s="5" t="str">
        <f>VLOOKUP(C2736, 'DICIONÁRIO CNAES'!$A:$B, 2, FALSE)</f>
        <v>Comércio de artigos de escritório e de papelaria; livros, jornais e outras publicações</v>
      </c>
      <c r="E2736" s="4">
        <v>18686.246026109999</v>
      </c>
      <c r="F2736" s="4">
        <v>26092050.725650001</v>
      </c>
    </row>
    <row r="2737" spans="1:6" x14ac:dyDescent="0.3">
      <c r="A2737" s="3" t="s">
        <v>20</v>
      </c>
      <c r="B2737" s="7" t="str">
        <f>VLOOKUP(VALUE(A2737), 'DICIONÁRIO UF'!$A:$B, 2, FALSE)</f>
        <v>Minas Gerais</v>
      </c>
      <c r="C2737" s="3">
        <v>48073</v>
      </c>
      <c r="D2737" s="5" t="str">
        <f>VLOOKUP(C2737, 'DICIONÁRIO CNAES'!$A:$B, 2, FALSE)</f>
        <v>Comércio de eletrodomésticos, móveis e outros artigos de residência</v>
      </c>
      <c r="E2737" s="4">
        <v>103883.37105538</v>
      </c>
      <c r="F2737" s="4">
        <v>204111144.029266</v>
      </c>
    </row>
    <row r="2738" spans="1:6" x14ac:dyDescent="0.3">
      <c r="A2738" s="3" t="s">
        <v>20</v>
      </c>
      <c r="B2738" s="7" t="str">
        <f>VLOOKUP(VALUE(A2738), 'DICIONÁRIO UF'!$A:$B, 2, FALSE)</f>
        <v>Minas Gerais</v>
      </c>
      <c r="C2738" s="3">
        <v>48074</v>
      </c>
      <c r="D2738" s="5" t="str">
        <f>VLOOKUP(C2738, 'DICIONÁRIO CNAES'!$A:$B, 2, FALSE)</f>
        <v>Comércio de equipamentos e produtos de tecnologias de informação e comunicação</v>
      </c>
      <c r="E2738" s="4">
        <v>14814.41795522</v>
      </c>
      <c r="F2738" s="4">
        <v>18865778.300432801</v>
      </c>
    </row>
    <row r="2739" spans="1:6" x14ac:dyDescent="0.3">
      <c r="A2739" s="3" t="s">
        <v>20</v>
      </c>
      <c r="B2739" s="7" t="str">
        <f>VLOOKUP(VALUE(A2739), 'DICIONÁRIO UF'!$A:$B, 2, FALSE)</f>
        <v>Minas Gerais</v>
      </c>
      <c r="C2739" s="3">
        <v>48075</v>
      </c>
      <c r="D2739" s="5" t="str">
        <f>VLOOKUP(C2739, 'DICIONÁRIO CNAES'!$A:$B, 2, FALSE)</f>
        <v xml:space="preserve">Comércio de máquinas, aparelhos e equipamentos, exceto eletrodomésticos </v>
      </c>
      <c r="E2739" s="4">
        <v>18974.44346541</v>
      </c>
      <c r="F2739" s="4">
        <v>71978776.466021001</v>
      </c>
    </row>
    <row r="2740" spans="1:6" x14ac:dyDescent="0.3">
      <c r="A2740" s="3" t="s">
        <v>20</v>
      </c>
      <c r="B2740" s="7" t="str">
        <f>VLOOKUP(VALUE(A2740), 'DICIONÁRIO UF'!$A:$B, 2, FALSE)</f>
        <v>Minas Gerais</v>
      </c>
      <c r="C2740" s="3">
        <v>48076</v>
      </c>
      <c r="D2740" s="5" t="str">
        <f>VLOOKUP(C2740, 'DICIONÁRIO CNAES'!$A:$B, 2, FALSE)</f>
        <v>Comércio de combustíveis sólidos, líquidos e gasosos, exceto para veículos automotores</v>
      </c>
      <c r="E2740" s="4">
        <v>15634.255612729999</v>
      </c>
      <c r="F2740" s="4">
        <v>37542175.611523002</v>
      </c>
    </row>
    <row r="2741" spans="1:6" x14ac:dyDescent="0.3">
      <c r="A2741" s="3" t="s">
        <v>20</v>
      </c>
      <c r="B2741" s="7" t="str">
        <f>VLOOKUP(VALUE(A2741), 'DICIONÁRIO UF'!$A:$B, 2, FALSE)</f>
        <v>Minas Gerais</v>
      </c>
      <c r="C2741" s="3">
        <v>48077</v>
      </c>
      <c r="D2741" s="5" t="str">
        <f>VLOOKUP(C2741, 'DICIONÁRIO CNAES'!$A:$B, 2, FALSE)</f>
        <v>Comércio de produtos usados</v>
      </c>
      <c r="E2741" s="4">
        <v>5094.5539485899999</v>
      </c>
      <c r="F2741" s="4">
        <v>5634654.7049754998</v>
      </c>
    </row>
    <row r="2742" spans="1:6" x14ac:dyDescent="0.3">
      <c r="A2742" s="3" t="s">
        <v>20</v>
      </c>
      <c r="B2742" s="7" t="str">
        <f>VLOOKUP(VALUE(A2742), 'DICIONÁRIO UF'!$A:$B, 2, FALSE)</f>
        <v>Minas Gerais</v>
      </c>
      <c r="C2742" s="3">
        <v>48078</v>
      </c>
      <c r="D2742" s="5" t="str">
        <f>VLOOKUP(C2742, 'DICIONÁRIO CNAES'!$A:$B, 2, FALSE)</f>
        <v>Comercio de residuos e sucatas</v>
      </c>
      <c r="E2742" s="4">
        <v>42698.008102890002</v>
      </c>
      <c r="F2742" s="4">
        <v>31922557.713182598</v>
      </c>
    </row>
    <row r="2743" spans="1:6" x14ac:dyDescent="0.3">
      <c r="A2743" s="3" t="s">
        <v>20</v>
      </c>
      <c r="B2743" s="7" t="str">
        <f>VLOOKUP(VALUE(A2743), 'DICIONÁRIO UF'!$A:$B, 2, FALSE)</f>
        <v>Minas Gerais</v>
      </c>
      <c r="C2743" s="3">
        <v>48079</v>
      </c>
      <c r="D2743" s="5" t="str">
        <f>VLOOKUP(C2743, 'DICIONÁRIO CNAES'!$A:$B, 2, FALSE)</f>
        <v>Comércio de produtos novos não especificados anteriormente</v>
      </c>
      <c r="E2743" s="4">
        <v>110470.60368242</v>
      </c>
      <c r="F2743" s="4">
        <v>209608778.8382012</v>
      </c>
    </row>
    <row r="2744" spans="1:6" x14ac:dyDescent="0.3">
      <c r="A2744" s="3" t="s">
        <v>20</v>
      </c>
      <c r="B2744" s="7" t="str">
        <f>VLOOKUP(VALUE(A2744), 'DICIONÁRIO UF'!$A:$B, 2, FALSE)</f>
        <v>Minas Gerais</v>
      </c>
      <c r="C2744" s="3">
        <v>48080</v>
      </c>
      <c r="D2744" s="5" t="str">
        <f>VLOOKUP(C2744, 'DICIONÁRIO CNAES'!$A:$B, 2, FALSE)</f>
        <v>Supermercado e hipermercado</v>
      </c>
      <c r="E2744" s="4">
        <v>189075.21971912999</v>
      </c>
      <c r="F2744" s="4">
        <v>268682021.08830291</v>
      </c>
    </row>
    <row r="2745" spans="1:6" x14ac:dyDescent="0.3">
      <c r="A2745" s="3" t="s">
        <v>20</v>
      </c>
      <c r="B2745" s="7" t="str">
        <f>VLOOKUP(VALUE(A2745), 'DICIONÁRIO UF'!$A:$B, 2, FALSE)</f>
        <v>Minas Gerais</v>
      </c>
      <c r="C2745" s="3">
        <v>48090</v>
      </c>
      <c r="D2745" s="5" t="str">
        <f>VLOOKUP(C2745, 'DICIONÁRIO CNAES'!$A:$B, 2, FALSE)</f>
        <v>Lojas de departamento e outros comércios não especializados, sem predominância de produtos alimentícios</v>
      </c>
      <c r="E2745" s="4">
        <v>10776.479635719999</v>
      </c>
      <c r="F2745" s="4">
        <v>20962415.921116341</v>
      </c>
    </row>
    <row r="2746" spans="1:6" x14ac:dyDescent="0.3">
      <c r="A2746" s="3" t="s">
        <v>20</v>
      </c>
      <c r="B2746" s="7" t="str">
        <f>VLOOKUP(VALUE(A2746), 'DICIONÁRIO UF'!$A:$B, 2, FALSE)</f>
        <v>Minas Gerais</v>
      </c>
      <c r="C2746" s="3">
        <v>48100</v>
      </c>
      <c r="D2746" s="5" t="str">
        <f>VLOOKUP(C2746, 'DICIONÁRIO CNAES'!$A:$B, 2, FALSE)</f>
        <v>Comércio ambulante e feiras</v>
      </c>
      <c r="E2746" s="4">
        <v>39904.357942570001</v>
      </c>
      <c r="F2746" s="4">
        <v>47003624.598798499</v>
      </c>
    </row>
    <row r="2747" spans="1:6" x14ac:dyDescent="0.3">
      <c r="A2747" s="3" t="s">
        <v>20</v>
      </c>
      <c r="B2747" s="7" t="str">
        <f>VLOOKUP(VALUE(A2747), 'DICIONÁRIO UF'!$A:$B, 2, FALSE)</f>
        <v>Minas Gerais</v>
      </c>
      <c r="C2747" s="3">
        <v>49010</v>
      </c>
      <c r="D2747" s="5" t="str">
        <f>VLOOKUP(C2747, 'DICIONÁRIO CNAES'!$A:$B, 2, FALSE)</f>
        <v>Transporte ferroviário e metroferroviário</v>
      </c>
      <c r="E2747" s="4">
        <v>5168.1598493399997</v>
      </c>
      <c r="F2747" s="4">
        <v>14830153.932939</v>
      </c>
    </row>
    <row r="2748" spans="1:6" x14ac:dyDescent="0.3">
      <c r="A2748" s="3" t="s">
        <v>20</v>
      </c>
      <c r="B2748" s="7" t="str">
        <f>VLOOKUP(VALUE(A2748), 'DICIONÁRIO UF'!$A:$B, 2, FALSE)</f>
        <v>Minas Gerais</v>
      </c>
      <c r="C2748" s="3">
        <v>49030</v>
      </c>
      <c r="D2748" s="5" t="str">
        <f>VLOOKUP(C2748, 'DICIONÁRIO CNAES'!$A:$B, 2, FALSE)</f>
        <v>Transporte rodoviário de passageiros</v>
      </c>
      <c r="E2748" s="4">
        <v>160629.71829798</v>
      </c>
      <c r="F2748" s="4">
        <v>355278238.90221632</v>
      </c>
    </row>
    <row r="2749" spans="1:6" x14ac:dyDescent="0.3">
      <c r="A2749" s="3" t="s">
        <v>20</v>
      </c>
      <c r="B2749" s="7" t="str">
        <f>VLOOKUP(VALUE(A2749), 'DICIONÁRIO UF'!$A:$B, 2, FALSE)</f>
        <v>Minas Gerais</v>
      </c>
      <c r="C2749" s="3">
        <v>49040</v>
      </c>
      <c r="D2749" s="5" t="str">
        <f>VLOOKUP(C2749, 'DICIONÁRIO CNAES'!$A:$B, 2, FALSE)</f>
        <v>Transporte rodoviário de carga</v>
      </c>
      <c r="E2749" s="4">
        <v>212518.62629812001</v>
      </c>
      <c r="F2749" s="4">
        <v>634984393.2716651</v>
      </c>
    </row>
    <row r="2750" spans="1:6" x14ac:dyDescent="0.3">
      <c r="A2750" s="3" t="s">
        <v>20</v>
      </c>
      <c r="B2750" s="7" t="str">
        <f>VLOOKUP(VALUE(A2750), 'DICIONÁRIO UF'!$A:$B, 2, FALSE)</f>
        <v>Minas Gerais</v>
      </c>
      <c r="C2750" s="3">
        <v>51000</v>
      </c>
      <c r="D2750" s="5" t="str">
        <f>VLOOKUP(C2750, 'DICIONÁRIO CNAES'!$A:$B, 2, FALSE)</f>
        <v>Transporte Aéreo</v>
      </c>
      <c r="E2750" s="4">
        <v>3408.7552192200001</v>
      </c>
      <c r="F2750" s="4">
        <v>7811385.5238049999</v>
      </c>
    </row>
    <row r="2751" spans="1:6" x14ac:dyDescent="0.3">
      <c r="A2751" s="3" t="s">
        <v>20</v>
      </c>
      <c r="B2751" s="7" t="str">
        <f>VLOOKUP(VALUE(A2751), 'DICIONÁRIO UF'!$A:$B, 2, FALSE)</f>
        <v>Minas Gerais</v>
      </c>
      <c r="C2751" s="3">
        <v>52010</v>
      </c>
      <c r="D2751" s="5" t="str">
        <f>VLOOKUP(C2751, 'DICIONÁRIO CNAES'!$A:$B, 2, FALSE)</f>
        <v>Armazenamento, carga e descarga</v>
      </c>
      <c r="E2751" s="4">
        <v>10501.09755599</v>
      </c>
      <c r="F2751" s="4">
        <v>18878400.377120499</v>
      </c>
    </row>
    <row r="2752" spans="1:6" x14ac:dyDescent="0.3">
      <c r="A2752" s="3" t="s">
        <v>20</v>
      </c>
      <c r="B2752" s="7" t="str">
        <f>VLOOKUP(VALUE(A2752), 'DICIONÁRIO UF'!$A:$B, 2, FALSE)</f>
        <v>Minas Gerais</v>
      </c>
      <c r="C2752" s="3">
        <v>52020</v>
      </c>
      <c r="D2752" s="5" t="str">
        <f>VLOOKUP(C2752, 'DICIONÁRIO CNAES'!$A:$B, 2, FALSE)</f>
        <v xml:space="preserve">Atividades auxiliares dos transportes e atividades relacionadas à organização do transporte de carga </v>
      </c>
      <c r="E2752" s="4">
        <v>21185.51114775</v>
      </c>
      <c r="F2752" s="4">
        <v>58699301.468240097</v>
      </c>
    </row>
    <row r="2753" spans="1:6" x14ac:dyDescent="0.3">
      <c r="A2753" s="3" t="s">
        <v>20</v>
      </c>
      <c r="B2753" s="7" t="str">
        <f>VLOOKUP(VALUE(A2753), 'DICIONÁRIO UF'!$A:$B, 2, FALSE)</f>
        <v>Minas Gerais</v>
      </c>
      <c r="C2753" s="3">
        <v>53001</v>
      </c>
      <c r="D2753" s="5" t="str">
        <f>VLOOKUP(C2753, 'DICIONÁRIO CNAES'!$A:$B, 2, FALSE)</f>
        <v>Atividades de Correio</v>
      </c>
      <c r="E2753" s="4">
        <v>9876.825665190001</v>
      </c>
      <c r="F2753" s="4">
        <v>31182048.592656001</v>
      </c>
    </row>
    <row r="2754" spans="1:6" x14ac:dyDescent="0.3">
      <c r="A2754" s="3" t="s">
        <v>20</v>
      </c>
      <c r="B2754" s="7" t="str">
        <f>VLOOKUP(VALUE(A2754), 'DICIONÁRIO UF'!$A:$B, 2, FALSE)</f>
        <v>Minas Gerais</v>
      </c>
      <c r="C2754" s="3">
        <v>53002</v>
      </c>
      <c r="D2754" s="5" t="str">
        <f>VLOOKUP(C2754, 'DICIONÁRIO CNAES'!$A:$B, 2, FALSE)</f>
        <v>Atividades de malote e de entrega</v>
      </c>
      <c r="E2754" s="4">
        <v>38582.121159750001</v>
      </c>
      <c r="F2754" s="4">
        <v>63226248.878978699</v>
      </c>
    </row>
    <row r="2755" spans="1:6" x14ac:dyDescent="0.3">
      <c r="A2755" s="3" t="s">
        <v>20</v>
      </c>
      <c r="B2755" s="7" t="str">
        <f>VLOOKUP(VALUE(A2755), 'DICIONÁRIO UF'!$A:$B, 2, FALSE)</f>
        <v>Minas Gerais</v>
      </c>
      <c r="C2755" s="3">
        <v>55000</v>
      </c>
      <c r="D2755" s="5" t="str">
        <f>VLOOKUP(C2755, 'DICIONÁRIO CNAES'!$A:$B, 2, FALSE)</f>
        <v>Alojamento</v>
      </c>
      <c r="E2755" s="4">
        <v>51578.142687109997</v>
      </c>
      <c r="F2755" s="4">
        <v>101383910.2976386</v>
      </c>
    </row>
    <row r="2756" spans="1:6" x14ac:dyDescent="0.3">
      <c r="A2756" s="3" t="s">
        <v>20</v>
      </c>
      <c r="B2756" s="7" t="str">
        <f>VLOOKUP(VALUE(A2756), 'DICIONÁRIO UF'!$A:$B, 2, FALSE)</f>
        <v>Minas Gerais</v>
      </c>
      <c r="C2756" s="3">
        <v>56011</v>
      </c>
      <c r="D2756" s="5" t="str">
        <f>VLOOKUP(C2756, 'DICIONÁRIO CNAES'!$A:$B, 2, FALSE)</f>
        <v>Restaurantes e outros estabelecimentos de serviços de alimentação e bebidas</v>
      </c>
      <c r="E2756" s="4">
        <v>359331.20747594</v>
      </c>
      <c r="F2756" s="4">
        <v>559947148.13141501</v>
      </c>
    </row>
    <row r="2757" spans="1:6" x14ac:dyDescent="0.3">
      <c r="A2757" s="3" t="s">
        <v>20</v>
      </c>
      <c r="B2757" s="7" t="str">
        <f>VLOOKUP(VALUE(A2757), 'DICIONÁRIO UF'!$A:$B, 2, FALSE)</f>
        <v>Minas Gerais</v>
      </c>
      <c r="C2757" s="3">
        <v>56012</v>
      </c>
      <c r="D2757" s="5" t="str">
        <f>VLOOKUP(C2757, 'DICIONÁRIO CNAES'!$A:$B, 2, FALSE)</f>
        <v>Serviços de catering, bufê e outros serviços de comida preparada</v>
      </c>
      <c r="E2757" s="4">
        <v>83880.194923069997</v>
      </c>
      <c r="F2757" s="4">
        <v>115128927.5645429</v>
      </c>
    </row>
    <row r="2758" spans="1:6" x14ac:dyDescent="0.3">
      <c r="A2758" s="3" t="s">
        <v>20</v>
      </c>
      <c r="B2758" s="7" t="str">
        <f>VLOOKUP(VALUE(A2758), 'DICIONÁRIO UF'!$A:$B, 2, FALSE)</f>
        <v>Minas Gerais</v>
      </c>
      <c r="C2758" s="3">
        <v>56020</v>
      </c>
      <c r="D2758" s="5" t="str">
        <f>VLOOKUP(C2758, 'DICIONÁRIO CNAES'!$A:$B, 2, FALSE)</f>
        <v>Serviços ambulantes de alimentação</v>
      </c>
      <c r="E2758" s="4">
        <v>22024.36854566</v>
      </c>
      <c r="F2758" s="4">
        <v>22593479.732436299</v>
      </c>
    </row>
    <row r="2759" spans="1:6" x14ac:dyDescent="0.3">
      <c r="A2759" s="3" t="s">
        <v>20</v>
      </c>
      <c r="B2759" s="7" t="str">
        <f>VLOOKUP(VALUE(A2759), 'DICIONÁRIO UF'!$A:$B, 2, FALSE)</f>
        <v>Minas Gerais</v>
      </c>
      <c r="C2759" s="3">
        <v>58000</v>
      </c>
      <c r="D2759" s="5" t="str">
        <f>VLOOKUP(C2759, 'DICIONÁRIO CNAES'!$A:$B, 2, FALSE)</f>
        <v xml:space="preserve">Edição e Edição integrada à impressão </v>
      </c>
      <c r="E2759" s="4">
        <v>4767.8697163199986</v>
      </c>
      <c r="F2759" s="4">
        <v>18619817.011119001</v>
      </c>
    </row>
    <row r="2760" spans="1:6" x14ac:dyDescent="0.3">
      <c r="A2760" s="3" t="s">
        <v>20</v>
      </c>
      <c r="B2760" s="7" t="str">
        <f>VLOOKUP(VALUE(A2760), 'DICIONÁRIO UF'!$A:$B, 2, FALSE)</f>
        <v>Minas Gerais</v>
      </c>
      <c r="C2760" s="3">
        <v>59000</v>
      </c>
      <c r="D2760" s="5" t="str">
        <f>VLOOKUP(C2760, 'DICIONÁRIO CNAES'!$A:$B, 2, FALSE)</f>
        <v>Atividades cinematográficas, produção de vídeos e de programas de televisão, gravação de som e de música</v>
      </c>
      <c r="E2760" s="4">
        <v>1933.9429453299999</v>
      </c>
      <c r="F2760" s="4">
        <v>3337973.962239</v>
      </c>
    </row>
    <row r="2761" spans="1:6" x14ac:dyDescent="0.3">
      <c r="A2761" s="3" t="s">
        <v>20</v>
      </c>
      <c r="B2761" s="7" t="str">
        <f>VLOOKUP(VALUE(A2761), 'DICIONÁRIO UF'!$A:$B, 2, FALSE)</f>
        <v>Minas Gerais</v>
      </c>
      <c r="C2761" s="3">
        <v>60001</v>
      </c>
      <c r="D2761" s="5" t="str">
        <f>VLOOKUP(C2761, 'DICIONÁRIO CNAES'!$A:$B, 2, FALSE)</f>
        <v>Atividades de rádio</v>
      </c>
      <c r="E2761" s="4">
        <v>3733.59612466</v>
      </c>
      <c r="F2761" s="4">
        <v>6372221.5022200001</v>
      </c>
    </row>
    <row r="2762" spans="1:6" x14ac:dyDescent="0.3">
      <c r="A2762" s="3" t="s">
        <v>20</v>
      </c>
      <c r="B2762" s="7" t="str">
        <f>VLOOKUP(VALUE(A2762), 'DICIONÁRIO UF'!$A:$B, 2, FALSE)</f>
        <v>Minas Gerais</v>
      </c>
      <c r="C2762" s="3">
        <v>60002</v>
      </c>
      <c r="D2762" s="5" t="str">
        <f>VLOOKUP(C2762, 'DICIONÁRIO CNAES'!$A:$B, 2, FALSE)</f>
        <v>Atividades de televisão</v>
      </c>
      <c r="E2762" s="4">
        <v>2066.0374524399999</v>
      </c>
      <c r="F2762" s="4">
        <v>121298253.702114</v>
      </c>
    </row>
    <row r="2763" spans="1:6" x14ac:dyDescent="0.3">
      <c r="A2763" s="3" t="s">
        <v>20</v>
      </c>
      <c r="B2763" s="7" t="str">
        <f>VLOOKUP(VALUE(A2763), 'DICIONÁRIO UF'!$A:$B, 2, FALSE)</f>
        <v>Minas Gerais</v>
      </c>
      <c r="C2763" s="3">
        <v>61000</v>
      </c>
      <c r="D2763" s="5" t="str">
        <f>VLOOKUP(C2763, 'DICIONÁRIO CNAES'!$A:$B, 2, FALSE)</f>
        <v>Telecomunicações</v>
      </c>
      <c r="E2763" s="4">
        <v>47810.010805409998</v>
      </c>
      <c r="F2763" s="4">
        <v>103357194.5287392</v>
      </c>
    </row>
    <row r="2764" spans="1:6" x14ac:dyDescent="0.3">
      <c r="A2764" s="3" t="s">
        <v>20</v>
      </c>
      <c r="B2764" s="7" t="str">
        <f>VLOOKUP(VALUE(A2764), 'DICIONÁRIO UF'!$A:$B, 2, FALSE)</f>
        <v>Minas Gerais</v>
      </c>
      <c r="C2764" s="3">
        <v>62000</v>
      </c>
      <c r="D2764" s="5" t="str">
        <f>VLOOKUP(C2764, 'DICIONÁRIO CNAES'!$A:$B, 2, FALSE)</f>
        <v>Atividades dos serviços de tecnologia da informação</v>
      </c>
      <c r="E2764" s="4">
        <v>65743.993990300005</v>
      </c>
      <c r="F2764" s="4">
        <v>367021814.50553322</v>
      </c>
    </row>
    <row r="2765" spans="1:6" x14ac:dyDescent="0.3">
      <c r="A2765" s="3" t="s">
        <v>20</v>
      </c>
      <c r="B2765" s="7" t="str">
        <f>VLOOKUP(VALUE(A2765), 'DICIONÁRIO UF'!$A:$B, 2, FALSE)</f>
        <v>Minas Gerais</v>
      </c>
      <c r="C2765" s="3">
        <v>63000</v>
      </c>
      <c r="D2765" s="5" t="str">
        <f>VLOOKUP(C2765, 'DICIONÁRIO CNAES'!$A:$B, 2, FALSE)</f>
        <v>Atividades de prestação de serviços de informação</v>
      </c>
      <c r="E2765" s="4">
        <v>4016.8019547099998</v>
      </c>
      <c r="F2765" s="4">
        <v>17233400.840753999</v>
      </c>
    </row>
    <row r="2766" spans="1:6" x14ac:dyDescent="0.3">
      <c r="A2766" s="3" t="s">
        <v>20</v>
      </c>
      <c r="B2766" s="7" t="str">
        <f>VLOOKUP(VALUE(A2766), 'DICIONÁRIO UF'!$A:$B, 2, FALSE)</f>
        <v>Minas Gerais</v>
      </c>
      <c r="C2766" s="3">
        <v>64000</v>
      </c>
      <c r="D2766" s="5" t="str">
        <f>VLOOKUP(C2766, 'DICIONÁRIO CNAES'!$A:$B, 2, FALSE)</f>
        <v>Serviços financeiros</v>
      </c>
      <c r="E2766" s="4">
        <v>84912.52828672</v>
      </c>
      <c r="F2766" s="4">
        <v>415780691.24184638</v>
      </c>
    </row>
    <row r="2767" spans="1:6" x14ac:dyDescent="0.3">
      <c r="A2767" s="3" t="s">
        <v>20</v>
      </c>
      <c r="B2767" s="7" t="str">
        <f>VLOOKUP(VALUE(A2767), 'DICIONÁRIO UF'!$A:$B, 2, FALSE)</f>
        <v>Minas Gerais</v>
      </c>
      <c r="C2767" s="3">
        <v>65000</v>
      </c>
      <c r="D2767" s="5" t="str">
        <f>VLOOKUP(C2767, 'DICIONÁRIO CNAES'!$A:$B, 2, FALSE)</f>
        <v>Seguros e previdência privada</v>
      </c>
      <c r="E2767" s="4">
        <v>17548.379538149999</v>
      </c>
      <c r="F2767" s="4">
        <v>63101313.520061187</v>
      </c>
    </row>
    <row r="2768" spans="1:6" x14ac:dyDescent="0.3">
      <c r="A2768" s="3" t="s">
        <v>20</v>
      </c>
      <c r="B2768" s="7" t="str">
        <f>VLOOKUP(VALUE(A2768), 'DICIONÁRIO UF'!$A:$B, 2, FALSE)</f>
        <v>Minas Gerais</v>
      </c>
      <c r="C2768" s="3">
        <v>66001</v>
      </c>
      <c r="D2768" s="5" t="str">
        <f>VLOOKUP(C2768, 'DICIONÁRIO CNAES'!$A:$B, 2, FALSE)</f>
        <v>Atividades auxiliares dos serviços financeiros</v>
      </c>
      <c r="E2768" s="4">
        <v>8620.8687810699994</v>
      </c>
      <c r="F2768" s="4">
        <v>33307533.222240999</v>
      </c>
    </row>
    <row r="2769" spans="1:6" x14ac:dyDescent="0.3">
      <c r="A2769" s="3" t="s">
        <v>20</v>
      </c>
      <c r="B2769" s="7" t="str">
        <f>VLOOKUP(VALUE(A2769), 'DICIONÁRIO UF'!$A:$B, 2, FALSE)</f>
        <v>Minas Gerais</v>
      </c>
      <c r="C2769" s="3">
        <v>66002</v>
      </c>
      <c r="D2769" s="5" t="str">
        <f>VLOOKUP(C2769, 'DICIONÁRIO CNAES'!$A:$B, 2, FALSE)</f>
        <v>Atividades auxiliares dos seguros, da previdência complementar e dos planos de saúde</v>
      </c>
      <c r="E2769" s="4">
        <v>16907.231932499999</v>
      </c>
      <c r="F2769" s="4">
        <v>56520161.142895602</v>
      </c>
    </row>
    <row r="2770" spans="1:6" x14ac:dyDescent="0.3">
      <c r="A2770" s="3" t="s">
        <v>20</v>
      </c>
      <c r="B2770" s="7" t="str">
        <f>VLOOKUP(VALUE(A2770), 'DICIONÁRIO UF'!$A:$B, 2, FALSE)</f>
        <v>Minas Gerais</v>
      </c>
      <c r="C2770" s="3">
        <v>68000</v>
      </c>
      <c r="D2770" s="5" t="str">
        <f>VLOOKUP(C2770, 'DICIONÁRIO CNAES'!$A:$B, 2, FALSE)</f>
        <v>Atividades imobiliárias</v>
      </c>
      <c r="E2770" s="4">
        <v>49655.398814790002</v>
      </c>
      <c r="F2770" s="4">
        <v>159164441.92624471</v>
      </c>
    </row>
    <row r="2771" spans="1:6" x14ac:dyDescent="0.3">
      <c r="A2771" s="3" t="s">
        <v>20</v>
      </c>
      <c r="B2771" s="7" t="str">
        <f>VLOOKUP(VALUE(A2771), 'DICIONÁRIO UF'!$A:$B, 2, FALSE)</f>
        <v>Minas Gerais</v>
      </c>
      <c r="C2771" s="3">
        <v>69000</v>
      </c>
      <c r="D2771" s="5" t="str">
        <f>VLOOKUP(C2771, 'DICIONÁRIO CNAES'!$A:$B, 2, FALSE)</f>
        <v xml:space="preserve">Atividades jurídicas, de contabilidade e de auditoria </v>
      </c>
      <c r="E2771" s="4">
        <v>156601.14139899</v>
      </c>
      <c r="F2771" s="4">
        <v>438983987.6867308</v>
      </c>
    </row>
    <row r="2772" spans="1:6" x14ac:dyDescent="0.3">
      <c r="A2772" s="3" t="s">
        <v>20</v>
      </c>
      <c r="B2772" s="7" t="str">
        <f>VLOOKUP(VALUE(A2772), 'DICIONÁRIO UF'!$A:$B, 2, FALSE)</f>
        <v>Minas Gerais</v>
      </c>
      <c r="C2772" s="3">
        <v>70000</v>
      </c>
      <c r="D2772" s="5" t="str">
        <f>VLOOKUP(C2772, 'DICIONÁRIO CNAES'!$A:$B, 2, FALSE)</f>
        <v>Atividades de consultoria em gestão empresarial</v>
      </c>
      <c r="E2772" s="4">
        <v>12394.547018499999</v>
      </c>
      <c r="F2772" s="4">
        <v>170187514.85430899</v>
      </c>
    </row>
    <row r="2773" spans="1:6" x14ac:dyDescent="0.3">
      <c r="A2773" s="3" t="s">
        <v>20</v>
      </c>
      <c r="B2773" s="7" t="str">
        <f>VLOOKUP(VALUE(A2773), 'DICIONÁRIO UF'!$A:$B, 2, FALSE)</f>
        <v>Minas Gerais</v>
      </c>
      <c r="C2773" s="3">
        <v>71000</v>
      </c>
      <c r="D2773" s="5" t="str">
        <f>VLOOKUP(C2773, 'DICIONÁRIO CNAES'!$A:$B, 2, FALSE)</f>
        <v>Serviços de arquitetura e engenharia e atividades técnicas relacionadas; Testes e análises técnicas</v>
      </c>
      <c r="E2773" s="4">
        <v>74771.293663970006</v>
      </c>
      <c r="F2773" s="4">
        <v>278240606.77622962</v>
      </c>
    </row>
    <row r="2774" spans="1:6" x14ac:dyDescent="0.3">
      <c r="A2774" s="3" t="s">
        <v>20</v>
      </c>
      <c r="B2774" s="7" t="str">
        <f>VLOOKUP(VALUE(A2774), 'DICIONÁRIO UF'!$A:$B, 2, FALSE)</f>
        <v>Minas Gerais</v>
      </c>
      <c r="C2774" s="3">
        <v>72000</v>
      </c>
      <c r="D2774" s="5" t="str">
        <f>VLOOKUP(C2774, 'DICIONÁRIO CNAES'!$A:$B, 2, FALSE)</f>
        <v>Pesquisa e desenvolvimento científico</v>
      </c>
      <c r="E2774" s="4">
        <v>2397.0998905800002</v>
      </c>
      <c r="F2774" s="4">
        <v>5719895.4170044996</v>
      </c>
    </row>
    <row r="2775" spans="1:6" x14ac:dyDescent="0.3">
      <c r="A2775" s="3" t="s">
        <v>20</v>
      </c>
      <c r="B2775" s="7" t="str">
        <f>VLOOKUP(VALUE(A2775), 'DICIONÁRIO UF'!$A:$B, 2, FALSE)</f>
        <v>Minas Gerais</v>
      </c>
      <c r="C2775" s="3">
        <v>73010</v>
      </c>
      <c r="D2775" s="5" t="str">
        <f>VLOOKUP(C2775, 'DICIONÁRIO CNAES'!$A:$B, 2, FALSE)</f>
        <v>Publicidade</v>
      </c>
      <c r="E2775" s="4">
        <v>42432.906288099999</v>
      </c>
      <c r="F2775" s="4">
        <v>105591478.3559995</v>
      </c>
    </row>
    <row r="2776" spans="1:6" x14ac:dyDescent="0.3">
      <c r="A2776" s="3" t="s">
        <v>20</v>
      </c>
      <c r="B2776" s="7" t="str">
        <f>VLOOKUP(VALUE(A2776), 'DICIONÁRIO UF'!$A:$B, 2, FALSE)</f>
        <v>Minas Gerais</v>
      </c>
      <c r="C2776" s="3">
        <v>73020</v>
      </c>
      <c r="D2776" s="5" t="str">
        <f>VLOOKUP(C2776, 'DICIONÁRIO CNAES'!$A:$B, 2, FALSE)</f>
        <v>Pesquisas de mercado e opinião pública</v>
      </c>
      <c r="E2776" s="4">
        <v>2492.0586285099998</v>
      </c>
      <c r="F2776" s="4">
        <v>9928601.0673370007</v>
      </c>
    </row>
    <row r="2777" spans="1:6" x14ac:dyDescent="0.3">
      <c r="A2777" s="3" t="s">
        <v>20</v>
      </c>
      <c r="B2777" s="7" t="str">
        <f>VLOOKUP(VALUE(A2777), 'DICIONÁRIO UF'!$A:$B, 2, FALSE)</f>
        <v>Minas Gerais</v>
      </c>
      <c r="C2777" s="3">
        <v>74000</v>
      </c>
      <c r="D2777" s="5" t="str">
        <f>VLOOKUP(C2777, 'DICIONÁRIO CNAES'!$A:$B, 2, FALSE)</f>
        <v>Outras atividades profissionais, científicas e técnicas não especificadas anteriormente</v>
      </c>
      <c r="E2777" s="4">
        <v>28678.762223599999</v>
      </c>
      <c r="F2777" s="4">
        <v>63098423.3873</v>
      </c>
    </row>
    <row r="2778" spans="1:6" x14ac:dyDescent="0.3">
      <c r="A2778" s="3" t="s">
        <v>20</v>
      </c>
      <c r="B2778" s="7" t="str">
        <f>VLOOKUP(VALUE(A2778), 'DICIONÁRIO UF'!$A:$B, 2, FALSE)</f>
        <v>Minas Gerais</v>
      </c>
      <c r="C2778" s="3">
        <v>75000</v>
      </c>
      <c r="D2778" s="5" t="str">
        <f>VLOOKUP(C2778, 'DICIONÁRIO CNAES'!$A:$B, 2, FALSE)</f>
        <v>Atividades veterinárias</v>
      </c>
      <c r="E2778" s="4">
        <v>15759.97041892</v>
      </c>
      <c r="F2778" s="4">
        <v>36884409.830082901</v>
      </c>
    </row>
    <row r="2779" spans="1:6" x14ac:dyDescent="0.3">
      <c r="A2779" s="3" t="s">
        <v>20</v>
      </c>
      <c r="B2779" s="7" t="str">
        <f>VLOOKUP(VALUE(A2779), 'DICIONÁRIO UF'!$A:$B, 2, FALSE)</f>
        <v>Minas Gerais</v>
      </c>
      <c r="C2779" s="3">
        <v>77010</v>
      </c>
      <c r="D2779" s="5" t="str">
        <f>VLOOKUP(C2779, 'DICIONÁRIO CNAES'!$A:$B, 2, FALSE)</f>
        <v>Aluguel de objetos pessoais e domésticos</v>
      </c>
      <c r="E2779" s="4">
        <v>8832.2697113800004</v>
      </c>
      <c r="F2779" s="4">
        <v>27014101.451933019</v>
      </c>
    </row>
    <row r="2780" spans="1:6" x14ac:dyDescent="0.3">
      <c r="A2780" s="3" t="s">
        <v>20</v>
      </c>
      <c r="B2780" s="7" t="str">
        <f>VLOOKUP(VALUE(A2780), 'DICIONÁRIO UF'!$A:$B, 2, FALSE)</f>
        <v>Minas Gerais</v>
      </c>
      <c r="C2780" s="3">
        <v>77020</v>
      </c>
      <c r="D2780" s="5" t="str">
        <f>VLOOKUP(C2780, 'DICIONÁRIO CNAES'!$A:$B, 2, FALSE)</f>
        <v>Aluguel de meios de transportes, maquinas e equipamentos sem operador e gestão de ativos intangíveis não financeiros</v>
      </c>
      <c r="E2780" s="4">
        <v>28777.459362720001</v>
      </c>
      <c r="F2780" s="4">
        <v>81520591.062225908</v>
      </c>
    </row>
    <row r="2781" spans="1:6" x14ac:dyDescent="0.3">
      <c r="A2781" s="3" t="s">
        <v>20</v>
      </c>
      <c r="B2781" s="7" t="str">
        <f>VLOOKUP(VALUE(A2781), 'DICIONÁRIO UF'!$A:$B, 2, FALSE)</f>
        <v>Minas Gerais</v>
      </c>
      <c r="C2781" s="3">
        <v>78000</v>
      </c>
      <c r="D2781" s="5" t="str">
        <f>VLOOKUP(C2781, 'DICIONÁRIO CNAES'!$A:$B, 2, FALSE)</f>
        <v>Seleção, agenciamento e locação de mão-de-obra</v>
      </c>
      <c r="E2781" s="4">
        <v>71324.438691830001</v>
      </c>
      <c r="F2781" s="4">
        <v>131202425.83875319</v>
      </c>
    </row>
    <row r="2782" spans="1:6" x14ac:dyDescent="0.3">
      <c r="A2782" s="3" t="s">
        <v>20</v>
      </c>
      <c r="B2782" s="7" t="str">
        <f>VLOOKUP(VALUE(A2782), 'DICIONÁRIO UF'!$A:$B, 2, FALSE)</f>
        <v>Minas Gerais</v>
      </c>
      <c r="C2782" s="3">
        <v>79000</v>
      </c>
      <c r="D2782" s="5" t="str">
        <f>VLOOKUP(C2782, 'DICIONÁRIO CNAES'!$A:$B, 2, FALSE)</f>
        <v>Agências de viagens, operadores turísticos e serviços de reservas</v>
      </c>
      <c r="E2782" s="4">
        <v>7306.5974204899994</v>
      </c>
      <c r="F2782" s="4">
        <v>19050827.358665001</v>
      </c>
    </row>
    <row r="2783" spans="1:6" x14ac:dyDescent="0.3">
      <c r="A2783" s="3" t="s">
        <v>20</v>
      </c>
      <c r="B2783" s="7" t="str">
        <f>VLOOKUP(VALUE(A2783), 'DICIONÁRIO UF'!$A:$B, 2, FALSE)</f>
        <v>Minas Gerais</v>
      </c>
      <c r="C2783" s="3">
        <v>80000</v>
      </c>
      <c r="D2783" s="5" t="str">
        <f>VLOOKUP(C2783, 'DICIONÁRIO CNAES'!$A:$B, 2, FALSE)</f>
        <v>Atividades de vigilância, segurança, transporte de valores e investigação</v>
      </c>
      <c r="E2783" s="4">
        <v>41485.798137880003</v>
      </c>
      <c r="F2783" s="4">
        <v>95975490.634031802</v>
      </c>
    </row>
    <row r="2784" spans="1:6" x14ac:dyDescent="0.3">
      <c r="A2784" s="3" t="s">
        <v>20</v>
      </c>
      <c r="B2784" s="7" t="str">
        <f>VLOOKUP(VALUE(A2784), 'DICIONÁRIO UF'!$A:$B, 2, FALSE)</f>
        <v>Minas Gerais</v>
      </c>
      <c r="C2784" s="3">
        <v>81011</v>
      </c>
      <c r="D2784" s="5" t="str">
        <f>VLOOKUP(C2784, 'DICIONÁRIO CNAES'!$A:$B, 2, FALSE)</f>
        <v>Serviços de limpeza e de apoio a edifícios, exceto condomínios prediais</v>
      </c>
      <c r="E2784" s="4">
        <v>82081.072848059994</v>
      </c>
      <c r="F2784" s="4">
        <v>97186069.450559288</v>
      </c>
    </row>
    <row r="2785" spans="1:6" x14ac:dyDescent="0.3">
      <c r="A2785" s="3" t="s">
        <v>20</v>
      </c>
      <c r="B2785" s="7" t="str">
        <f>VLOOKUP(VALUE(A2785), 'DICIONÁRIO UF'!$A:$B, 2, FALSE)</f>
        <v>Minas Gerais</v>
      </c>
      <c r="C2785" s="3">
        <v>81012</v>
      </c>
      <c r="D2785" s="5" t="str">
        <f>VLOOKUP(C2785, 'DICIONÁRIO CNAES'!$A:$B, 2, FALSE)</f>
        <v>Condomínios prediais</v>
      </c>
      <c r="E2785" s="4">
        <v>23400.335618770001</v>
      </c>
      <c r="F2785" s="4">
        <v>38932801.632520713</v>
      </c>
    </row>
    <row r="2786" spans="1:6" x14ac:dyDescent="0.3">
      <c r="A2786" s="3" t="s">
        <v>20</v>
      </c>
      <c r="B2786" s="7" t="str">
        <f>VLOOKUP(VALUE(A2786), 'DICIONÁRIO UF'!$A:$B, 2, FALSE)</f>
        <v>Minas Gerais</v>
      </c>
      <c r="C2786" s="3">
        <v>81020</v>
      </c>
      <c r="D2786" s="5" t="str">
        <f>VLOOKUP(C2786, 'DICIONÁRIO CNAES'!$A:$B, 2, FALSE)</f>
        <v>Atividades paisagísticas</v>
      </c>
      <c r="E2786" s="4">
        <v>2833.3207527599998</v>
      </c>
      <c r="F2786" s="4">
        <v>4400541.7386106001</v>
      </c>
    </row>
    <row r="2787" spans="1:6" x14ac:dyDescent="0.3">
      <c r="A2787" s="3" t="s">
        <v>20</v>
      </c>
      <c r="B2787" s="7" t="str">
        <f>VLOOKUP(VALUE(A2787), 'DICIONÁRIO UF'!$A:$B, 2, FALSE)</f>
        <v>Minas Gerais</v>
      </c>
      <c r="C2787" s="3">
        <v>82001</v>
      </c>
      <c r="D2787" s="5" t="str">
        <f>VLOOKUP(C2787, 'DICIONÁRIO CNAES'!$A:$B, 2, FALSE)</f>
        <v>Serviços de escritório e apoio administrativo</v>
      </c>
      <c r="E2787" s="4">
        <v>2745.83084469</v>
      </c>
      <c r="F2787" s="4">
        <v>3921069.2839660002</v>
      </c>
    </row>
    <row r="2788" spans="1:6" x14ac:dyDescent="0.3">
      <c r="A2788" s="3" t="s">
        <v>20</v>
      </c>
      <c r="B2788" s="7" t="str">
        <f>VLOOKUP(VALUE(A2788), 'DICIONÁRIO UF'!$A:$B, 2, FALSE)</f>
        <v>Minas Gerais</v>
      </c>
      <c r="C2788" s="3">
        <v>82002</v>
      </c>
      <c r="D2788" s="5" t="str">
        <f>VLOOKUP(C2788, 'DICIONÁRIO CNAES'!$A:$B, 2, FALSE)</f>
        <v>Atividades de teleatendimento</v>
      </c>
      <c r="E2788" s="4">
        <v>30745.075549239999</v>
      </c>
      <c r="F2788" s="4">
        <v>61593992.051024981</v>
      </c>
    </row>
    <row r="2789" spans="1:6" x14ac:dyDescent="0.3">
      <c r="A2789" s="3" t="s">
        <v>20</v>
      </c>
      <c r="B2789" s="7" t="str">
        <f>VLOOKUP(VALUE(A2789), 'DICIONÁRIO UF'!$A:$B, 2, FALSE)</f>
        <v>Minas Gerais</v>
      </c>
      <c r="C2789" s="3">
        <v>82003</v>
      </c>
      <c r="D2789" s="5" t="str">
        <f>VLOOKUP(C2789, 'DICIONÁRIO CNAES'!$A:$B, 2, FALSE)</f>
        <v>Atividades de organização de eventos, exceto culturais e esportivos</v>
      </c>
      <c r="E2789" s="4">
        <v>3069.1844873599998</v>
      </c>
      <c r="F2789" s="4">
        <v>14549485.609004</v>
      </c>
    </row>
    <row r="2790" spans="1:6" x14ac:dyDescent="0.3">
      <c r="A2790" s="3" t="s">
        <v>20</v>
      </c>
      <c r="B2790" s="7" t="str">
        <f>VLOOKUP(VALUE(A2790), 'DICIONÁRIO UF'!$A:$B, 2, FALSE)</f>
        <v>Minas Gerais</v>
      </c>
      <c r="C2790" s="3">
        <v>82009</v>
      </c>
      <c r="D2790" s="5" t="str">
        <f>VLOOKUP(C2790, 'DICIONÁRIO CNAES'!$A:$B, 2, FALSE)</f>
        <v>Outras atividades de serviços prestados principalmente às empresas</v>
      </c>
      <c r="E2790" s="4">
        <v>17797.124808550001</v>
      </c>
      <c r="F2790" s="4">
        <v>40349069.634194002</v>
      </c>
    </row>
    <row r="2791" spans="1:6" x14ac:dyDescent="0.3">
      <c r="A2791" s="3" t="s">
        <v>20</v>
      </c>
      <c r="B2791" s="7" t="str">
        <f>VLOOKUP(VALUE(A2791), 'DICIONÁRIO UF'!$A:$B, 2, FALSE)</f>
        <v>Minas Gerais</v>
      </c>
      <c r="C2791" s="3">
        <v>84011</v>
      </c>
      <c r="D2791" s="5" t="str">
        <f>VLOOKUP(C2791, 'DICIONÁRIO CNAES'!$A:$B, 2, FALSE)</f>
        <v>Administração publica e regulação da política econômica e social - Federal</v>
      </c>
      <c r="E2791" s="4">
        <v>13738.31331662</v>
      </c>
      <c r="F2791" s="4">
        <v>125428952.5788568</v>
      </c>
    </row>
    <row r="2792" spans="1:6" x14ac:dyDescent="0.3">
      <c r="A2792" s="3" t="s">
        <v>20</v>
      </c>
      <c r="B2792" s="7" t="str">
        <f>VLOOKUP(VALUE(A2792), 'DICIONÁRIO UF'!$A:$B, 2, FALSE)</f>
        <v>Minas Gerais</v>
      </c>
      <c r="C2792" s="3">
        <v>84012</v>
      </c>
      <c r="D2792" s="5" t="str">
        <f>VLOOKUP(C2792, 'DICIONÁRIO CNAES'!$A:$B, 2, FALSE)</f>
        <v>Administração publica e regulação da política econômica e social - Estadual</v>
      </c>
      <c r="E2792" s="4">
        <v>38433.083743329997</v>
      </c>
      <c r="F2792" s="4">
        <v>284630927.84920442</v>
      </c>
    </row>
    <row r="2793" spans="1:6" x14ac:dyDescent="0.3">
      <c r="A2793" s="3" t="s">
        <v>20</v>
      </c>
      <c r="B2793" s="7" t="str">
        <f>VLOOKUP(VALUE(A2793), 'DICIONÁRIO UF'!$A:$B, 2, FALSE)</f>
        <v>Minas Gerais</v>
      </c>
      <c r="C2793" s="3">
        <v>84013</v>
      </c>
      <c r="D2793" s="5" t="str">
        <f>VLOOKUP(C2793, 'DICIONÁRIO CNAES'!$A:$B, 2, FALSE)</f>
        <v>Administração publica e regulação da política econômica e social - Municipal</v>
      </c>
      <c r="E2793" s="4">
        <v>297568.85545615002</v>
      </c>
      <c r="F2793" s="4">
        <v>709987310.67315054</v>
      </c>
    </row>
    <row r="2794" spans="1:6" x14ac:dyDescent="0.3">
      <c r="A2794" s="3" t="s">
        <v>20</v>
      </c>
      <c r="B2794" s="7" t="str">
        <f>VLOOKUP(VALUE(A2794), 'DICIONÁRIO UF'!$A:$B, 2, FALSE)</f>
        <v>Minas Gerais</v>
      </c>
      <c r="C2794" s="3">
        <v>84014</v>
      </c>
      <c r="D2794" s="5" t="str">
        <f>VLOOKUP(C2794, 'DICIONÁRIO CNAES'!$A:$B, 2, FALSE)</f>
        <v>Defesa</v>
      </c>
      <c r="E2794" s="4">
        <v>8101.9516143299998</v>
      </c>
      <c r="F2794" s="4">
        <v>43040772.059025601</v>
      </c>
    </row>
    <row r="2795" spans="1:6" x14ac:dyDescent="0.3">
      <c r="A2795" s="3" t="s">
        <v>20</v>
      </c>
      <c r="B2795" s="7" t="str">
        <f>VLOOKUP(VALUE(A2795), 'DICIONÁRIO UF'!$A:$B, 2, FALSE)</f>
        <v>Minas Gerais</v>
      </c>
      <c r="C2795" s="3">
        <v>84015</v>
      </c>
      <c r="D2795" s="5" t="str">
        <f>VLOOKUP(C2795, 'DICIONÁRIO CNAES'!$A:$B, 2, FALSE)</f>
        <v>Outros serviços coletivos prestados pela administração pública - Federal</v>
      </c>
      <c r="E2795" s="4">
        <v>6892.6792473200003</v>
      </c>
      <c r="F2795" s="4">
        <v>87141814.79587853</v>
      </c>
    </row>
    <row r="2796" spans="1:6" x14ac:dyDescent="0.3">
      <c r="A2796" s="3" t="s">
        <v>20</v>
      </c>
      <c r="B2796" s="7" t="str">
        <f>VLOOKUP(VALUE(A2796), 'DICIONÁRIO UF'!$A:$B, 2, FALSE)</f>
        <v>Minas Gerais</v>
      </c>
      <c r="C2796" s="3">
        <v>84016</v>
      </c>
      <c r="D2796" s="5" t="str">
        <f>VLOOKUP(C2796, 'DICIONÁRIO CNAES'!$A:$B, 2, FALSE)</f>
        <v>Outros serviços coletivos prestados pela administração pública - Estadual</v>
      </c>
      <c r="E2796" s="4">
        <v>106093.14151993</v>
      </c>
      <c r="F2796" s="4">
        <v>682071445.04115355</v>
      </c>
    </row>
    <row r="2797" spans="1:6" x14ac:dyDescent="0.3">
      <c r="A2797" s="3" t="s">
        <v>20</v>
      </c>
      <c r="B2797" s="7" t="str">
        <f>VLOOKUP(VALUE(A2797), 'DICIONÁRIO UF'!$A:$B, 2, FALSE)</f>
        <v>Minas Gerais</v>
      </c>
      <c r="C2797" s="3">
        <v>84017</v>
      </c>
      <c r="D2797" s="5" t="str">
        <f>VLOOKUP(C2797, 'DICIONÁRIO CNAES'!$A:$B, 2, FALSE)</f>
        <v>Outros serviços coletivos prestados pela administração pública - Municipal</v>
      </c>
      <c r="E2797" s="4">
        <v>4255.5839678100001</v>
      </c>
      <c r="F2797" s="4">
        <v>6974895.9648099998</v>
      </c>
    </row>
    <row r="2798" spans="1:6" x14ac:dyDescent="0.3">
      <c r="A2798" s="3" t="s">
        <v>20</v>
      </c>
      <c r="B2798" s="7" t="str">
        <f>VLOOKUP(VALUE(A2798), 'DICIONÁRIO UF'!$A:$B, 2, FALSE)</f>
        <v>Minas Gerais</v>
      </c>
      <c r="C2798" s="3">
        <v>84020</v>
      </c>
      <c r="D2798" s="5" t="str">
        <f>VLOOKUP(C2798, 'DICIONÁRIO CNAES'!$A:$B, 2, FALSE)</f>
        <v>Seguridade social obrigatória</v>
      </c>
      <c r="E2798" s="4">
        <v>4935.97791607</v>
      </c>
      <c r="F2798" s="4">
        <v>26676598.007642001</v>
      </c>
    </row>
    <row r="2799" spans="1:6" x14ac:dyDescent="0.3">
      <c r="A2799" s="3" t="s">
        <v>20</v>
      </c>
      <c r="B2799" s="7" t="str">
        <f>VLOOKUP(VALUE(A2799), 'DICIONÁRIO UF'!$A:$B, 2, FALSE)</f>
        <v>Minas Gerais</v>
      </c>
      <c r="C2799" s="3">
        <v>85011</v>
      </c>
      <c r="D2799" s="5" t="str">
        <f>VLOOKUP(C2799, 'DICIONÁRIO CNAES'!$A:$B, 2, FALSE)</f>
        <v>Creche</v>
      </c>
      <c r="E2799" s="4">
        <v>36578.33012662</v>
      </c>
      <c r="F2799" s="4">
        <v>59609495.521224342</v>
      </c>
    </row>
    <row r="2800" spans="1:6" x14ac:dyDescent="0.3">
      <c r="A2800" s="3" t="s">
        <v>20</v>
      </c>
      <c r="B2800" s="7" t="str">
        <f>VLOOKUP(VALUE(A2800), 'DICIONÁRIO UF'!$A:$B, 2, FALSE)</f>
        <v>Minas Gerais</v>
      </c>
      <c r="C2800" s="3">
        <v>85012</v>
      </c>
      <c r="D2800" s="5" t="str">
        <f>VLOOKUP(C2800, 'DICIONÁRIO CNAES'!$A:$B, 2, FALSE)</f>
        <v>Pré-escola e ensino fundamental</v>
      </c>
      <c r="E2800" s="4">
        <v>307956.38616927998</v>
      </c>
      <c r="F2800" s="4">
        <v>816852630.74710786</v>
      </c>
    </row>
    <row r="2801" spans="1:6" x14ac:dyDescent="0.3">
      <c r="A2801" s="3" t="s">
        <v>20</v>
      </c>
      <c r="B2801" s="7" t="str">
        <f>VLOOKUP(VALUE(A2801), 'DICIONÁRIO UF'!$A:$B, 2, FALSE)</f>
        <v>Minas Gerais</v>
      </c>
      <c r="C2801" s="3">
        <v>85013</v>
      </c>
      <c r="D2801" s="5" t="str">
        <f>VLOOKUP(C2801, 'DICIONÁRIO CNAES'!$A:$B, 2, FALSE)</f>
        <v>Ensino médio</v>
      </c>
      <c r="E2801" s="4">
        <v>137476.6169272</v>
      </c>
      <c r="F2801" s="4">
        <v>398527340.55807197</v>
      </c>
    </row>
    <row r="2802" spans="1:6" x14ac:dyDescent="0.3">
      <c r="A2802" s="3" t="s">
        <v>20</v>
      </c>
      <c r="B2802" s="7" t="str">
        <f>VLOOKUP(VALUE(A2802), 'DICIONÁRIO UF'!$A:$B, 2, FALSE)</f>
        <v>Minas Gerais</v>
      </c>
      <c r="C2802" s="3">
        <v>85014</v>
      </c>
      <c r="D2802" s="5" t="str">
        <f>VLOOKUP(C2802, 'DICIONÁRIO CNAES'!$A:$B, 2, FALSE)</f>
        <v>Educação superior</v>
      </c>
      <c r="E2802" s="4">
        <v>59632.70739499</v>
      </c>
      <c r="F2802" s="4">
        <v>261820145.70300809</v>
      </c>
    </row>
    <row r="2803" spans="1:6" x14ac:dyDescent="0.3">
      <c r="A2803" s="3" t="s">
        <v>20</v>
      </c>
      <c r="B2803" s="7" t="str">
        <f>VLOOKUP(VALUE(A2803), 'DICIONÁRIO UF'!$A:$B, 2, FALSE)</f>
        <v>Minas Gerais</v>
      </c>
      <c r="C2803" s="3">
        <v>85021</v>
      </c>
      <c r="D2803" s="5" t="str">
        <f>VLOOKUP(C2803, 'DICIONÁRIO CNAES'!$A:$B, 2, FALSE)</f>
        <v>Serviços auxiliares à educação</v>
      </c>
      <c r="E2803" s="4">
        <v>3051.4394060499999</v>
      </c>
      <c r="F2803" s="4">
        <v>22531581.014159001</v>
      </c>
    </row>
    <row r="2804" spans="1:6" x14ac:dyDescent="0.3">
      <c r="A2804" s="3" t="s">
        <v>20</v>
      </c>
      <c r="B2804" s="7" t="str">
        <f>VLOOKUP(VALUE(A2804), 'DICIONÁRIO UF'!$A:$B, 2, FALSE)</f>
        <v>Minas Gerais</v>
      </c>
      <c r="C2804" s="3">
        <v>85029</v>
      </c>
      <c r="D2804" s="5" t="str">
        <f>VLOOKUP(C2804, 'DICIONÁRIO CNAES'!$A:$B, 2, FALSE)</f>
        <v>Outras atividades de ensino</v>
      </c>
      <c r="E2804" s="4">
        <v>78714.40903671</v>
      </c>
      <c r="F2804" s="4">
        <v>158987543.62674621</v>
      </c>
    </row>
    <row r="2805" spans="1:6" x14ac:dyDescent="0.3">
      <c r="A2805" s="3" t="s">
        <v>20</v>
      </c>
      <c r="B2805" s="7" t="str">
        <f>VLOOKUP(VALUE(A2805), 'DICIONÁRIO UF'!$A:$B, 2, FALSE)</f>
        <v>Minas Gerais</v>
      </c>
      <c r="C2805" s="3">
        <v>86001</v>
      </c>
      <c r="D2805" s="5" t="str">
        <f>VLOOKUP(C2805, 'DICIONÁRIO CNAES'!$A:$B, 2, FALSE)</f>
        <v>Atividades de atendimento hospitalar</v>
      </c>
      <c r="E2805" s="4">
        <v>191029.14512425</v>
      </c>
      <c r="F2805" s="4">
        <v>581551336.61162281</v>
      </c>
    </row>
    <row r="2806" spans="1:6" x14ac:dyDescent="0.3">
      <c r="A2806" s="3" t="s">
        <v>20</v>
      </c>
      <c r="B2806" s="7" t="str">
        <f>VLOOKUP(VALUE(A2806), 'DICIONÁRIO UF'!$A:$B, 2, FALSE)</f>
        <v>Minas Gerais</v>
      </c>
      <c r="C2806" s="3">
        <v>86002</v>
      </c>
      <c r="D2806" s="5" t="str">
        <f>VLOOKUP(C2806, 'DICIONÁRIO CNAES'!$A:$B, 2, FALSE)</f>
        <v>Atividades de atenção ambulatorial executadas por médicos e odontólogos</v>
      </c>
      <c r="E2806" s="4">
        <v>192422.41531059999</v>
      </c>
      <c r="F2806" s="4">
        <v>646672030.19249749</v>
      </c>
    </row>
    <row r="2807" spans="1:6" x14ac:dyDescent="0.3">
      <c r="A2807" s="3" t="s">
        <v>20</v>
      </c>
      <c r="B2807" s="7" t="str">
        <f>VLOOKUP(VALUE(A2807), 'DICIONÁRIO UF'!$A:$B, 2, FALSE)</f>
        <v>Minas Gerais</v>
      </c>
      <c r="C2807" s="3">
        <v>86003</v>
      </c>
      <c r="D2807" s="5" t="str">
        <f>VLOOKUP(C2807, 'DICIONÁRIO CNAES'!$A:$B, 2, FALSE)</f>
        <v>Atividades de serviços de complementação diagnóstica e terapêutica</v>
      </c>
      <c r="E2807" s="4">
        <v>29544.75244507</v>
      </c>
      <c r="F2807" s="4">
        <v>107937418.968894</v>
      </c>
    </row>
    <row r="2808" spans="1:6" x14ac:dyDescent="0.3">
      <c r="A2808" s="3" t="s">
        <v>20</v>
      </c>
      <c r="B2808" s="7" t="str">
        <f>VLOOKUP(VALUE(A2808), 'DICIONÁRIO UF'!$A:$B, 2, FALSE)</f>
        <v>Minas Gerais</v>
      </c>
      <c r="C2808" s="3">
        <v>86004</v>
      </c>
      <c r="D2808" s="5" t="str">
        <f>VLOOKUP(C2808, 'DICIONÁRIO CNAES'!$A:$B, 2, FALSE)</f>
        <v>Atividades de profissionais da área de saúde, exceto médicos e odontólogos</v>
      </c>
      <c r="E2808" s="4">
        <v>56842.05028666</v>
      </c>
      <c r="F2808" s="4">
        <v>164610796.16710919</v>
      </c>
    </row>
    <row r="2809" spans="1:6" x14ac:dyDescent="0.3">
      <c r="A2809" s="3" t="s">
        <v>20</v>
      </c>
      <c r="B2809" s="7" t="str">
        <f>VLOOKUP(VALUE(A2809), 'DICIONÁRIO UF'!$A:$B, 2, FALSE)</f>
        <v>Minas Gerais</v>
      </c>
      <c r="C2809" s="3">
        <v>86009</v>
      </c>
      <c r="D2809" s="5" t="str">
        <f>VLOOKUP(C2809, 'DICIONÁRIO CNAES'!$A:$B, 2, FALSE)</f>
        <v>Atividades de atenção à saúde humana não especificadas anteriormente</v>
      </c>
      <c r="E2809" s="4">
        <v>6939.4304467399998</v>
      </c>
      <c r="F2809" s="4">
        <v>10417223.43478485</v>
      </c>
    </row>
    <row r="2810" spans="1:6" x14ac:dyDescent="0.3">
      <c r="A2810" s="3" t="s">
        <v>20</v>
      </c>
      <c r="B2810" s="7" t="str">
        <f>VLOOKUP(VALUE(A2810), 'DICIONÁRIO UF'!$A:$B, 2, FALSE)</f>
        <v>Minas Gerais</v>
      </c>
      <c r="C2810" s="3">
        <v>87000</v>
      </c>
      <c r="D2810" s="5" t="str">
        <f>VLOOKUP(C2810, 'DICIONÁRIO CNAES'!$A:$B, 2, FALSE)</f>
        <v>Atividades de assistência à saude humana integradas com assistencia social, inclusive prestadas em residencias</v>
      </c>
      <c r="E2810" s="4">
        <v>22145.919234929999</v>
      </c>
      <c r="F2810" s="4">
        <v>41213829.641102098</v>
      </c>
    </row>
    <row r="2811" spans="1:6" x14ac:dyDescent="0.3">
      <c r="A2811" s="3" t="s">
        <v>20</v>
      </c>
      <c r="B2811" s="7" t="str">
        <f>VLOOKUP(VALUE(A2811), 'DICIONÁRIO UF'!$A:$B, 2, FALSE)</f>
        <v>Minas Gerais</v>
      </c>
      <c r="C2811" s="3">
        <v>88000</v>
      </c>
      <c r="D2811" s="5" t="str">
        <f>VLOOKUP(C2811, 'DICIONÁRIO CNAES'!$A:$B, 2, FALSE)</f>
        <v>Serviços de assistência social sem alojamento</v>
      </c>
      <c r="E2811" s="4">
        <v>7890.9475684199997</v>
      </c>
      <c r="F2811" s="4">
        <v>20899794.777357001</v>
      </c>
    </row>
    <row r="2812" spans="1:6" x14ac:dyDescent="0.3">
      <c r="A2812" s="3" t="s">
        <v>20</v>
      </c>
      <c r="B2812" s="7" t="str">
        <f>VLOOKUP(VALUE(A2812), 'DICIONÁRIO UF'!$A:$B, 2, FALSE)</f>
        <v>Minas Gerais</v>
      </c>
      <c r="C2812" s="3">
        <v>90000</v>
      </c>
      <c r="D2812" s="5" t="str">
        <f>VLOOKUP(C2812, 'DICIONÁRIO CNAES'!$A:$B, 2, FALSE)</f>
        <v>Atividades artísticas, criativas e de espetáculos</v>
      </c>
      <c r="E2812" s="4">
        <v>22949.241262439999</v>
      </c>
      <c r="F2812" s="4">
        <v>44974327.700372502</v>
      </c>
    </row>
    <row r="2813" spans="1:6" x14ac:dyDescent="0.3">
      <c r="A2813" s="3" t="s">
        <v>20</v>
      </c>
      <c r="B2813" s="7" t="str">
        <f>VLOOKUP(VALUE(A2813), 'DICIONÁRIO UF'!$A:$B, 2, FALSE)</f>
        <v>Minas Gerais</v>
      </c>
      <c r="C2813" s="3">
        <v>91000</v>
      </c>
      <c r="D2813" s="5" t="str">
        <f>VLOOKUP(C2813, 'DICIONÁRIO CNAES'!$A:$B, 2, FALSE)</f>
        <v>Atividades ligadas ao patrimônio cultural e ambiental</v>
      </c>
      <c r="E2813" s="4">
        <v>1979.2783893200001</v>
      </c>
      <c r="F2813" s="4">
        <v>5083761.487671</v>
      </c>
    </row>
    <row r="2814" spans="1:6" x14ac:dyDescent="0.3">
      <c r="A2814" s="3" t="s">
        <v>20</v>
      </c>
      <c r="B2814" s="7" t="str">
        <f>VLOOKUP(VALUE(A2814), 'DICIONÁRIO UF'!$A:$B, 2, FALSE)</f>
        <v>Minas Gerais</v>
      </c>
      <c r="C2814" s="3">
        <v>92000</v>
      </c>
      <c r="D2814" s="5" t="str">
        <f>VLOOKUP(C2814, 'DICIONÁRIO CNAES'!$A:$B, 2, FALSE)</f>
        <v>Atividades de exploração de jogos de azar e apostas</v>
      </c>
      <c r="E2814" s="4">
        <v>2081.9675332800002</v>
      </c>
      <c r="F2814" s="4">
        <v>6422966.3728649998</v>
      </c>
    </row>
    <row r="2815" spans="1:6" x14ac:dyDescent="0.3">
      <c r="A2815" s="3" t="s">
        <v>20</v>
      </c>
      <c r="B2815" s="7" t="str">
        <f>VLOOKUP(VALUE(A2815), 'DICIONÁRIO UF'!$A:$B, 2, FALSE)</f>
        <v>Minas Gerais</v>
      </c>
      <c r="C2815" s="3">
        <v>93011</v>
      </c>
      <c r="D2815" s="5" t="str">
        <f>VLOOKUP(C2815, 'DICIONÁRIO CNAES'!$A:$B, 2, FALSE)</f>
        <v>Atividades esportivas</v>
      </c>
      <c r="E2815" s="4">
        <v>10479.50670038</v>
      </c>
      <c r="F2815" s="4">
        <v>26772680.614340998</v>
      </c>
    </row>
    <row r="2816" spans="1:6" x14ac:dyDescent="0.3">
      <c r="A2816" s="3" t="s">
        <v>20</v>
      </c>
      <c r="B2816" s="7" t="str">
        <f>VLOOKUP(VALUE(A2816), 'DICIONÁRIO UF'!$A:$B, 2, FALSE)</f>
        <v>Minas Gerais</v>
      </c>
      <c r="C2816" s="3">
        <v>93012</v>
      </c>
      <c r="D2816" s="5" t="str">
        <f>VLOOKUP(C2816, 'DICIONÁRIO CNAES'!$A:$B, 2, FALSE)</f>
        <v>Atividades de condicionamento físico</v>
      </c>
      <c r="E2816" s="4">
        <v>42131.388216209998</v>
      </c>
      <c r="F2816" s="4">
        <v>83081077.897989005</v>
      </c>
    </row>
    <row r="2817" spans="1:6" x14ac:dyDescent="0.3">
      <c r="A2817" s="3" t="s">
        <v>20</v>
      </c>
      <c r="B2817" s="7" t="str">
        <f>VLOOKUP(VALUE(A2817), 'DICIONÁRIO UF'!$A:$B, 2, FALSE)</f>
        <v>Minas Gerais</v>
      </c>
      <c r="C2817" s="3">
        <v>93020</v>
      </c>
      <c r="D2817" s="5" t="str">
        <f>VLOOKUP(C2817, 'DICIONÁRIO CNAES'!$A:$B, 2, FALSE)</f>
        <v>Atividades de recreação e lazer</v>
      </c>
      <c r="E2817" s="4">
        <v>6853.6980545200004</v>
      </c>
      <c r="F2817" s="4">
        <v>12983038.186414</v>
      </c>
    </row>
    <row r="2818" spans="1:6" x14ac:dyDescent="0.3">
      <c r="A2818" s="3" t="s">
        <v>20</v>
      </c>
      <c r="B2818" s="7" t="str">
        <f>VLOOKUP(VALUE(A2818), 'DICIONÁRIO UF'!$A:$B, 2, FALSE)</f>
        <v>Minas Gerais</v>
      </c>
      <c r="C2818" s="3">
        <v>94010</v>
      </c>
      <c r="D2818" s="5" t="str">
        <f>VLOOKUP(C2818, 'DICIONÁRIO CNAES'!$A:$B, 2, FALSE)</f>
        <v>Atividades de organizações associativas patronais, empresariais e profissionais</v>
      </c>
      <c r="E2818" s="4">
        <v>7856.1259887799997</v>
      </c>
      <c r="F2818" s="4">
        <v>23988179.16223916</v>
      </c>
    </row>
    <row r="2819" spans="1:6" x14ac:dyDescent="0.3">
      <c r="A2819" s="3" t="s">
        <v>20</v>
      </c>
      <c r="B2819" s="7" t="str">
        <f>VLOOKUP(VALUE(A2819), 'DICIONÁRIO UF'!$A:$B, 2, FALSE)</f>
        <v>Minas Gerais</v>
      </c>
      <c r="C2819" s="3">
        <v>94020</v>
      </c>
      <c r="D2819" s="5" t="str">
        <f>VLOOKUP(C2819, 'DICIONÁRIO CNAES'!$A:$B, 2, FALSE)</f>
        <v>Atividades de organizações sindicais</v>
      </c>
      <c r="E2819" s="4">
        <v>698.61597362999998</v>
      </c>
      <c r="F2819" s="4">
        <v>2064902.39955</v>
      </c>
    </row>
    <row r="2820" spans="1:6" x14ac:dyDescent="0.3">
      <c r="A2820" s="3" t="s">
        <v>20</v>
      </c>
      <c r="B2820" s="7" t="str">
        <f>VLOOKUP(VALUE(A2820), 'DICIONÁRIO UF'!$A:$B, 2, FALSE)</f>
        <v>Minas Gerais</v>
      </c>
      <c r="C2820" s="3">
        <v>94091</v>
      </c>
      <c r="D2820" s="5" t="str">
        <f>VLOOKUP(C2820, 'DICIONÁRIO CNAES'!$A:$B, 2, FALSE)</f>
        <v>Atividades de organizações religiosas e filosóficas</v>
      </c>
      <c r="E2820" s="4">
        <v>25676.515964580001</v>
      </c>
      <c r="F2820" s="4">
        <v>38007065.809031077</v>
      </c>
    </row>
    <row r="2821" spans="1:6" x14ac:dyDescent="0.3">
      <c r="A2821" s="3" t="s">
        <v>20</v>
      </c>
      <c r="B2821" s="7" t="str">
        <f>VLOOKUP(VALUE(A2821), 'DICIONÁRIO UF'!$A:$B, 2, FALSE)</f>
        <v>Minas Gerais</v>
      </c>
      <c r="C2821" s="3">
        <v>94099</v>
      </c>
      <c r="D2821" s="5" t="str">
        <f>VLOOKUP(C2821, 'DICIONÁRIO CNAES'!$A:$B, 2, FALSE)</f>
        <v xml:space="preserve">Outras atividades associativas não especificadas anteriormente </v>
      </c>
      <c r="E2821" s="4">
        <v>6435.0136921200001</v>
      </c>
      <c r="F2821" s="4">
        <v>28062703.864921302</v>
      </c>
    </row>
    <row r="2822" spans="1:6" x14ac:dyDescent="0.3">
      <c r="A2822" s="3" t="s">
        <v>20</v>
      </c>
      <c r="B2822" s="7" t="str">
        <f>VLOOKUP(VALUE(A2822), 'DICIONÁRIO UF'!$A:$B, 2, FALSE)</f>
        <v>Minas Gerais</v>
      </c>
      <c r="C2822" s="3">
        <v>95010</v>
      </c>
      <c r="D2822" s="5" t="str">
        <f>VLOOKUP(C2822, 'DICIONÁRIO CNAES'!$A:$B, 2, FALSE)</f>
        <v>Reparação e manutenção de equipamentos de informática e comunicação</v>
      </c>
      <c r="E2822" s="4">
        <v>19742.948126250001</v>
      </c>
      <c r="F2822" s="4">
        <v>31069347.280354999</v>
      </c>
    </row>
    <row r="2823" spans="1:6" x14ac:dyDescent="0.3">
      <c r="A2823" s="3" t="s">
        <v>20</v>
      </c>
      <c r="B2823" s="7" t="str">
        <f>VLOOKUP(VALUE(A2823), 'DICIONÁRIO UF'!$A:$B, 2, FALSE)</f>
        <v>Minas Gerais</v>
      </c>
      <c r="C2823" s="3">
        <v>95030</v>
      </c>
      <c r="D2823" s="5" t="str">
        <f>VLOOKUP(C2823, 'DICIONÁRIO CNAES'!$A:$B, 2, FALSE)</f>
        <v>Reparação e manutenção de objetos e equipamentos pessoais e domésticos</v>
      </c>
      <c r="E2823" s="4">
        <v>60459.753975259999</v>
      </c>
      <c r="F2823" s="4">
        <v>83940821.075028107</v>
      </c>
    </row>
    <row r="2824" spans="1:6" x14ac:dyDescent="0.3">
      <c r="A2824" s="3" t="s">
        <v>20</v>
      </c>
      <c r="B2824" s="7" t="str">
        <f>VLOOKUP(VALUE(A2824), 'DICIONÁRIO UF'!$A:$B, 2, FALSE)</f>
        <v>Minas Gerais</v>
      </c>
      <c r="C2824" s="3">
        <v>96010</v>
      </c>
      <c r="D2824" s="5" t="str">
        <f>VLOOKUP(C2824, 'DICIONÁRIO CNAES'!$A:$B, 2, FALSE)</f>
        <v>Lavanderias, tinturarias e toalheiros</v>
      </c>
      <c r="E2824" s="4">
        <v>10394.95948324</v>
      </c>
      <c r="F2824" s="4">
        <v>11670210.577432901</v>
      </c>
    </row>
    <row r="2825" spans="1:6" x14ac:dyDescent="0.3">
      <c r="A2825" s="3" t="s">
        <v>20</v>
      </c>
      <c r="B2825" s="7" t="str">
        <f>VLOOKUP(VALUE(A2825), 'DICIONÁRIO UF'!$A:$B, 2, FALSE)</f>
        <v>Minas Gerais</v>
      </c>
      <c r="C2825" s="3">
        <v>96020</v>
      </c>
      <c r="D2825" s="5" t="str">
        <f>VLOOKUP(C2825, 'DICIONÁRIO CNAES'!$A:$B, 2, FALSE)</f>
        <v>Cabeleireiros e outras atividades de tratamento de beleza</v>
      </c>
      <c r="E2825" s="4">
        <v>214730.48658832</v>
      </c>
      <c r="F2825" s="4">
        <v>331689789.80179191</v>
      </c>
    </row>
    <row r="2826" spans="1:6" x14ac:dyDescent="0.3">
      <c r="A2826" s="3" t="s">
        <v>20</v>
      </c>
      <c r="B2826" s="7" t="str">
        <f>VLOOKUP(VALUE(A2826), 'DICIONÁRIO UF'!$A:$B, 2, FALSE)</f>
        <v>Minas Gerais</v>
      </c>
      <c r="C2826" s="3">
        <v>96030</v>
      </c>
      <c r="D2826" s="5" t="str">
        <f>VLOOKUP(C2826, 'DICIONÁRIO CNAES'!$A:$B, 2, FALSE)</f>
        <v xml:space="preserve">Atividades funerárias e serviços relacionados </v>
      </c>
      <c r="E2826" s="4">
        <v>9397.1951823100007</v>
      </c>
      <c r="F2826" s="4">
        <v>18806494.080148</v>
      </c>
    </row>
    <row r="2827" spans="1:6" x14ac:dyDescent="0.3">
      <c r="A2827" s="3" t="s">
        <v>20</v>
      </c>
      <c r="B2827" s="7" t="str">
        <f>VLOOKUP(VALUE(A2827), 'DICIONÁRIO UF'!$A:$B, 2, FALSE)</f>
        <v>Minas Gerais</v>
      </c>
      <c r="C2827" s="3">
        <v>96090</v>
      </c>
      <c r="D2827" s="5" t="str">
        <f>VLOOKUP(C2827, 'DICIONÁRIO CNAES'!$A:$B, 2, FALSE)</f>
        <v>Outras atividades de serviços pessoais</v>
      </c>
      <c r="E2827" s="4">
        <v>41169.609504280001</v>
      </c>
      <c r="F2827" s="4">
        <v>84817657.501524433</v>
      </c>
    </row>
    <row r="2828" spans="1:6" x14ac:dyDescent="0.3">
      <c r="A2828" s="3" t="s">
        <v>20</v>
      </c>
      <c r="B2828" s="7" t="str">
        <f>VLOOKUP(VALUE(A2828), 'DICIONÁRIO UF'!$A:$B, 2, FALSE)</f>
        <v>Minas Gerais</v>
      </c>
      <c r="C2828" s="3">
        <v>97000</v>
      </c>
      <c r="D2828" s="5" t="str">
        <f>VLOOKUP(C2828, 'DICIONÁRIO CNAES'!$A:$B, 2, FALSE)</f>
        <v>Serviços domésticos</v>
      </c>
      <c r="E2828" s="4">
        <v>692071.62444686994</v>
      </c>
      <c r="F2828" s="4">
        <v>617827025.37027049</v>
      </c>
    </row>
    <row r="2829" spans="1:6" x14ac:dyDescent="0.3">
      <c r="A2829" s="3" t="s">
        <v>21</v>
      </c>
      <c r="B2829" s="7" t="str">
        <f>VLOOKUP(VALUE(A2829), 'DICIONÁRIO UF'!$A:$B, 2, FALSE)</f>
        <v>Espírito Santo</v>
      </c>
      <c r="C2829" s="3">
        <v>1102</v>
      </c>
      <c r="D2829" s="5" t="str">
        <f>VLOOKUP(C2829, 'DICIONÁRIO CNAES'!$A:$B, 2, FALSE)</f>
        <v>Cultivo de milho</v>
      </c>
      <c r="E2829" s="4">
        <v>2070.0619093400001</v>
      </c>
      <c r="F2829" s="4">
        <v>2005557.2148160001</v>
      </c>
    </row>
    <row r="2830" spans="1:6" x14ac:dyDescent="0.3">
      <c r="A2830" s="3" t="s">
        <v>21</v>
      </c>
      <c r="B2830" s="7" t="str">
        <f>VLOOKUP(VALUE(A2830), 'DICIONÁRIO UF'!$A:$B, 2, FALSE)</f>
        <v>Espírito Santo</v>
      </c>
      <c r="C2830" s="3">
        <v>1105</v>
      </c>
      <c r="D2830" s="5" t="str">
        <f>VLOOKUP(C2830, 'DICIONÁRIO CNAES'!$A:$B, 2, FALSE)</f>
        <v>Cultivo de cana-de-açúcar</v>
      </c>
      <c r="E2830" s="4">
        <v>2614.2771226599998</v>
      </c>
      <c r="F2830" s="4">
        <v>3056218.6315354998</v>
      </c>
    </row>
    <row r="2831" spans="1:6" x14ac:dyDescent="0.3">
      <c r="A2831" s="3" t="s">
        <v>21</v>
      </c>
      <c r="B2831" s="7" t="str">
        <f>VLOOKUP(VALUE(A2831), 'DICIONÁRIO UF'!$A:$B, 2, FALSE)</f>
        <v>Espírito Santo</v>
      </c>
      <c r="C2831" s="3">
        <v>1108</v>
      </c>
      <c r="D2831" s="5" t="str">
        <f>VLOOKUP(C2831, 'DICIONÁRIO CNAES'!$A:$B, 2, FALSE)</f>
        <v>Cultivo de mandioca</v>
      </c>
      <c r="E2831" s="4">
        <v>1375.0637693000001</v>
      </c>
      <c r="F2831" s="4">
        <v>1083806.1137709999</v>
      </c>
    </row>
    <row r="2832" spans="1:6" x14ac:dyDescent="0.3">
      <c r="A2832" s="3" t="s">
        <v>21</v>
      </c>
      <c r="B2832" s="7" t="str">
        <f>VLOOKUP(VALUE(A2832), 'DICIONÁRIO UF'!$A:$B, 2, FALSE)</f>
        <v>Espírito Santo</v>
      </c>
      <c r="C2832" s="3">
        <v>1109</v>
      </c>
      <c r="D2832" s="5" t="str">
        <f>VLOOKUP(C2832, 'DICIONÁRIO CNAES'!$A:$B, 2, FALSE)</f>
        <v>Cultivo de outras lavouras temporárias não especificadas anteriormente</v>
      </c>
      <c r="E2832" s="4">
        <v>2709.4101949999999</v>
      </c>
      <c r="F2832" s="4">
        <v>1469166.2152992501</v>
      </c>
    </row>
    <row r="2833" spans="1:6" x14ac:dyDescent="0.3">
      <c r="A2833" s="3" t="s">
        <v>21</v>
      </c>
      <c r="B2833" s="7" t="str">
        <f>VLOOKUP(VALUE(A2833), 'DICIONÁRIO UF'!$A:$B, 2, FALSE)</f>
        <v>Espírito Santo</v>
      </c>
      <c r="C2833" s="3">
        <v>1110</v>
      </c>
      <c r="D2833" s="5" t="str">
        <f>VLOOKUP(C2833, 'DICIONÁRIO CNAES'!$A:$B, 2, FALSE)</f>
        <v>Horticultura</v>
      </c>
      <c r="E2833" s="4">
        <v>18791.5428894</v>
      </c>
      <c r="F2833" s="4">
        <v>20397710.45472398</v>
      </c>
    </row>
    <row r="2834" spans="1:6" x14ac:dyDescent="0.3">
      <c r="A2834" s="3" t="s">
        <v>21</v>
      </c>
      <c r="B2834" s="7" t="str">
        <f>VLOOKUP(VALUE(A2834), 'DICIONÁRIO UF'!$A:$B, 2, FALSE)</f>
        <v>Espírito Santo</v>
      </c>
      <c r="C2834" s="3">
        <v>1111</v>
      </c>
      <c r="D2834" s="5" t="str">
        <f>VLOOKUP(C2834, 'DICIONÁRIO CNAES'!$A:$B, 2, FALSE)</f>
        <v>Cultivo de flores e plantas ornamentais</v>
      </c>
      <c r="E2834" s="4">
        <v>928.54503193999994</v>
      </c>
      <c r="F2834" s="4">
        <v>1724489.9975999999</v>
      </c>
    </row>
    <row r="2835" spans="1:6" x14ac:dyDescent="0.3">
      <c r="A2835" s="3" t="s">
        <v>21</v>
      </c>
      <c r="B2835" s="7" t="str">
        <f>VLOOKUP(VALUE(A2835), 'DICIONÁRIO UF'!$A:$B, 2, FALSE)</f>
        <v>Espírito Santo</v>
      </c>
      <c r="C2835" s="3">
        <v>1112</v>
      </c>
      <c r="D2835" s="5" t="str">
        <f>VLOOKUP(C2835, 'DICIONÁRIO CNAES'!$A:$B, 2, FALSE)</f>
        <v>Cultivo de frutas cítricas</v>
      </c>
      <c r="E2835" s="4">
        <v>1675.0883491500001</v>
      </c>
      <c r="F2835" s="4">
        <v>989910.18387140008</v>
      </c>
    </row>
    <row r="2836" spans="1:6" x14ac:dyDescent="0.3">
      <c r="A2836" s="3" t="s">
        <v>21</v>
      </c>
      <c r="B2836" s="7" t="str">
        <f>VLOOKUP(VALUE(A2836), 'DICIONÁRIO UF'!$A:$B, 2, FALSE)</f>
        <v>Espírito Santo</v>
      </c>
      <c r="C2836" s="3">
        <v>1113</v>
      </c>
      <c r="D2836" s="5" t="str">
        <f>VLOOKUP(C2836, 'DICIONÁRIO CNAES'!$A:$B, 2, FALSE)</f>
        <v>Cultivo de café</v>
      </c>
      <c r="E2836" s="4">
        <v>161621.24372415</v>
      </c>
      <c r="F2836" s="4">
        <v>227675915.32510591</v>
      </c>
    </row>
    <row r="2837" spans="1:6" x14ac:dyDescent="0.3">
      <c r="A2837" s="3" t="s">
        <v>21</v>
      </c>
      <c r="B2837" s="7" t="str">
        <f>VLOOKUP(VALUE(A2837), 'DICIONÁRIO UF'!$A:$B, 2, FALSE)</f>
        <v>Espírito Santo</v>
      </c>
      <c r="C2837" s="3">
        <v>1114</v>
      </c>
      <c r="D2837" s="5" t="str">
        <f>VLOOKUP(C2837, 'DICIONÁRIO CNAES'!$A:$B, 2, FALSE)</f>
        <v>Cultivo de cacau</v>
      </c>
      <c r="E2837" s="4">
        <v>904.48427244000004</v>
      </c>
      <c r="F2837" s="4">
        <v>1083011.647964</v>
      </c>
    </row>
    <row r="2838" spans="1:6" x14ac:dyDescent="0.3">
      <c r="A2838" s="3" t="s">
        <v>21</v>
      </c>
      <c r="B2838" s="7" t="str">
        <f>VLOOKUP(VALUE(A2838), 'DICIONÁRIO UF'!$A:$B, 2, FALSE)</f>
        <v>Espírito Santo</v>
      </c>
      <c r="C2838" s="3">
        <v>1116</v>
      </c>
      <c r="D2838" s="5" t="str">
        <f>VLOOKUP(C2838, 'DICIONÁRIO CNAES'!$A:$B, 2, FALSE)</f>
        <v>Cultivo de banana</v>
      </c>
      <c r="E2838" s="4">
        <v>6755.5594683999998</v>
      </c>
      <c r="F2838" s="4">
        <v>7660410.7681854796</v>
      </c>
    </row>
    <row r="2839" spans="1:6" x14ac:dyDescent="0.3">
      <c r="A2839" s="3" t="s">
        <v>21</v>
      </c>
      <c r="B2839" s="7" t="str">
        <f>VLOOKUP(VALUE(A2839), 'DICIONÁRIO UF'!$A:$B, 2, FALSE)</f>
        <v>Espírito Santo</v>
      </c>
      <c r="C2839" s="3">
        <v>1117</v>
      </c>
      <c r="D2839" s="5" t="str">
        <f>VLOOKUP(C2839, 'DICIONÁRIO CNAES'!$A:$B, 2, FALSE)</f>
        <v>Cultivo de outras plantas e frutas de lavoura permanente não especificadas anteriormente</v>
      </c>
      <c r="E2839" s="4">
        <v>14477.073492039999</v>
      </c>
      <c r="F2839" s="4">
        <v>20277583.173217699</v>
      </c>
    </row>
    <row r="2840" spans="1:6" x14ac:dyDescent="0.3">
      <c r="A2840" s="3" t="s">
        <v>21</v>
      </c>
      <c r="B2840" s="7" t="str">
        <f>VLOOKUP(VALUE(A2840), 'DICIONÁRIO UF'!$A:$B, 2, FALSE)</f>
        <v>Espírito Santo</v>
      </c>
      <c r="C2840" s="3">
        <v>1118</v>
      </c>
      <c r="D2840" s="5" t="str">
        <f>VLOOKUP(C2840, 'DICIONÁRIO CNAES'!$A:$B, 2, FALSE)</f>
        <v>Produção de sementes e mudas certificadas</v>
      </c>
      <c r="E2840" s="4">
        <v>302.35595029000001</v>
      </c>
      <c r="F2840" s="4">
        <v>453533.92543499998</v>
      </c>
    </row>
    <row r="2841" spans="1:6" x14ac:dyDescent="0.3">
      <c r="A2841" s="3" t="s">
        <v>21</v>
      </c>
      <c r="B2841" s="7" t="str">
        <f>VLOOKUP(VALUE(A2841), 'DICIONÁRIO UF'!$A:$B, 2, FALSE)</f>
        <v>Espírito Santo</v>
      </c>
      <c r="C2841" s="3">
        <v>1201</v>
      </c>
      <c r="D2841" s="5" t="str">
        <f>VLOOKUP(C2841, 'DICIONÁRIO CNAES'!$A:$B, 2, FALSE)</f>
        <v>Criação de bovinos</v>
      </c>
      <c r="E2841" s="4">
        <v>16848.418115749999</v>
      </c>
      <c r="F2841" s="4">
        <v>21778104.908497799</v>
      </c>
    </row>
    <row r="2842" spans="1:6" x14ac:dyDescent="0.3">
      <c r="A2842" s="3" t="s">
        <v>21</v>
      </c>
      <c r="B2842" s="7" t="str">
        <f>VLOOKUP(VALUE(A2842), 'DICIONÁRIO UF'!$A:$B, 2, FALSE)</f>
        <v>Espírito Santo</v>
      </c>
      <c r="C2842" s="3">
        <v>1202</v>
      </c>
      <c r="D2842" s="5" t="str">
        <f>VLOOKUP(C2842, 'DICIONÁRIO CNAES'!$A:$B, 2, FALSE)</f>
        <v>Criação de outros animais de grande porte não especificados anteriormente</v>
      </c>
      <c r="E2842" s="4">
        <v>232.67761142000001</v>
      </c>
      <c r="F2842" s="4">
        <v>255945.372562</v>
      </c>
    </row>
    <row r="2843" spans="1:6" x14ac:dyDescent="0.3">
      <c r="A2843" s="3" t="s">
        <v>21</v>
      </c>
      <c r="B2843" s="7" t="str">
        <f>VLOOKUP(VALUE(A2843), 'DICIONÁRIO UF'!$A:$B, 2, FALSE)</f>
        <v>Espírito Santo</v>
      </c>
      <c r="C2843" s="3">
        <v>1203</v>
      </c>
      <c r="D2843" s="5" t="str">
        <f>VLOOKUP(C2843, 'DICIONÁRIO CNAES'!$A:$B, 2, FALSE)</f>
        <v>Criação de caprinos e ovinos</v>
      </c>
      <c r="E2843" s="4">
        <v>941.53917306999995</v>
      </c>
      <c r="F2843" s="4">
        <v>1762076.692332</v>
      </c>
    </row>
    <row r="2844" spans="1:6" x14ac:dyDescent="0.3">
      <c r="A2844" s="3" t="s">
        <v>21</v>
      </c>
      <c r="B2844" s="7" t="str">
        <f>VLOOKUP(VALUE(A2844), 'DICIONÁRIO UF'!$A:$B, 2, FALSE)</f>
        <v>Espírito Santo</v>
      </c>
      <c r="C2844" s="3">
        <v>1204</v>
      </c>
      <c r="D2844" s="5" t="str">
        <f>VLOOKUP(C2844, 'DICIONÁRIO CNAES'!$A:$B, 2, FALSE)</f>
        <v>Criação de suínos</v>
      </c>
      <c r="E2844" s="4">
        <v>533.54444063999995</v>
      </c>
      <c r="F2844" s="4">
        <v>2062732.5776200001</v>
      </c>
    </row>
    <row r="2845" spans="1:6" x14ac:dyDescent="0.3">
      <c r="A2845" s="3" t="s">
        <v>21</v>
      </c>
      <c r="B2845" s="7" t="str">
        <f>VLOOKUP(VALUE(A2845), 'DICIONÁRIO UF'!$A:$B, 2, FALSE)</f>
        <v>Espírito Santo</v>
      </c>
      <c r="C2845" s="3">
        <v>1205</v>
      </c>
      <c r="D2845" s="5" t="str">
        <f>VLOOKUP(C2845, 'DICIONÁRIO CNAES'!$A:$B, 2, FALSE)</f>
        <v>Criação de aves</v>
      </c>
      <c r="E2845" s="4">
        <v>2463.4391864899999</v>
      </c>
      <c r="F2845" s="4">
        <v>3963510.8505834001</v>
      </c>
    </row>
    <row r="2846" spans="1:6" x14ac:dyDescent="0.3">
      <c r="A2846" s="3" t="s">
        <v>21</v>
      </c>
      <c r="B2846" s="7" t="str">
        <f>VLOOKUP(VALUE(A2846), 'DICIONÁRIO UF'!$A:$B, 2, FALSE)</f>
        <v>Espírito Santo</v>
      </c>
      <c r="C2846" s="3">
        <v>1206</v>
      </c>
      <c r="D2846" s="5" t="str">
        <f>VLOOKUP(C2846, 'DICIONÁRIO CNAES'!$A:$B, 2, FALSE)</f>
        <v>Apicultura</v>
      </c>
      <c r="E2846" s="4">
        <v>570.84233403000007</v>
      </c>
      <c r="F2846" s="4">
        <v>2598515.4560019998</v>
      </c>
    </row>
    <row r="2847" spans="1:6" x14ac:dyDescent="0.3">
      <c r="A2847" s="3" t="s">
        <v>21</v>
      </c>
      <c r="B2847" s="7" t="str">
        <f>VLOOKUP(VALUE(A2847), 'DICIONÁRIO UF'!$A:$B, 2, FALSE)</f>
        <v>Espírito Santo</v>
      </c>
      <c r="C2847" s="3">
        <v>1208</v>
      </c>
      <c r="D2847" s="5" t="str">
        <f>VLOOKUP(C2847, 'DICIONÁRIO CNAES'!$A:$B, 2, FALSE)</f>
        <v xml:space="preserve">Criação de outros animais não especificados anteriormente </v>
      </c>
      <c r="E2847" s="4">
        <v>740.28432502999999</v>
      </c>
      <c r="F2847" s="4">
        <v>3331279.4626349998</v>
      </c>
    </row>
    <row r="2848" spans="1:6" x14ac:dyDescent="0.3">
      <c r="A2848" s="3" t="s">
        <v>21</v>
      </c>
      <c r="B2848" s="7" t="str">
        <f>VLOOKUP(VALUE(A2848), 'DICIONÁRIO UF'!$A:$B, 2, FALSE)</f>
        <v>Espírito Santo</v>
      </c>
      <c r="C2848" s="3">
        <v>1401</v>
      </c>
      <c r="D2848" s="5" t="str">
        <f>VLOOKUP(C2848, 'DICIONÁRIO CNAES'!$A:$B, 2, FALSE)</f>
        <v>Atividades de apoio à agricultura e pós-colheita</v>
      </c>
      <c r="E2848" s="4">
        <v>2232.0259258699998</v>
      </c>
      <c r="F2848" s="4">
        <v>3386630.3665764998</v>
      </c>
    </row>
    <row r="2849" spans="1:6" x14ac:dyDescent="0.3">
      <c r="A2849" s="3" t="s">
        <v>21</v>
      </c>
      <c r="B2849" s="7" t="str">
        <f>VLOOKUP(VALUE(A2849), 'DICIONÁRIO UF'!$A:$B, 2, FALSE)</f>
        <v>Espírito Santo</v>
      </c>
      <c r="C2849" s="3">
        <v>1402</v>
      </c>
      <c r="D2849" s="5" t="str">
        <f>VLOOKUP(C2849, 'DICIONÁRIO CNAES'!$A:$B, 2, FALSE)</f>
        <v xml:space="preserve">Atividades de apoio à pecuária </v>
      </c>
      <c r="E2849" s="4">
        <v>248.25878337</v>
      </c>
      <c r="F2849" s="4">
        <v>504748.76038499991</v>
      </c>
    </row>
    <row r="2850" spans="1:6" x14ac:dyDescent="0.3">
      <c r="A2850" s="3" t="s">
        <v>21</v>
      </c>
      <c r="B2850" s="7" t="str">
        <f>VLOOKUP(VALUE(A2850), 'DICIONÁRIO UF'!$A:$B, 2, FALSE)</f>
        <v>Espírito Santo</v>
      </c>
      <c r="C2850" s="3">
        <v>2000</v>
      </c>
      <c r="D2850" s="5" t="str">
        <f>VLOOKUP(C2850, 'DICIONÁRIO CNAES'!$A:$B, 2, FALSE)</f>
        <v xml:space="preserve">Produção florestal </v>
      </c>
      <c r="E2850" s="4">
        <v>3686.7724227799999</v>
      </c>
      <c r="F2850" s="4">
        <v>5671755.5106873</v>
      </c>
    </row>
    <row r="2851" spans="1:6" x14ac:dyDescent="0.3">
      <c r="A2851" s="3" t="s">
        <v>21</v>
      </c>
      <c r="B2851" s="7" t="str">
        <f>VLOOKUP(VALUE(A2851), 'DICIONÁRIO UF'!$A:$B, 2, FALSE)</f>
        <v>Espírito Santo</v>
      </c>
      <c r="C2851" s="3">
        <v>3001</v>
      </c>
      <c r="D2851" s="5" t="str">
        <f>VLOOKUP(C2851, 'DICIONÁRIO CNAES'!$A:$B, 2, FALSE)</f>
        <v>Pesca</v>
      </c>
      <c r="E2851" s="4">
        <v>6815.4970631900014</v>
      </c>
      <c r="F2851" s="4">
        <v>9501955.398139881</v>
      </c>
    </row>
    <row r="2852" spans="1:6" x14ac:dyDescent="0.3">
      <c r="A2852" s="3" t="s">
        <v>21</v>
      </c>
      <c r="B2852" s="7" t="str">
        <f>VLOOKUP(VALUE(A2852), 'DICIONÁRIO UF'!$A:$B, 2, FALSE)</f>
        <v>Espírito Santo</v>
      </c>
      <c r="C2852" s="3">
        <v>6000</v>
      </c>
      <c r="D2852" s="5" t="str">
        <f>VLOOKUP(C2852, 'DICIONÁRIO CNAES'!$A:$B, 2, FALSE)</f>
        <v xml:space="preserve">Extração de petróleo e gás natural </v>
      </c>
      <c r="E2852" s="4">
        <v>4359.8132713499999</v>
      </c>
      <c r="F2852" s="4">
        <v>55576797.332626261</v>
      </c>
    </row>
    <row r="2853" spans="1:6" x14ac:dyDescent="0.3">
      <c r="A2853" s="3" t="s">
        <v>21</v>
      </c>
      <c r="B2853" s="7" t="str">
        <f>VLOOKUP(VALUE(A2853), 'DICIONÁRIO UF'!$A:$B, 2, FALSE)</f>
        <v>Espírito Santo</v>
      </c>
      <c r="C2853" s="3">
        <v>7002</v>
      </c>
      <c r="D2853" s="5" t="str">
        <f>VLOOKUP(C2853, 'DICIONÁRIO CNAES'!$A:$B, 2, FALSE)</f>
        <v xml:space="preserve">Extração de minerais metálicos não especificados anteriormente </v>
      </c>
      <c r="E2853" s="4">
        <v>12397.89192061</v>
      </c>
      <c r="F2853" s="4">
        <v>63199366.460932203</v>
      </c>
    </row>
    <row r="2854" spans="1:6" x14ac:dyDescent="0.3">
      <c r="A2854" s="3" t="s">
        <v>21</v>
      </c>
      <c r="B2854" s="7" t="str">
        <f>VLOOKUP(VALUE(A2854), 'DICIONÁRIO UF'!$A:$B, 2, FALSE)</f>
        <v>Espírito Santo</v>
      </c>
      <c r="C2854" s="3">
        <v>8001</v>
      </c>
      <c r="D2854" s="5" t="str">
        <f>VLOOKUP(C2854, 'DICIONÁRIO CNAES'!$A:$B, 2, FALSE)</f>
        <v>Extração de pedras, areia e argila</v>
      </c>
      <c r="E2854" s="4">
        <v>15495.239183829999</v>
      </c>
      <c r="F2854" s="4">
        <v>37263812.590594612</v>
      </c>
    </row>
    <row r="2855" spans="1:6" x14ac:dyDescent="0.3">
      <c r="A2855" s="3" t="s">
        <v>21</v>
      </c>
      <c r="B2855" s="7" t="str">
        <f>VLOOKUP(VALUE(A2855), 'DICIONÁRIO UF'!$A:$B, 2, FALSE)</f>
        <v>Espírito Santo</v>
      </c>
      <c r="C2855" s="3">
        <v>8002</v>
      </c>
      <c r="D2855" s="5" t="str">
        <f>VLOOKUP(C2855, 'DICIONÁRIO CNAES'!$A:$B, 2, FALSE)</f>
        <v>Extração de gemas (pedras preciosas e semi-preciosas)</v>
      </c>
      <c r="E2855" s="4">
        <v>523.72411678000003</v>
      </c>
      <c r="F2855" s="4">
        <v>1047448.23356</v>
      </c>
    </row>
    <row r="2856" spans="1:6" x14ac:dyDescent="0.3">
      <c r="A2856" s="3" t="s">
        <v>21</v>
      </c>
      <c r="B2856" s="7" t="str">
        <f>VLOOKUP(VALUE(A2856), 'DICIONÁRIO UF'!$A:$B, 2, FALSE)</f>
        <v>Espírito Santo</v>
      </c>
      <c r="C2856" s="3">
        <v>8009</v>
      </c>
      <c r="D2856" s="5" t="str">
        <f>VLOOKUP(C2856, 'DICIONÁRIO CNAES'!$A:$B, 2, FALSE)</f>
        <v xml:space="preserve">Extração de minerais não metálicos não especificados anteriormente </v>
      </c>
      <c r="E2856" s="4">
        <v>441.63575858000002</v>
      </c>
      <c r="F2856" s="4">
        <v>706617.21372800006</v>
      </c>
    </row>
    <row r="2857" spans="1:6" x14ac:dyDescent="0.3">
      <c r="A2857" s="3" t="s">
        <v>21</v>
      </c>
      <c r="B2857" s="7" t="str">
        <f>VLOOKUP(VALUE(A2857), 'DICIONÁRIO UF'!$A:$B, 2, FALSE)</f>
        <v>Espírito Santo</v>
      </c>
      <c r="C2857" s="3">
        <v>9000</v>
      </c>
      <c r="D2857" s="5" t="str">
        <f>VLOOKUP(C2857, 'DICIONÁRIO CNAES'!$A:$B, 2, FALSE)</f>
        <v>Atividades de apoio à extração de minerais</v>
      </c>
      <c r="E2857" s="4">
        <v>691.09478535999995</v>
      </c>
      <c r="F2857" s="4">
        <v>4146568.7121600001</v>
      </c>
    </row>
    <row r="2858" spans="1:6" x14ac:dyDescent="0.3">
      <c r="A2858" s="3" t="s">
        <v>21</v>
      </c>
      <c r="B2858" s="7" t="str">
        <f>VLOOKUP(VALUE(A2858), 'DICIONÁRIO UF'!$A:$B, 2, FALSE)</f>
        <v>Espírito Santo</v>
      </c>
      <c r="C2858" s="3">
        <v>10010</v>
      </c>
      <c r="D2858" s="5" t="str">
        <f>VLOOKUP(C2858, 'DICIONÁRIO CNAES'!$A:$B, 2, FALSE)</f>
        <v xml:space="preserve">Abate e fabricação de produtos de carne e pescado </v>
      </c>
      <c r="E2858" s="4">
        <v>12529.85403631</v>
      </c>
      <c r="F2858" s="4">
        <v>18573383.661752701</v>
      </c>
    </row>
    <row r="2859" spans="1:6" x14ac:dyDescent="0.3">
      <c r="A2859" s="3" t="s">
        <v>21</v>
      </c>
      <c r="B2859" s="7" t="str">
        <f>VLOOKUP(VALUE(A2859), 'DICIONÁRIO UF'!$A:$B, 2, FALSE)</f>
        <v>Espírito Santo</v>
      </c>
      <c r="C2859" s="3">
        <v>10021</v>
      </c>
      <c r="D2859" s="5" t="str">
        <f>VLOOKUP(C2859, 'DICIONÁRIO CNAES'!$A:$B, 2, FALSE)</f>
        <v>Fabricação de conservas de frutas, legumes e outros vegetais</v>
      </c>
      <c r="E2859" s="4">
        <v>663.23331386999996</v>
      </c>
      <c r="F2859" s="4">
        <v>966261.93242549989</v>
      </c>
    </row>
    <row r="2860" spans="1:6" x14ac:dyDescent="0.3">
      <c r="A2860" s="3" t="s">
        <v>21</v>
      </c>
      <c r="B2860" s="7" t="str">
        <f>VLOOKUP(VALUE(A2860), 'DICIONÁRIO UF'!$A:$B, 2, FALSE)</f>
        <v>Espírito Santo</v>
      </c>
      <c r="C2860" s="3">
        <v>10030</v>
      </c>
      <c r="D2860" s="5" t="str">
        <f>VLOOKUP(C2860, 'DICIONÁRIO CNAES'!$A:$B, 2, FALSE)</f>
        <v>Laticínios</v>
      </c>
      <c r="E2860" s="4">
        <v>3585.2728502700002</v>
      </c>
      <c r="F2860" s="4">
        <v>5575795.2471489999</v>
      </c>
    </row>
    <row r="2861" spans="1:6" x14ac:dyDescent="0.3">
      <c r="A2861" s="3" t="s">
        <v>21</v>
      </c>
      <c r="B2861" s="7" t="str">
        <f>VLOOKUP(VALUE(A2861), 'DICIONÁRIO UF'!$A:$B, 2, FALSE)</f>
        <v>Espírito Santo</v>
      </c>
      <c r="C2861" s="3">
        <v>10091</v>
      </c>
      <c r="D2861" s="5" t="str">
        <f>VLOOKUP(C2861, 'DICIONÁRIO CNAES'!$A:$B, 2, FALSE)</f>
        <v>Moagem, fabricação de produtos amiláceos e de alimentos para animais</v>
      </c>
      <c r="E2861" s="4">
        <v>606.58743333999996</v>
      </c>
      <c r="F2861" s="4">
        <v>536421.39950280008</v>
      </c>
    </row>
    <row r="2862" spans="1:6" x14ac:dyDescent="0.3">
      <c r="A2862" s="3" t="s">
        <v>21</v>
      </c>
      <c r="B2862" s="7" t="str">
        <f>VLOOKUP(VALUE(A2862), 'DICIONÁRIO UF'!$A:$B, 2, FALSE)</f>
        <v>Espírito Santo</v>
      </c>
      <c r="C2862" s="3">
        <v>10092</v>
      </c>
      <c r="D2862" s="5" t="str">
        <f>VLOOKUP(C2862, 'DICIONÁRIO CNAES'!$A:$B, 2, FALSE)</f>
        <v>Fabricação e refino do açúcar</v>
      </c>
      <c r="E2862" s="4">
        <v>170.33248513999999</v>
      </c>
      <c r="F2862" s="4">
        <v>357698.21879399999</v>
      </c>
    </row>
    <row r="2863" spans="1:6" x14ac:dyDescent="0.3">
      <c r="A2863" s="3" t="s">
        <v>21</v>
      </c>
      <c r="B2863" s="7" t="str">
        <f>VLOOKUP(VALUE(A2863), 'DICIONÁRIO UF'!$A:$B, 2, FALSE)</f>
        <v>Espírito Santo</v>
      </c>
      <c r="C2863" s="3">
        <v>10093</v>
      </c>
      <c r="D2863" s="5" t="str">
        <f>VLOOKUP(C2863, 'DICIONÁRIO CNAES'!$A:$B, 2, FALSE)</f>
        <v>Torrefação e moagem de café</v>
      </c>
      <c r="E2863" s="4">
        <v>555.59184206999998</v>
      </c>
      <c r="F2863" s="4">
        <v>1111183.68414</v>
      </c>
    </row>
    <row r="2864" spans="1:6" x14ac:dyDescent="0.3">
      <c r="A2864" s="3" t="s">
        <v>21</v>
      </c>
      <c r="B2864" s="7" t="str">
        <f>VLOOKUP(VALUE(A2864), 'DICIONÁRIO UF'!$A:$B, 2, FALSE)</f>
        <v>Espírito Santo</v>
      </c>
      <c r="C2864" s="3">
        <v>10099</v>
      </c>
      <c r="D2864" s="5" t="str">
        <f>VLOOKUP(C2864, 'DICIONÁRIO CNAES'!$A:$B, 2, FALSE)</f>
        <v>Fabricação de outros produtos alimentícios</v>
      </c>
      <c r="E2864" s="4">
        <v>9602.8912578300005</v>
      </c>
      <c r="F2864" s="4">
        <v>17216264.925184321</v>
      </c>
    </row>
    <row r="2865" spans="1:6" x14ac:dyDescent="0.3">
      <c r="A2865" s="3" t="s">
        <v>21</v>
      </c>
      <c r="B2865" s="7" t="str">
        <f>VLOOKUP(VALUE(A2865), 'DICIONÁRIO UF'!$A:$B, 2, FALSE)</f>
        <v>Espírito Santo</v>
      </c>
      <c r="C2865" s="3">
        <v>11000</v>
      </c>
      <c r="D2865" s="5" t="str">
        <f>VLOOKUP(C2865, 'DICIONÁRIO CNAES'!$A:$B, 2, FALSE)</f>
        <v>Fabricação de bebidas</v>
      </c>
      <c r="E2865" s="4">
        <v>1263.0644118</v>
      </c>
      <c r="F2865" s="4">
        <v>1842112.892335</v>
      </c>
    </row>
    <row r="2866" spans="1:6" x14ac:dyDescent="0.3">
      <c r="A2866" s="3" t="s">
        <v>21</v>
      </c>
      <c r="B2866" s="7" t="str">
        <f>VLOOKUP(VALUE(A2866), 'DICIONÁRIO UF'!$A:$B, 2, FALSE)</f>
        <v>Espírito Santo</v>
      </c>
      <c r="C2866" s="3">
        <v>13001</v>
      </c>
      <c r="D2866" s="5" t="str">
        <f>VLOOKUP(C2866, 'DICIONÁRIO CNAES'!$A:$B, 2, FALSE)</f>
        <v>Preparação de fibras, fiação e tecelagem</v>
      </c>
      <c r="E2866" s="4">
        <v>1346.9357736300001</v>
      </c>
      <c r="F2866" s="4">
        <v>3907375.4395019999</v>
      </c>
    </row>
    <row r="2867" spans="1:6" x14ac:dyDescent="0.3">
      <c r="A2867" s="3" t="s">
        <v>21</v>
      </c>
      <c r="B2867" s="7" t="str">
        <f>VLOOKUP(VALUE(A2867), 'DICIONÁRIO UF'!$A:$B, 2, FALSE)</f>
        <v>Espírito Santo</v>
      </c>
      <c r="C2867" s="3">
        <v>13002</v>
      </c>
      <c r="D2867" s="5" t="str">
        <f>VLOOKUP(C2867, 'DICIONÁRIO CNAES'!$A:$B, 2, FALSE)</f>
        <v>Fabricação de artefatos têxteis, exceto vestuário</v>
      </c>
      <c r="E2867" s="4">
        <v>7456.4229449099994</v>
      </c>
      <c r="F2867" s="4">
        <v>6255380.6792385001</v>
      </c>
    </row>
    <row r="2868" spans="1:6" x14ac:dyDescent="0.3">
      <c r="A2868" s="3" t="s">
        <v>21</v>
      </c>
      <c r="B2868" s="7" t="str">
        <f>VLOOKUP(VALUE(A2868), 'DICIONÁRIO UF'!$A:$B, 2, FALSE)</f>
        <v>Espírito Santo</v>
      </c>
      <c r="C2868" s="3">
        <v>14001</v>
      </c>
      <c r="D2868" s="5" t="str">
        <f>VLOOKUP(C2868, 'DICIONÁRIO CNAES'!$A:$B, 2, FALSE)</f>
        <v>Confecção de artigos do vestuário e acessórios, exceto sob medida</v>
      </c>
      <c r="E2868" s="4">
        <v>16327.50698269</v>
      </c>
      <c r="F2868" s="4">
        <v>25331587.132737208</v>
      </c>
    </row>
    <row r="2869" spans="1:6" x14ac:dyDescent="0.3">
      <c r="A2869" s="3" t="s">
        <v>21</v>
      </c>
      <c r="B2869" s="7" t="str">
        <f>VLOOKUP(VALUE(A2869), 'DICIONÁRIO UF'!$A:$B, 2, FALSE)</f>
        <v>Espírito Santo</v>
      </c>
      <c r="C2869" s="3">
        <v>14002</v>
      </c>
      <c r="D2869" s="5" t="str">
        <f>VLOOKUP(C2869, 'DICIONÁRIO CNAES'!$A:$B, 2, FALSE)</f>
        <v>Confecção, sob medida, de artigos do vestuário</v>
      </c>
      <c r="E2869" s="4">
        <v>10857.255770260001</v>
      </c>
      <c r="F2869" s="4">
        <v>11427687.17851943</v>
      </c>
    </row>
    <row r="2870" spans="1:6" x14ac:dyDescent="0.3">
      <c r="A2870" s="3" t="s">
        <v>21</v>
      </c>
      <c r="B2870" s="7" t="str">
        <f>VLOOKUP(VALUE(A2870), 'DICIONÁRIO UF'!$A:$B, 2, FALSE)</f>
        <v>Espírito Santo</v>
      </c>
      <c r="C2870" s="3">
        <v>15020</v>
      </c>
      <c r="D2870" s="5" t="str">
        <f>VLOOKUP(C2870, 'DICIONÁRIO CNAES'!$A:$B, 2, FALSE)</f>
        <v>Fabricação de calçados e partes para calçados, de qualquer material</v>
      </c>
      <c r="E2870" s="4">
        <v>1241.6795921999999</v>
      </c>
      <c r="F2870" s="4">
        <v>1404792.1823789999</v>
      </c>
    </row>
    <row r="2871" spans="1:6" x14ac:dyDescent="0.3">
      <c r="A2871" s="3" t="s">
        <v>21</v>
      </c>
      <c r="B2871" s="7" t="str">
        <f>VLOOKUP(VALUE(A2871), 'DICIONÁRIO UF'!$A:$B, 2, FALSE)</f>
        <v>Espírito Santo</v>
      </c>
      <c r="C2871" s="3">
        <v>16001</v>
      </c>
      <c r="D2871" s="5" t="str">
        <f>VLOOKUP(C2871, 'DICIONÁRIO CNAES'!$A:$B, 2, FALSE)</f>
        <v>Serrarias</v>
      </c>
      <c r="E2871" s="4">
        <v>2496.7488208099999</v>
      </c>
      <c r="F2871" s="4">
        <v>4019822.9243510002</v>
      </c>
    </row>
    <row r="2872" spans="1:6" x14ac:dyDescent="0.3">
      <c r="A2872" s="3" t="s">
        <v>21</v>
      </c>
      <c r="B2872" s="7" t="str">
        <f>VLOOKUP(VALUE(A2872), 'DICIONÁRIO UF'!$A:$B, 2, FALSE)</f>
        <v>Espírito Santo</v>
      </c>
      <c r="C2872" s="3">
        <v>16002</v>
      </c>
      <c r="D2872" s="5" t="str">
        <f>VLOOKUP(C2872, 'DICIONÁRIO CNAES'!$A:$B, 2, FALSE)</f>
        <v>Fabricação de produtos de madeira, cortiça e material trançado, exceto móveis</v>
      </c>
      <c r="E2872" s="4">
        <v>4842.2471158999997</v>
      </c>
      <c r="F2872" s="4">
        <v>9118877.0619239993</v>
      </c>
    </row>
    <row r="2873" spans="1:6" x14ac:dyDescent="0.3">
      <c r="A2873" s="3" t="s">
        <v>21</v>
      </c>
      <c r="B2873" s="7" t="str">
        <f>VLOOKUP(VALUE(A2873), 'DICIONÁRIO UF'!$A:$B, 2, FALSE)</f>
        <v>Espírito Santo</v>
      </c>
      <c r="C2873" s="3">
        <v>17001</v>
      </c>
      <c r="D2873" s="5" t="str">
        <f>VLOOKUP(C2873, 'DICIONÁRIO CNAES'!$A:$B, 2, FALSE)</f>
        <v>Fabricação de celulose, papel, cartolina e papel-cartão</v>
      </c>
      <c r="E2873" s="4">
        <v>4744.1394709899996</v>
      </c>
      <c r="F2873" s="4">
        <v>17178073.274167001</v>
      </c>
    </row>
    <row r="2874" spans="1:6" x14ac:dyDescent="0.3">
      <c r="A2874" s="3" t="s">
        <v>21</v>
      </c>
      <c r="B2874" s="7" t="str">
        <f>VLOOKUP(VALUE(A2874), 'DICIONÁRIO UF'!$A:$B, 2, FALSE)</f>
        <v>Espírito Santo</v>
      </c>
      <c r="C2874" s="3">
        <v>17002</v>
      </c>
      <c r="D2874" s="5" t="str">
        <f>VLOOKUP(C2874, 'DICIONÁRIO CNAES'!$A:$B, 2, FALSE)</f>
        <v>Fabricação de embalagens e de produtos diversos de papel, cartolina, papel-cartão e papelão ondulado</v>
      </c>
      <c r="E2874" s="4">
        <v>2117.44972985</v>
      </c>
      <c r="F2874" s="4">
        <v>6852287.5764870001</v>
      </c>
    </row>
    <row r="2875" spans="1:6" x14ac:dyDescent="0.3">
      <c r="A2875" s="3" t="s">
        <v>21</v>
      </c>
      <c r="B2875" s="7" t="str">
        <f>VLOOKUP(VALUE(A2875), 'DICIONÁRIO UF'!$A:$B, 2, FALSE)</f>
        <v>Espírito Santo</v>
      </c>
      <c r="C2875" s="3">
        <v>18000</v>
      </c>
      <c r="D2875" s="5" t="str">
        <f>VLOOKUP(C2875, 'DICIONÁRIO CNAES'!$A:$B, 2, FALSE)</f>
        <v>Impressão e reprodução de gravações</v>
      </c>
      <c r="E2875" s="4">
        <v>4130.6352590500001</v>
      </c>
      <c r="F2875" s="4">
        <v>4978379.7123450004</v>
      </c>
    </row>
    <row r="2876" spans="1:6" x14ac:dyDescent="0.3">
      <c r="A2876" s="3" t="s">
        <v>21</v>
      </c>
      <c r="B2876" s="7" t="str">
        <f>VLOOKUP(VALUE(A2876), 'DICIONÁRIO UF'!$A:$B, 2, FALSE)</f>
        <v>Espírito Santo</v>
      </c>
      <c r="C2876" s="3">
        <v>19020</v>
      </c>
      <c r="D2876" s="5" t="str">
        <f>VLOOKUP(C2876, 'DICIONÁRIO CNAES'!$A:$B, 2, FALSE)</f>
        <v>Fabricação de produtos derivados do petróleo</v>
      </c>
      <c r="E2876" s="4">
        <v>562.75572</v>
      </c>
      <c r="F2876" s="4">
        <v>1204783.622676</v>
      </c>
    </row>
    <row r="2877" spans="1:6" x14ac:dyDescent="0.3">
      <c r="A2877" s="3" t="s">
        <v>21</v>
      </c>
      <c r="B2877" s="7" t="str">
        <f>VLOOKUP(VALUE(A2877), 'DICIONÁRIO UF'!$A:$B, 2, FALSE)</f>
        <v>Espírito Santo</v>
      </c>
      <c r="C2877" s="3">
        <v>19030</v>
      </c>
      <c r="D2877" s="5" t="str">
        <f>VLOOKUP(C2877, 'DICIONÁRIO CNAES'!$A:$B, 2, FALSE)</f>
        <v>Produção de biocombustíveis</v>
      </c>
      <c r="E2877" s="4">
        <v>1169.9562890300001</v>
      </c>
      <c r="F2877" s="4">
        <v>1825297.7799524399</v>
      </c>
    </row>
    <row r="2878" spans="1:6" x14ac:dyDescent="0.3">
      <c r="A2878" s="3" t="s">
        <v>21</v>
      </c>
      <c r="B2878" s="7" t="str">
        <f>VLOOKUP(VALUE(A2878), 'DICIONÁRIO UF'!$A:$B, 2, FALSE)</f>
        <v>Espírito Santo</v>
      </c>
      <c r="C2878" s="3">
        <v>20010</v>
      </c>
      <c r="D2878" s="5" t="str">
        <f>VLOOKUP(C2878, 'DICIONÁRIO CNAES'!$A:$B, 2, FALSE)</f>
        <v>Fabricação de tintas, vernizes, esmaltes, lacas e produtos afins</v>
      </c>
      <c r="E2878" s="4">
        <v>710.62920101999998</v>
      </c>
      <c r="F2878" s="4">
        <v>1597263.6567859999</v>
      </c>
    </row>
    <row r="2879" spans="1:6" x14ac:dyDescent="0.3">
      <c r="A2879" s="3" t="s">
        <v>21</v>
      </c>
      <c r="B2879" s="7" t="str">
        <f>VLOOKUP(VALUE(A2879), 'DICIONÁRIO UF'!$A:$B, 2, FALSE)</f>
        <v>Espírito Santo</v>
      </c>
      <c r="C2879" s="3">
        <v>20020</v>
      </c>
      <c r="D2879" s="5" t="str">
        <f>VLOOKUP(C2879, 'DICIONÁRIO CNAES'!$A:$B, 2, FALSE)</f>
        <v>Fabricação de sabões, detergentes, produtos de limpeza, cosméticos, produtos de perfumaria e de higiene pessoal</v>
      </c>
      <c r="E2879" s="4">
        <v>1203.69613134</v>
      </c>
      <c r="F2879" s="4">
        <v>5441894.7818625001</v>
      </c>
    </row>
    <row r="2880" spans="1:6" x14ac:dyDescent="0.3">
      <c r="A2880" s="3" t="s">
        <v>21</v>
      </c>
      <c r="B2880" s="7" t="str">
        <f>VLOOKUP(VALUE(A2880), 'DICIONÁRIO UF'!$A:$B, 2, FALSE)</f>
        <v>Espírito Santo</v>
      </c>
      <c r="C2880" s="3">
        <v>20090</v>
      </c>
      <c r="D2880" s="5" t="str">
        <f>VLOOKUP(C2880, 'DICIONÁRIO CNAES'!$A:$B, 2, FALSE)</f>
        <v>Fabricação de outros produtos químicos não especificados anteriormente</v>
      </c>
      <c r="E2880" s="4">
        <v>1526.7839429999999</v>
      </c>
      <c r="F2880" s="4">
        <v>3713641.6985289999</v>
      </c>
    </row>
    <row r="2881" spans="1:6" x14ac:dyDescent="0.3">
      <c r="A2881" s="3" t="s">
        <v>21</v>
      </c>
      <c r="B2881" s="7" t="str">
        <f>VLOOKUP(VALUE(A2881), 'DICIONÁRIO UF'!$A:$B, 2, FALSE)</f>
        <v>Espírito Santo</v>
      </c>
      <c r="C2881" s="3">
        <v>21000</v>
      </c>
      <c r="D2881" s="5" t="str">
        <f>VLOOKUP(C2881, 'DICIONÁRIO CNAES'!$A:$B, 2, FALSE)</f>
        <v>Fabricação de produtos farmoquimicos e farmacêuticos</v>
      </c>
      <c r="E2881" s="4">
        <v>1644.5127490499999</v>
      </c>
      <c r="F2881" s="4">
        <v>3433524.0134100001</v>
      </c>
    </row>
    <row r="2882" spans="1:6" x14ac:dyDescent="0.3">
      <c r="A2882" s="3" t="s">
        <v>21</v>
      </c>
      <c r="B2882" s="7" t="str">
        <f>VLOOKUP(VALUE(A2882), 'DICIONÁRIO UF'!$A:$B, 2, FALSE)</f>
        <v>Espírito Santo</v>
      </c>
      <c r="C2882" s="3">
        <v>22010</v>
      </c>
      <c r="D2882" s="5" t="str">
        <f>VLOOKUP(C2882, 'DICIONÁRIO CNAES'!$A:$B, 2, FALSE)</f>
        <v>Fabricação de produtos de borracha</v>
      </c>
      <c r="E2882" s="4">
        <v>792.87371280000002</v>
      </c>
      <c r="F2882" s="4">
        <v>895370.91760999989</v>
      </c>
    </row>
    <row r="2883" spans="1:6" x14ac:dyDescent="0.3">
      <c r="A2883" s="3" t="s">
        <v>21</v>
      </c>
      <c r="B2883" s="7" t="str">
        <f>VLOOKUP(VALUE(A2883), 'DICIONÁRIO UF'!$A:$B, 2, FALSE)</f>
        <v>Espírito Santo</v>
      </c>
      <c r="C2883" s="3">
        <v>22020</v>
      </c>
      <c r="D2883" s="5" t="str">
        <f>VLOOKUP(C2883, 'DICIONÁRIO CNAES'!$A:$B, 2, FALSE)</f>
        <v>Fabricação de produtos de material plástico</v>
      </c>
      <c r="E2883" s="4">
        <v>2059.0801019999999</v>
      </c>
      <c r="F2883" s="4">
        <v>2384448.2794889002</v>
      </c>
    </row>
    <row r="2884" spans="1:6" x14ac:dyDescent="0.3">
      <c r="A2884" s="3" t="s">
        <v>21</v>
      </c>
      <c r="B2884" s="7" t="str">
        <f>VLOOKUP(VALUE(A2884), 'DICIONÁRIO UF'!$A:$B, 2, FALSE)</f>
        <v>Espírito Santo</v>
      </c>
      <c r="C2884" s="3">
        <v>23010</v>
      </c>
      <c r="D2884" s="5" t="str">
        <f>VLOOKUP(C2884, 'DICIONÁRIO CNAES'!$A:$B, 2, FALSE)</f>
        <v>Fabricação de vidro e produtos de vidro</v>
      </c>
      <c r="E2884" s="4">
        <v>491.94986483999998</v>
      </c>
      <c r="F2884" s="4">
        <v>737924.7972599999</v>
      </c>
    </row>
    <row r="2885" spans="1:6" x14ac:dyDescent="0.3">
      <c r="A2885" s="3" t="s">
        <v>21</v>
      </c>
      <c r="B2885" s="7" t="str">
        <f>VLOOKUP(VALUE(A2885), 'DICIONÁRIO UF'!$A:$B, 2, FALSE)</f>
        <v>Espírito Santo</v>
      </c>
      <c r="C2885" s="3">
        <v>23091</v>
      </c>
      <c r="D2885" s="5" t="str">
        <f>VLOOKUP(C2885, 'DICIONÁRIO CNAES'!$A:$B, 2, FALSE)</f>
        <v>Fabricação de produtos cerâmicos</v>
      </c>
      <c r="E2885" s="4">
        <v>3447.63899743</v>
      </c>
      <c r="F2885" s="4">
        <v>3869995.335798</v>
      </c>
    </row>
    <row r="2886" spans="1:6" x14ac:dyDescent="0.3">
      <c r="A2886" s="3" t="s">
        <v>21</v>
      </c>
      <c r="B2886" s="7" t="str">
        <f>VLOOKUP(VALUE(A2886), 'DICIONÁRIO UF'!$A:$B, 2, FALSE)</f>
        <v>Espírito Santo</v>
      </c>
      <c r="C2886" s="3">
        <v>23099</v>
      </c>
      <c r="D2886" s="5" t="str">
        <f>VLOOKUP(C2886, 'DICIONÁRIO CNAES'!$A:$B, 2, FALSE)</f>
        <v>Fabricação de outros produtos de minerais não-metálicos não especificados anteriormente</v>
      </c>
      <c r="E2886" s="4">
        <v>22478.754486540001</v>
      </c>
      <c r="F2886" s="4">
        <v>54169273.315706789</v>
      </c>
    </row>
    <row r="2887" spans="1:6" x14ac:dyDescent="0.3">
      <c r="A2887" s="3" t="s">
        <v>21</v>
      </c>
      <c r="B2887" s="7" t="str">
        <f>VLOOKUP(VALUE(A2887), 'DICIONÁRIO UF'!$A:$B, 2, FALSE)</f>
        <v>Espírito Santo</v>
      </c>
      <c r="C2887" s="3">
        <v>24001</v>
      </c>
      <c r="D2887" s="5" t="str">
        <f>VLOOKUP(C2887, 'DICIONÁRIO CNAES'!$A:$B, 2, FALSE)</f>
        <v>Fabricação de produtos siderúrgicos</v>
      </c>
      <c r="E2887" s="4">
        <v>11149.69360004</v>
      </c>
      <c r="F2887" s="4">
        <v>34772027.938049167</v>
      </c>
    </row>
    <row r="2888" spans="1:6" x14ac:dyDescent="0.3">
      <c r="A2888" s="3" t="s">
        <v>21</v>
      </c>
      <c r="B2888" s="7" t="str">
        <f>VLOOKUP(VALUE(A2888), 'DICIONÁRIO UF'!$A:$B, 2, FALSE)</f>
        <v>Espírito Santo</v>
      </c>
      <c r="C2888" s="3">
        <v>24002</v>
      </c>
      <c r="D2888" s="5" t="str">
        <f>VLOOKUP(C2888, 'DICIONÁRIO CNAES'!$A:$B, 2, FALSE)</f>
        <v>Metalurgia dos metais não-ferrosos</v>
      </c>
      <c r="E2888" s="4">
        <v>2441.8791947700001</v>
      </c>
      <c r="F2888" s="4">
        <v>6706601.9793029996</v>
      </c>
    </row>
    <row r="2889" spans="1:6" x14ac:dyDescent="0.3">
      <c r="A2889" s="3" t="s">
        <v>21</v>
      </c>
      <c r="B2889" s="7" t="str">
        <f>VLOOKUP(VALUE(A2889), 'DICIONÁRIO UF'!$A:$B, 2, FALSE)</f>
        <v>Espírito Santo</v>
      </c>
      <c r="C2889" s="3">
        <v>25001</v>
      </c>
      <c r="D2889" s="5" t="str">
        <f>VLOOKUP(C2889, 'DICIONÁRIO CNAES'!$A:$B, 2, FALSE)</f>
        <v>Fabricação de produtos de metal, exceto máquinas e equipamentos</v>
      </c>
      <c r="E2889" s="4">
        <v>14062.06796477</v>
      </c>
      <c r="F2889" s="4">
        <v>27254316.78157546</v>
      </c>
    </row>
    <row r="2890" spans="1:6" x14ac:dyDescent="0.3">
      <c r="A2890" s="3" t="s">
        <v>21</v>
      </c>
      <c r="B2890" s="7" t="str">
        <f>VLOOKUP(VALUE(A2890), 'DICIONÁRIO UF'!$A:$B, 2, FALSE)</f>
        <v>Espírito Santo</v>
      </c>
      <c r="C2890" s="3">
        <v>25002</v>
      </c>
      <c r="D2890" s="5" t="str">
        <f>VLOOKUP(C2890, 'DICIONÁRIO CNAES'!$A:$B, 2, FALSE)</f>
        <v>Forjaria, estamparia, metalurgia do pó e serviços de tratamento de metais</v>
      </c>
      <c r="E2890" s="4">
        <v>1806.24342701</v>
      </c>
      <c r="F2890" s="4">
        <v>3854596.2825500001</v>
      </c>
    </row>
    <row r="2891" spans="1:6" x14ac:dyDescent="0.3">
      <c r="A2891" s="3" t="s">
        <v>21</v>
      </c>
      <c r="B2891" s="7" t="str">
        <f>VLOOKUP(VALUE(A2891), 'DICIONÁRIO UF'!$A:$B, 2, FALSE)</f>
        <v>Espírito Santo</v>
      </c>
      <c r="C2891" s="3">
        <v>27010</v>
      </c>
      <c r="D2891" s="5" t="str">
        <f>VLOOKUP(C2891, 'DICIONÁRIO CNAES'!$A:$B, 2, FALSE)</f>
        <v>Fabricação de eletrodomesticos</v>
      </c>
      <c r="E2891" s="4">
        <v>144.81317892999999</v>
      </c>
      <c r="F2891" s="4">
        <v>188257.13260899999</v>
      </c>
    </row>
    <row r="2892" spans="1:6" x14ac:dyDescent="0.3">
      <c r="A2892" s="3" t="s">
        <v>21</v>
      </c>
      <c r="B2892" s="7" t="str">
        <f>VLOOKUP(VALUE(A2892), 'DICIONÁRIO UF'!$A:$B, 2, FALSE)</f>
        <v>Espírito Santo</v>
      </c>
      <c r="C2892" s="3">
        <v>27090</v>
      </c>
      <c r="D2892" s="5" t="str">
        <f>VLOOKUP(C2892, 'DICIONÁRIO CNAES'!$A:$B, 2, FALSE)</f>
        <v>Fabricação de máquinas, aparelhos e materiais elétricos diversos, exceto eletrodomesticos</v>
      </c>
      <c r="E2892" s="4">
        <v>315.19994345999999</v>
      </c>
      <c r="F2892" s="4">
        <v>472799.91519000003</v>
      </c>
    </row>
    <row r="2893" spans="1:6" x14ac:dyDescent="0.3">
      <c r="A2893" s="3" t="s">
        <v>21</v>
      </c>
      <c r="B2893" s="7" t="str">
        <f>VLOOKUP(VALUE(A2893), 'DICIONÁRIO UF'!$A:$B, 2, FALSE)</f>
        <v>Espírito Santo</v>
      </c>
      <c r="C2893" s="3">
        <v>28000</v>
      </c>
      <c r="D2893" s="5" t="str">
        <f>VLOOKUP(C2893, 'DICIONÁRIO CNAES'!$A:$B, 2, FALSE)</f>
        <v>Fabricação de máquinas e equipamentos</v>
      </c>
      <c r="E2893" s="4">
        <v>4706.0293856300004</v>
      </c>
      <c r="F2893" s="4">
        <v>10936051.035333499</v>
      </c>
    </row>
    <row r="2894" spans="1:6" x14ac:dyDescent="0.3">
      <c r="A2894" s="3" t="s">
        <v>21</v>
      </c>
      <c r="B2894" s="7" t="str">
        <f>VLOOKUP(VALUE(A2894), 'DICIONÁRIO UF'!$A:$B, 2, FALSE)</f>
        <v>Espírito Santo</v>
      </c>
      <c r="C2894" s="3">
        <v>29001</v>
      </c>
      <c r="D2894" s="5" t="str">
        <f>VLOOKUP(C2894, 'DICIONÁRIO CNAES'!$A:$B, 2, FALSE)</f>
        <v>Fabricação e montagem de veículos automotores</v>
      </c>
      <c r="E2894" s="4">
        <v>87.783088530000001</v>
      </c>
      <c r="F2894" s="4">
        <v>368688.97182600002</v>
      </c>
    </row>
    <row r="2895" spans="1:6" x14ac:dyDescent="0.3">
      <c r="A2895" s="3" t="s">
        <v>21</v>
      </c>
      <c r="B2895" s="7" t="str">
        <f>VLOOKUP(VALUE(A2895), 'DICIONÁRIO UF'!$A:$B, 2, FALSE)</f>
        <v>Espírito Santo</v>
      </c>
      <c r="C2895" s="3">
        <v>29002</v>
      </c>
      <c r="D2895" s="5" t="str">
        <f>VLOOKUP(C2895, 'DICIONÁRIO CNAES'!$A:$B, 2, FALSE)</f>
        <v>Fabricação de cabines, carrocerias, reboques e peças para veículos automotores</v>
      </c>
      <c r="E2895" s="4">
        <v>623.05094572999997</v>
      </c>
      <c r="F2895" s="4">
        <v>1314838.014365</v>
      </c>
    </row>
    <row r="2896" spans="1:6" x14ac:dyDescent="0.3">
      <c r="A2896" s="3" t="s">
        <v>21</v>
      </c>
      <c r="B2896" s="7" t="str">
        <f>VLOOKUP(VALUE(A2896), 'DICIONÁRIO UF'!$A:$B, 2, FALSE)</f>
        <v>Espírito Santo</v>
      </c>
      <c r="C2896" s="3">
        <v>30010</v>
      </c>
      <c r="D2896" s="5" t="str">
        <f>VLOOKUP(C2896, 'DICIONÁRIO CNAES'!$A:$B, 2, FALSE)</f>
        <v xml:space="preserve">Construção de embarcações </v>
      </c>
      <c r="E2896" s="4">
        <v>923.16698260999999</v>
      </c>
      <c r="F2896" s="4">
        <v>3153786.9580700002</v>
      </c>
    </row>
    <row r="2897" spans="1:6" x14ac:dyDescent="0.3">
      <c r="A2897" s="3" t="s">
        <v>21</v>
      </c>
      <c r="B2897" s="7" t="str">
        <f>VLOOKUP(VALUE(A2897), 'DICIONÁRIO UF'!$A:$B, 2, FALSE)</f>
        <v>Espírito Santo</v>
      </c>
      <c r="C2897" s="3">
        <v>30090</v>
      </c>
      <c r="D2897" s="5" t="str">
        <f>VLOOKUP(C2897, 'DICIONÁRIO CNAES'!$A:$B, 2, FALSE)</f>
        <v>Fabricação de outros equipamentos de transporte não especificados anteriormente</v>
      </c>
      <c r="E2897" s="4">
        <v>135.01240433000001</v>
      </c>
      <c r="F2897" s="4">
        <v>189017.36606199999</v>
      </c>
    </row>
    <row r="2898" spans="1:6" x14ac:dyDescent="0.3">
      <c r="A2898" s="3" t="s">
        <v>21</v>
      </c>
      <c r="B2898" s="7" t="str">
        <f>VLOOKUP(VALUE(A2898), 'DICIONÁRIO UF'!$A:$B, 2, FALSE)</f>
        <v>Espírito Santo</v>
      </c>
      <c r="C2898" s="3">
        <v>31000</v>
      </c>
      <c r="D2898" s="5" t="str">
        <f>VLOOKUP(C2898, 'DICIONÁRIO CNAES'!$A:$B, 2, FALSE)</f>
        <v>Fabricação de móveis</v>
      </c>
      <c r="E2898" s="4">
        <v>9766.2640354899995</v>
      </c>
      <c r="F2898" s="4">
        <v>17474518.520263702</v>
      </c>
    </row>
    <row r="2899" spans="1:6" x14ac:dyDescent="0.3">
      <c r="A2899" s="3" t="s">
        <v>21</v>
      </c>
      <c r="B2899" s="7" t="str">
        <f>VLOOKUP(VALUE(A2899), 'DICIONÁRIO UF'!$A:$B, 2, FALSE)</f>
        <v>Espírito Santo</v>
      </c>
      <c r="C2899" s="3">
        <v>32001</v>
      </c>
      <c r="D2899" s="5" t="str">
        <f>VLOOKUP(C2899, 'DICIONÁRIO CNAES'!$A:$B, 2, FALSE)</f>
        <v>Fabricação de artigos de joalheria, bijuteria e semelhantes</v>
      </c>
      <c r="E2899" s="4">
        <v>729.89161751999995</v>
      </c>
      <c r="F2899" s="4">
        <v>912645.47937999992</v>
      </c>
    </row>
    <row r="2900" spans="1:6" x14ac:dyDescent="0.3">
      <c r="A2900" s="3" t="s">
        <v>21</v>
      </c>
      <c r="B2900" s="7" t="str">
        <f>VLOOKUP(VALUE(A2900), 'DICIONÁRIO UF'!$A:$B, 2, FALSE)</f>
        <v>Espírito Santo</v>
      </c>
      <c r="C2900" s="3">
        <v>32009</v>
      </c>
      <c r="D2900" s="5" t="str">
        <f>VLOOKUP(C2900, 'DICIONÁRIO CNAES'!$A:$B, 2, FALSE)</f>
        <v>Fabricação de produtos diversos</v>
      </c>
      <c r="E2900" s="4">
        <v>1608.2496484999999</v>
      </c>
      <c r="F2900" s="4">
        <v>2858324.5666100001</v>
      </c>
    </row>
    <row r="2901" spans="1:6" x14ac:dyDescent="0.3">
      <c r="A2901" s="3" t="s">
        <v>21</v>
      </c>
      <c r="B2901" s="7" t="str">
        <f>VLOOKUP(VALUE(A2901), 'DICIONÁRIO UF'!$A:$B, 2, FALSE)</f>
        <v>Espírito Santo</v>
      </c>
      <c r="C2901" s="3">
        <v>33001</v>
      </c>
      <c r="D2901" s="5" t="str">
        <f>VLOOKUP(C2901, 'DICIONÁRIO CNAES'!$A:$B, 2, FALSE)</f>
        <v>Manutenção e reparação de máquinas e equipamentos</v>
      </c>
      <c r="E2901" s="4">
        <v>14750.48963319</v>
      </c>
      <c r="F2901" s="4">
        <v>44372901.234577447</v>
      </c>
    </row>
    <row r="2902" spans="1:6" x14ac:dyDescent="0.3">
      <c r="A2902" s="3" t="s">
        <v>21</v>
      </c>
      <c r="B2902" s="7" t="str">
        <f>VLOOKUP(VALUE(A2902), 'DICIONÁRIO UF'!$A:$B, 2, FALSE)</f>
        <v>Espírito Santo</v>
      </c>
      <c r="C2902" s="3">
        <v>35010</v>
      </c>
      <c r="D2902" s="5" t="str">
        <f>VLOOKUP(C2902, 'DICIONÁRIO CNAES'!$A:$B, 2, FALSE)</f>
        <v>Geração, transmissão e distribuição de energia elétrica</v>
      </c>
      <c r="E2902" s="4">
        <v>6038.89146033</v>
      </c>
      <c r="F2902" s="4">
        <v>27786753.7237137</v>
      </c>
    </row>
    <row r="2903" spans="1:6" x14ac:dyDescent="0.3">
      <c r="A2903" s="3" t="s">
        <v>21</v>
      </c>
      <c r="B2903" s="7" t="str">
        <f>VLOOKUP(VALUE(A2903), 'DICIONÁRIO UF'!$A:$B, 2, FALSE)</f>
        <v>Espírito Santo</v>
      </c>
      <c r="C2903" s="3">
        <v>35021</v>
      </c>
      <c r="D2903" s="5" t="str">
        <f>VLOOKUP(C2903, 'DICIONÁRIO CNAES'!$A:$B, 2, FALSE)</f>
        <v>Produção e distribuição de combustíveis gasosos por redes urbanas</v>
      </c>
      <c r="E2903" s="4">
        <v>288.86895902999998</v>
      </c>
      <c r="F2903" s="4">
        <v>462190.33444800001</v>
      </c>
    </row>
    <row r="2904" spans="1:6" x14ac:dyDescent="0.3">
      <c r="A2904" s="3" t="s">
        <v>21</v>
      </c>
      <c r="B2904" s="7" t="str">
        <f>VLOOKUP(VALUE(A2904), 'DICIONÁRIO UF'!$A:$B, 2, FALSE)</f>
        <v>Espírito Santo</v>
      </c>
      <c r="C2904" s="3">
        <v>36000</v>
      </c>
      <c r="D2904" s="5" t="str">
        <f>VLOOKUP(C2904, 'DICIONÁRIO CNAES'!$A:$B, 2, FALSE)</f>
        <v>Captação, tratamento e distribuição de água</v>
      </c>
      <c r="E2904" s="4">
        <v>4281.30151733</v>
      </c>
      <c r="F2904" s="4">
        <v>23798284.843538381</v>
      </c>
    </row>
    <row r="2905" spans="1:6" x14ac:dyDescent="0.3">
      <c r="A2905" s="3" t="s">
        <v>21</v>
      </c>
      <c r="B2905" s="7" t="str">
        <f>VLOOKUP(VALUE(A2905), 'DICIONÁRIO UF'!$A:$B, 2, FALSE)</f>
        <v>Espírito Santo</v>
      </c>
      <c r="C2905" s="3">
        <v>37000</v>
      </c>
      <c r="D2905" s="5" t="str">
        <f>VLOOKUP(C2905, 'DICIONÁRIO CNAES'!$A:$B, 2, FALSE)</f>
        <v>Esgoto e atividades relacionadas</v>
      </c>
      <c r="E2905" s="4">
        <v>741.44252304999998</v>
      </c>
      <c r="F2905" s="4">
        <v>966933.97043899994</v>
      </c>
    </row>
    <row r="2906" spans="1:6" x14ac:dyDescent="0.3">
      <c r="A2906" s="3" t="s">
        <v>21</v>
      </c>
      <c r="B2906" s="7" t="str">
        <f>VLOOKUP(VALUE(A2906), 'DICIONÁRIO UF'!$A:$B, 2, FALSE)</f>
        <v>Espírito Santo</v>
      </c>
      <c r="C2906" s="3">
        <v>38000</v>
      </c>
      <c r="D2906" s="5" t="str">
        <f>VLOOKUP(C2906, 'DICIONÁRIO CNAES'!$A:$B, 2, FALSE)</f>
        <v>Coleta, tratamento e disposição de resíduos; recuperação de materiais</v>
      </c>
      <c r="E2906" s="4">
        <v>5952.3600026800004</v>
      </c>
      <c r="F2906" s="4">
        <v>7553833.1037262399</v>
      </c>
    </row>
    <row r="2907" spans="1:6" x14ac:dyDescent="0.3">
      <c r="A2907" s="3" t="s">
        <v>21</v>
      </c>
      <c r="B2907" s="7" t="str">
        <f>VLOOKUP(VALUE(A2907), 'DICIONÁRIO UF'!$A:$B, 2, FALSE)</f>
        <v>Espírito Santo</v>
      </c>
      <c r="C2907" s="3">
        <v>41000</v>
      </c>
      <c r="D2907" s="5" t="str">
        <f>VLOOKUP(C2907, 'DICIONÁRIO CNAES'!$A:$B, 2, FALSE)</f>
        <v>Construção de edifícios</v>
      </c>
      <c r="E2907" s="4">
        <v>99740.386205460003</v>
      </c>
      <c r="F2907" s="4">
        <v>182772707.85529101</v>
      </c>
    </row>
    <row r="2908" spans="1:6" x14ac:dyDescent="0.3">
      <c r="A2908" s="3" t="s">
        <v>21</v>
      </c>
      <c r="B2908" s="7" t="str">
        <f>VLOOKUP(VALUE(A2908), 'DICIONÁRIO UF'!$A:$B, 2, FALSE)</f>
        <v>Espírito Santo</v>
      </c>
      <c r="C2908" s="3">
        <v>42000</v>
      </c>
      <c r="D2908" s="5" t="str">
        <f>VLOOKUP(C2908, 'DICIONÁRIO CNAES'!$A:$B, 2, FALSE)</f>
        <v>Construção de obras de infra-estrutura</v>
      </c>
      <c r="E2908" s="4">
        <v>16775.670987220001</v>
      </c>
      <c r="F2908" s="4">
        <v>49311154.469755821</v>
      </c>
    </row>
    <row r="2909" spans="1:6" x14ac:dyDescent="0.3">
      <c r="A2909" s="3" t="s">
        <v>21</v>
      </c>
      <c r="B2909" s="7" t="str">
        <f>VLOOKUP(VALUE(A2909), 'DICIONÁRIO UF'!$A:$B, 2, FALSE)</f>
        <v>Espírito Santo</v>
      </c>
      <c r="C2909" s="3">
        <v>43000</v>
      </c>
      <c r="D2909" s="5" t="str">
        <f>VLOOKUP(C2909, 'DICIONÁRIO CNAES'!$A:$B, 2, FALSE)</f>
        <v>Serviços especializados para construção</v>
      </c>
      <c r="E2909" s="4">
        <v>31435.305697989999</v>
      </c>
      <c r="F2909" s="4">
        <v>68830604.966972604</v>
      </c>
    </row>
    <row r="2910" spans="1:6" x14ac:dyDescent="0.3">
      <c r="A2910" s="3" t="s">
        <v>21</v>
      </c>
      <c r="B2910" s="7" t="str">
        <f>VLOOKUP(VALUE(A2910), 'DICIONÁRIO UF'!$A:$B, 2, FALSE)</f>
        <v>Espírito Santo</v>
      </c>
      <c r="C2910" s="3">
        <v>45010</v>
      </c>
      <c r="D2910" s="5" t="str">
        <f>VLOOKUP(C2910, 'DICIONÁRIO CNAES'!$A:$B, 2, FALSE)</f>
        <v>Comércio de veículos automotores</v>
      </c>
      <c r="E2910" s="4">
        <v>8270.9207205300008</v>
      </c>
      <c r="F2910" s="4">
        <v>18352996.017770998</v>
      </c>
    </row>
    <row r="2911" spans="1:6" x14ac:dyDescent="0.3">
      <c r="A2911" s="3" t="s">
        <v>21</v>
      </c>
      <c r="B2911" s="7" t="str">
        <f>VLOOKUP(VALUE(A2911), 'DICIONÁRIO UF'!$A:$B, 2, FALSE)</f>
        <v>Espírito Santo</v>
      </c>
      <c r="C2911" s="3">
        <v>45020</v>
      </c>
      <c r="D2911" s="5" t="str">
        <f>VLOOKUP(C2911, 'DICIONÁRIO CNAES'!$A:$B, 2, FALSE)</f>
        <v>Manutenção e reparação de veículos automotores</v>
      </c>
      <c r="E2911" s="4">
        <v>40382.125845089999</v>
      </c>
      <c r="F2911" s="4">
        <v>73185453.924333021</v>
      </c>
    </row>
    <row r="2912" spans="1:6" x14ac:dyDescent="0.3">
      <c r="A2912" s="3" t="s">
        <v>21</v>
      </c>
      <c r="B2912" s="7" t="str">
        <f>VLOOKUP(VALUE(A2912), 'DICIONÁRIO UF'!$A:$B, 2, FALSE)</f>
        <v>Espírito Santo</v>
      </c>
      <c r="C2912" s="3">
        <v>45030</v>
      </c>
      <c r="D2912" s="5" t="str">
        <f>VLOOKUP(C2912, 'DICIONÁRIO CNAES'!$A:$B, 2, FALSE)</f>
        <v>Comércio de peças e acessórios para veículos automotores</v>
      </c>
      <c r="E2912" s="4">
        <v>10652.72417008</v>
      </c>
      <c r="F2912" s="4">
        <v>28864532.469125599</v>
      </c>
    </row>
    <row r="2913" spans="1:6" x14ac:dyDescent="0.3">
      <c r="A2913" s="3" t="s">
        <v>21</v>
      </c>
      <c r="B2913" s="7" t="str">
        <f>VLOOKUP(VALUE(A2913), 'DICIONÁRIO UF'!$A:$B, 2, FALSE)</f>
        <v>Espírito Santo</v>
      </c>
      <c r="C2913" s="3">
        <v>45040</v>
      </c>
      <c r="D2913" s="5" t="str">
        <f>VLOOKUP(C2913, 'DICIONÁRIO CNAES'!$A:$B, 2, FALSE)</f>
        <v>Comércio, manutenção e reparação de motocicletas, peças e acessórios</v>
      </c>
      <c r="E2913" s="4">
        <v>3873.6446898999998</v>
      </c>
      <c r="F2913" s="4">
        <v>6712230.1763899997</v>
      </c>
    </row>
    <row r="2914" spans="1:6" x14ac:dyDescent="0.3">
      <c r="A2914" s="3" t="s">
        <v>21</v>
      </c>
      <c r="B2914" s="7" t="str">
        <f>VLOOKUP(VALUE(A2914), 'DICIONÁRIO UF'!$A:$B, 2, FALSE)</f>
        <v>Espírito Santo</v>
      </c>
      <c r="C2914" s="3">
        <v>48010</v>
      </c>
      <c r="D2914" s="5" t="str">
        <f>VLOOKUP(C2914, 'DICIONÁRIO CNAES'!$A:$B, 2, FALSE)</f>
        <v>Representantes comerciais e agentes do comércio, exceto de veículos automotores e motocicletas</v>
      </c>
      <c r="E2914" s="4">
        <v>7826.1095974999998</v>
      </c>
      <c r="F2914" s="4">
        <v>33236811.778042</v>
      </c>
    </row>
    <row r="2915" spans="1:6" x14ac:dyDescent="0.3">
      <c r="A2915" s="3" t="s">
        <v>21</v>
      </c>
      <c r="B2915" s="7" t="str">
        <f>VLOOKUP(VALUE(A2915), 'DICIONÁRIO UF'!$A:$B, 2, FALSE)</f>
        <v>Espírito Santo</v>
      </c>
      <c r="C2915" s="3">
        <v>48020</v>
      </c>
      <c r="D2915" s="5" t="str">
        <f>VLOOKUP(C2915, 'DICIONÁRIO CNAES'!$A:$B, 2, FALSE)</f>
        <v>Comércio de matérias-primas agrícolas e animais vivos</v>
      </c>
      <c r="E2915" s="4">
        <v>3905.0224572900001</v>
      </c>
      <c r="F2915" s="4">
        <v>7525827.1507428</v>
      </c>
    </row>
    <row r="2916" spans="1:6" x14ac:dyDescent="0.3">
      <c r="A2916" s="3" t="s">
        <v>21</v>
      </c>
      <c r="B2916" s="7" t="str">
        <f>VLOOKUP(VALUE(A2916), 'DICIONÁRIO UF'!$A:$B, 2, FALSE)</f>
        <v>Espírito Santo</v>
      </c>
      <c r="C2916" s="3">
        <v>48030</v>
      </c>
      <c r="D2916" s="5" t="str">
        <f>VLOOKUP(C2916, 'DICIONÁRIO CNAES'!$A:$B, 2, FALSE)</f>
        <v>Comércio de produtos alimentícios, bebidas e fumo</v>
      </c>
      <c r="E2916" s="4">
        <v>64453.346439159999</v>
      </c>
      <c r="F2916" s="4">
        <v>123712137.97226951</v>
      </c>
    </row>
    <row r="2917" spans="1:6" x14ac:dyDescent="0.3">
      <c r="A2917" s="3" t="s">
        <v>21</v>
      </c>
      <c r="B2917" s="7" t="str">
        <f>VLOOKUP(VALUE(A2917), 'DICIONÁRIO UF'!$A:$B, 2, FALSE)</f>
        <v>Espírito Santo</v>
      </c>
      <c r="C2917" s="3">
        <v>48041</v>
      </c>
      <c r="D2917" s="5" t="str">
        <f>VLOOKUP(C2917, 'DICIONÁRIO CNAES'!$A:$B, 2, FALSE)</f>
        <v>Comércio de tecidos, artefatos de tecidos e armarinho</v>
      </c>
      <c r="E2917" s="4">
        <v>2192.70630876</v>
      </c>
      <c r="F2917" s="4">
        <v>3329926.0939000002</v>
      </c>
    </row>
    <row r="2918" spans="1:6" x14ac:dyDescent="0.3">
      <c r="A2918" s="3" t="s">
        <v>21</v>
      </c>
      <c r="B2918" s="7" t="str">
        <f>VLOOKUP(VALUE(A2918), 'DICIONÁRIO UF'!$A:$B, 2, FALSE)</f>
        <v>Espírito Santo</v>
      </c>
      <c r="C2918" s="3">
        <v>48042</v>
      </c>
      <c r="D2918" s="5" t="str">
        <f>VLOOKUP(C2918, 'DICIONÁRIO CNAES'!$A:$B, 2, FALSE)</f>
        <v>Comércio de artigos do vestuário, complementos, calçados e artigos de viagem</v>
      </c>
      <c r="E2918" s="4">
        <v>39459.160058629997</v>
      </c>
      <c r="F2918" s="4">
        <v>80784671.876046672</v>
      </c>
    </row>
    <row r="2919" spans="1:6" x14ac:dyDescent="0.3">
      <c r="A2919" s="3" t="s">
        <v>21</v>
      </c>
      <c r="B2919" s="7" t="str">
        <f>VLOOKUP(VALUE(A2919), 'DICIONÁRIO UF'!$A:$B, 2, FALSE)</f>
        <v>Espírito Santo</v>
      </c>
      <c r="C2919" s="3">
        <v>48050</v>
      </c>
      <c r="D2919" s="5" t="str">
        <f>VLOOKUP(C2919, 'DICIONÁRIO CNAES'!$A:$B, 2, FALSE)</f>
        <v>Comércio de madeira, material de construção, ferragens e ferramentas</v>
      </c>
      <c r="E2919" s="4">
        <v>22829.815185809999</v>
      </c>
      <c r="F2919" s="4">
        <v>48022720.958123498</v>
      </c>
    </row>
    <row r="2920" spans="1:6" x14ac:dyDescent="0.3">
      <c r="A2920" s="3" t="s">
        <v>21</v>
      </c>
      <c r="B2920" s="7" t="str">
        <f>VLOOKUP(VALUE(A2920), 'DICIONÁRIO UF'!$A:$B, 2, FALSE)</f>
        <v>Espírito Santo</v>
      </c>
      <c r="C2920" s="3">
        <v>48060</v>
      </c>
      <c r="D2920" s="5" t="str">
        <f>VLOOKUP(C2920, 'DICIONÁRIO CNAES'!$A:$B, 2, FALSE)</f>
        <v>Comércio de combustíveis para veículos automotores</v>
      </c>
      <c r="E2920" s="4">
        <v>6283.0960416500002</v>
      </c>
      <c r="F2920" s="4">
        <v>9815873.8025256004</v>
      </c>
    </row>
    <row r="2921" spans="1:6" x14ac:dyDescent="0.3">
      <c r="A2921" s="3" t="s">
        <v>21</v>
      </c>
      <c r="B2921" s="7" t="str">
        <f>VLOOKUP(VALUE(A2921), 'DICIONÁRIO UF'!$A:$B, 2, FALSE)</f>
        <v>Espírito Santo</v>
      </c>
      <c r="C2921" s="3">
        <v>48071</v>
      </c>
      <c r="D2921" s="5" t="str">
        <f>VLOOKUP(C2921, 'DICIONÁRIO CNAES'!$A:$B, 2, FALSE)</f>
        <v>Comércio de produtos farmaceuticos, médicos, ortopédicos, odontológicos e de cosméticos e perfumaria</v>
      </c>
      <c r="E2921" s="4">
        <v>28117.40163298</v>
      </c>
      <c r="F2921" s="4">
        <v>54696177.408591859</v>
      </c>
    </row>
    <row r="2922" spans="1:6" x14ac:dyDescent="0.3">
      <c r="A2922" s="3" t="s">
        <v>21</v>
      </c>
      <c r="B2922" s="7" t="str">
        <f>VLOOKUP(VALUE(A2922), 'DICIONÁRIO UF'!$A:$B, 2, FALSE)</f>
        <v>Espírito Santo</v>
      </c>
      <c r="C2922" s="3">
        <v>48072</v>
      </c>
      <c r="D2922" s="5" t="str">
        <f>VLOOKUP(C2922, 'DICIONÁRIO CNAES'!$A:$B, 2, FALSE)</f>
        <v>Comércio de artigos de escritório e de papelaria; livros, jornais e outras publicações</v>
      </c>
      <c r="E2922" s="4">
        <v>3168.40389809</v>
      </c>
      <c r="F2922" s="4">
        <v>4743184.483054</v>
      </c>
    </row>
    <row r="2923" spans="1:6" x14ac:dyDescent="0.3">
      <c r="A2923" s="3" t="s">
        <v>21</v>
      </c>
      <c r="B2923" s="7" t="str">
        <f>VLOOKUP(VALUE(A2923), 'DICIONÁRIO UF'!$A:$B, 2, FALSE)</f>
        <v>Espírito Santo</v>
      </c>
      <c r="C2923" s="3">
        <v>48073</v>
      </c>
      <c r="D2923" s="5" t="str">
        <f>VLOOKUP(C2923, 'DICIONÁRIO CNAES'!$A:$B, 2, FALSE)</f>
        <v>Comércio de eletrodomésticos, móveis e outros artigos de residência</v>
      </c>
      <c r="E2923" s="4">
        <v>15702.488916439999</v>
      </c>
      <c r="F2923" s="4">
        <v>30744086.125403378</v>
      </c>
    </row>
    <row r="2924" spans="1:6" x14ac:dyDescent="0.3">
      <c r="A2924" s="3" t="s">
        <v>21</v>
      </c>
      <c r="B2924" s="7" t="str">
        <f>VLOOKUP(VALUE(A2924), 'DICIONÁRIO UF'!$A:$B, 2, FALSE)</f>
        <v>Espírito Santo</v>
      </c>
      <c r="C2924" s="3">
        <v>48074</v>
      </c>
      <c r="D2924" s="5" t="str">
        <f>VLOOKUP(C2924, 'DICIONÁRIO CNAES'!$A:$B, 2, FALSE)</f>
        <v>Comércio de equipamentos e produtos de tecnologias de informação e comunicação</v>
      </c>
      <c r="E2924" s="4">
        <v>2030.27272193</v>
      </c>
      <c r="F2924" s="4">
        <v>9298008.4577600006</v>
      </c>
    </row>
    <row r="2925" spans="1:6" x14ac:dyDescent="0.3">
      <c r="A2925" s="3" t="s">
        <v>21</v>
      </c>
      <c r="B2925" s="7" t="str">
        <f>VLOOKUP(VALUE(A2925), 'DICIONÁRIO UF'!$A:$B, 2, FALSE)</f>
        <v>Espírito Santo</v>
      </c>
      <c r="C2925" s="3">
        <v>48075</v>
      </c>
      <c r="D2925" s="5" t="str">
        <f>VLOOKUP(C2925, 'DICIONÁRIO CNAES'!$A:$B, 2, FALSE)</f>
        <v xml:space="preserve">Comércio de máquinas, aparelhos e equipamentos, exceto eletrodomésticos </v>
      </c>
      <c r="E2925" s="4">
        <v>7108.3123362899996</v>
      </c>
      <c r="F2925" s="4">
        <v>25293124.087454479</v>
      </c>
    </row>
    <row r="2926" spans="1:6" x14ac:dyDescent="0.3">
      <c r="A2926" s="3" t="s">
        <v>21</v>
      </c>
      <c r="B2926" s="7" t="str">
        <f>VLOOKUP(VALUE(A2926), 'DICIONÁRIO UF'!$A:$B, 2, FALSE)</f>
        <v>Espírito Santo</v>
      </c>
      <c r="C2926" s="3">
        <v>48076</v>
      </c>
      <c r="D2926" s="5" t="str">
        <f>VLOOKUP(C2926, 'DICIONÁRIO CNAES'!$A:$B, 2, FALSE)</f>
        <v>Comércio de combustíveis sólidos, líquidos e gasosos, exceto para veículos automotores</v>
      </c>
      <c r="E2926" s="4">
        <v>2075.51693088</v>
      </c>
      <c r="F2926" s="4">
        <v>12112187.822595499</v>
      </c>
    </row>
    <row r="2927" spans="1:6" x14ac:dyDescent="0.3">
      <c r="A2927" s="3" t="s">
        <v>21</v>
      </c>
      <c r="B2927" s="7" t="str">
        <f>VLOOKUP(VALUE(A2927), 'DICIONÁRIO UF'!$A:$B, 2, FALSE)</f>
        <v>Espírito Santo</v>
      </c>
      <c r="C2927" s="3">
        <v>48077</v>
      </c>
      <c r="D2927" s="5" t="str">
        <f>VLOOKUP(C2927, 'DICIONÁRIO CNAES'!$A:$B, 2, FALSE)</f>
        <v>Comércio de produtos usados</v>
      </c>
      <c r="E2927" s="4">
        <v>401.75189202000001</v>
      </c>
      <c r="F2927" s="4">
        <v>276522.205151</v>
      </c>
    </row>
    <row r="2928" spans="1:6" x14ac:dyDescent="0.3">
      <c r="A2928" s="3" t="s">
        <v>21</v>
      </c>
      <c r="B2928" s="7" t="str">
        <f>VLOOKUP(VALUE(A2928), 'DICIONÁRIO UF'!$A:$B, 2, FALSE)</f>
        <v>Espírito Santo</v>
      </c>
      <c r="C2928" s="3">
        <v>48078</v>
      </c>
      <c r="D2928" s="5" t="str">
        <f>VLOOKUP(C2928, 'DICIONÁRIO CNAES'!$A:$B, 2, FALSE)</f>
        <v>Comercio de residuos e sucatas</v>
      </c>
      <c r="E2928" s="4">
        <v>6863.3160306199998</v>
      </c>
      <c r="F2928" s="4">
        <v>16065155.3458272</v>
      </c>
    </row>
    <row r="2929" spans="1:6" x14ac:dyDescent="0.3">
      <c r="A2929" s="3" t="s">
        <v>21</v>
      </c>
      <c r="B2929" s="7" t="str">
        <f>VLOOKUP(VALUE(A2929), 'DICIONÁRIO UF'!$A:$B, 2, FALSE)</f>
        <v>Espírito Santo</v>
      </c>
      <c r="C2929" s="3">
        <v>48079</v>
      </c>
      <c r="D2929" s="5" t="str">
        <f>VLOOKUP(C2929, 'DICIONÁRIO CNAES'!$A:$B, 2, FALSE)</f>
        <v>Comércio de produtos novos não especificados anteriormente</v>
      </c>
      <c r="E2929" s="4">
        <v>17817.351192300001</v>
      </c>
      <c r="F2929" s="4">
        <v>47368059.678176217</v>
      </c>
    </row>
    <row r="2930" spans="1:6" x14ac:dyDescent="0.3">
      <c r="A2930" s="3" t="s">
        <v>21</v>
      </c>
      <c r="B2930" s="7" t="str">
        <f>VLOOKUP(VALUE(A2930), 'DICIONÁRIO UF'!$A:$B, 2, FALSE)</f>
        <v>Espírito Santo</v>
      </c>
      <c r="C2930" s="3">
        <v>48080</v>
      </c>
      <c r="D2930" s="5" t="str">
        <f>VLOOKUP(C2930, 'DICIONÁRIO CNAES'!$A:$B, 2, FALSE)</f>
        <v>Supermercado e hipermercado</v>
      </c>
      <c r="E2930" s="4">
        <v>48547.908318909998</v>
      </c>
      <c r="F2930" s="4">
        <v>89761478.2435278</v>
      </c>
    </row>
    <row r="2931" spans="1:6" x14ac:dyDescent="0.3">
      <c r="A2931" s="3" t="s">
        <v>21</v>
      </c>
      <c r="B2931" s="7" t="str">
        <f>VLOOKUP(VALUE(A2931), 'DICIONÁRIO UF'!$A:$B, 2, FALSE)</f>
        <v>Espírito Santo</v>
      </c>
      <c r="C2931" s="3">
        <v>48090</v>
      </c>
      <c r="D2931" s="5" t="str">
        <f>VLOOKUP(C2931, 'DICIONÁRIO CNAES'!$A:$B, 2, FALSE)</f>
        <v>Lojas de departamento e outros comércios não especializados, sem predominância de produtos alimentícios</v>
      </c>
      <c r="E2931" s="4">
        <v>171.43403115000001</v>
      </c>
      <c r="F2931" s="4">
        <v>102860.41869000001</v>
      </c>
    </row>
    <row r="2932" spans="1:6" x14ac:dyDescent="0.3">
      <c r="A2932" s="3" t="s">
        <v>21</v>
      </c>
      <c r="B2932" s="7" t="str">
        <f>VLOOKUP(VALUE(A2932), 'DICIONÁRIO UF'!$A:$B, 2, FALSE)</f>
        <v>Espírito Santo</v>
      </c>
      <c r="C2932" s="3">
        <v>48100</v>
      </c>
      <c r="D2932" s="5" t="str">
        <f>VLOOKUP(C2932, 'DICIONÁRIO CNAES'!$A:$B, 2, FALSE)</f>
        <v>Comércio ambulante e feiras</v>
      </c>
      <c r="E2932" s="4">
        <v>7470.3021922600001</v>
      </c>
      <c r="F2932" s="4">
        <v>8611438.3813864999</v>
      </c>
    </row>
    <row r="2933" spans="1:6" x14ac:dyDescent="0.3">
      <c r="A2933" s="3" t="s">
        <v>21</v>
      </c>
      <c r="B2933" s="7" t="str">
        <f>VLOOKUP(VALUE(A2933), 'DICIONÁRIO UF'!$A:$B, 2, FALSE)</f>
        <v>Espírito Santo</v>
      </c>
      <c r="C2933" s="3">
        <v>49010</v>
      </c>
      <c r="D2933" s="5" t="str">
        <f>VLOOKUP(C2933, 'DICIONÁRIO CNAES'!$A:$B, 2, FALSE)</f>
        <v>Transporte ferroviário e metroferroviário</v>
      </c>
      <c r="E2933" s="4">
        <v>840.53356071999997</v>
      </c>
      <c r="F2933" s="4">
        <v>1660396.8081479</v>
      </c>
    </row>
    <row r="2934" spans="1:6" x14ac:dyDescent="0.3">
      <c r="A2934" s="3" t="s">
        <v>21</v>
      </c>
      <c r="B2934" s="7" t="str">
        <f>VLOOKUP(VALUE(A2934), 'DICIONÁRIO UF'!$A:$B, 2, FALSE)</f>
        <v>Espírito Santo</v>
      </c>
      <c r="C2934" s="3">
        <v>49030</v>
      </c>
      <c r="D2934" s="5" t="str">
        <f>VLOOKUP(C2934, 'DICIONÁRIO CNAES'!$A:$B, 2, FALSE)</f>
        <v>Transporte rodoviário de passageiros</v>
      </c>
      <c r="E2934" s="4">
        <v>37582.136765989999</v>
      </c>
      <c r="F2934" s="4">
        <v>83473462.854424596</v>
      </c>
    </row>
    <row r="2935" spans="1:6" x14ac:dyDescent="0.3">
      <c r="A2935" s="3" t="s">
        <v>21</v>
      </c>
      <c r="B2935" s="7" t="str">
        <f>VLOOKUP(VALUE(A2935), 'DICIONÁRIO UF'!$A:$B, 2, FALSE)</f>
        <v>Espírito Santo</v>
      </c>
      <c r="C2935" s="3">
        <v>49040</v>
      </c>
      <c r="D2935" s="5" t="str">
        <f>VLOOKUP(C2935, 'DICIONÁRIO CNAES'!$A:$B, 2, FALSE)</f>
        <v>Transporte rodoviário de carga</v>
      </c>
      <c r="E2935" s="4">
        <v>45547.944115179998</v>
      </c>
      <c r="F2935" s="4">
        <v>105543724.3687837</v>
      </c>
    </row>
    <row r="2936" spans="1:6" x14ac:dyDescent="0.3">
      <c r="A2936" s="3" t="s">
        <v>21</v>
      </c>
      <c r="B2936" s="7" t="str">
        <f>VLOOKUP(VALUE(A2936), 'DICIONÁRIO UF'!$A:$B, 2, FALSE)</f>
        <v>Espírito Santo</v>
      </c>
      <c r="C2936" s="3">
        <v>49090</v>
      </c>
      <c r="D2936" s="5" t="str">
        <f>VLOOKUP(C2936, 'DICIONÁRIO CNAES'!$A:$B, 2, FALSE)</f>
        <v>Outros transportes terrestres</v>
      </c>
      <c r="E2936" s="4">
        <v>374.25223715999999</v>
      </c>
      <c r="F2936" s="4">
        <v>1235032.3826280001</v>
      </c>
    </row>
    <row r="2937" spans="1:6" x14ac:dyDescent="0.3">
      <c r="A2937" s="3" t="s">
        <v>21</v>
      </c>
      <c r="B2937" s="7" t="str">
        <f>VLOOKUP(VALUE(A2937), 'DICIONÁRIO UF'!$A:$B, 2, FALSE)</f>
        <v>Espírito Santo</v>
      </c>
      <c r="C2937" s="3">
        <v>50000</v>
      </c>
      <c r="D2937" s="5" t="str">
        <f>VLOOKUP(C2937, 'DICIONÁRIO CNAES'!$A:$B, 2, FALSE)</f>
        <v>Transporte Aquaviário</v>
      </c>
      <c r="E2937" s="4">
        <v>3522.26002148</v>
      </c>
      <c r="F2937" s="4">
        <v>28284336.664675198</v>
      </c>
    </row>
    <row r="2938" spans="1:6" x14ac:dyDescent="0.3">
      <c r="A2938" s="3" t="s">
        <v>21</v>
      </c>
      <c r="B2938" s="7" t="str">
        <f>VLOOKUP(VALUE(A2938), 'DICIONÁRIO UF'!$A:$B, 2, FALSE)</f>
        <v>Espírito Santo</v>
      </c>
      <c r="C2938" s="3">
        <v>51000</v>
      </c>
      <c r="D2938" s="5" t="str">
        <f>VLOOKUP(C2938, 'DICIONÁRIO CNAES'!$A:$B, 2, FALSE)</f>
        <v>Transporte Aéreo</v>
      </c>
      <c r="E2938" s="4">
        <v>128.35642548999999</v>
      </c>
      <c r="F2938" s="4">
        <v>320891.06372500001</v>
      </c>
    </row>
    <row r="2939" spans="1:6" x14ac:dyDescent="0.3">
      <c r="A2939" s="3" t="s">
        <v>21</v>
      </c>
      <c r="B2939" s="7" t="str">
        <f>VLOOKUP(VALUE(A2939), 'DICIONÁRIO UF'!$A:$B, 2, FALSE)</f>
        <v>Espírito Santo</v>
      </c>
      <c r="C2939" s="3">
        <v>52010</v>
      </c>
      <c r="D2939" s="5" t="str">
        <f>VLOOKUP(C2939, 'DICIONÁRIO CNAES'!$A:$B, 2, FALSE)</f>
        <v>Armazenamento, carga e descarga</v>
      </c>
      <c r="E2939" s="4">
        <v>2620.3537922199998</v>
      </c>
      <c r="F2939" s="4">
        <v>3475794.8227630001</v>
      </c>
    </row>
    <row r="2940" spans="1:6" x14ac:dyDescent="0.3">
      <c r="A2940" s="3" t="s">
        <v>21</v>
      </c>
      <c r="B2940" s="7" t="str">
        <f>VLOOKUP(VALUE(A2940), 'DICIONÁRIO UF'!$A:$B, 2, FALSE)</f>
        <v>Espírito Santo</v>
      </c>
      <c r="C2940" s="3">
        <v>52020</v>
      </c>
      <c r="D2940" s="5" t="str">
        <f>VLOOKUP(C2940, 'DICIONÁRIO CNAES'!$A:$B, 2, FALSE)</f>
        <v xml:space="preserve">Atividades auxiliares dos transportes e atividades relacionadas à organização do transporte de carga </v>
      </c>
      <c r="E2940" s="4">
        <v>6351.1761821600003</v>
      </c>
      <c r="F2940" s="4">
        <v>22226407.994151</v>
      </c>
    </row>
    <row r="2941" spans="1:6" x14ac:dyDescent="0.3">
      <c r="A2941" s="3" t="s">
        <v>21</v>
      </c>
      <c r="B2941" s="7" t="str">
        <f>VLOOKUP(VALUE(A2941), 'DICIONÁRIO UF'!$A:$B, 2, FALSE)</f>
        <v>Espírito Santo</v>
      </c>
      <c r="C2941" s="3">
        <v>53001</v>
      </c>
      <c r="D2941" s="5" t="str">
        <f>VLOOKUP(C2941, 'DICIONÁRIO CNAES'!$A:$B, 2, FALSE)</f>
        <v>Atividades de Correio</v>
      </c>
      <c r="E2941" s="4">
        <v>2256.7044965800001</v>
      </c>
      <c r="F2941" s="4">
        <v>8312351.4670325005</v>
      </c>
    </row>
    <row r="2942" spans="1:6" x14ac:dyDescent="0.3">
      <c r="A2942" s="3" t="s">
        <v>21</v>
      </c>
      <c r="B2942" s="7" t="str">
        <f>VLOOKUP(VALUE(A2942), 'DICIONÁRIO UF'!$A:$B, 2, FALSE)</f>
        <v>Espírito Santo</v>
      </c>
      <c r="C2942" s="3">
        <v>53002</v>
      </c>
      <c r="D2942" s="5" t="str">
        <f>VLOOKUP(C2942, 'DICIONÁRIO CNAES'!$A:$B, 2, FALSE)</f>
        <v>Atividades de malote e de entrega</v>
      </c>
      <c r="E2942" s="4">
        <v>4513.7815121100002</v>
      </c>
      <c r="F2942" s="4">
        <v>8082852.6956564998</v>
      </c>
    </row>
    <row r="2943" spans="1:6" x14ac:dyDescent="0.3">
      <c r="A2943" s="3" t="s">
        <v>21</v>
      </c>
      <c r="B2943" s="7" t="str">
        <f>VLOOKUP(VALUE(A2943), 'DICIONÁRIO UF'!$A:$B, 2, FALSE)</f>
        <v>Espírito Santo</v>
      </c>
      <c r="C2943" s="3">
        <v>55000</v>
      </c>
      <c r="D2943" s="5" t="str">
        <f>VLOOKUP(C2943, 'DICIONÁRIO CNAES'!$A:$B, 2, FALSE)</f>
        <v>Alojamento</v>
      </c>
      <c r="E2943" s="4">
        <v>4809.3843933600001</v>
      </c>
      <c r="F2943" s="4">
        <v>8408679.1735609993</v>
      </c>
    </row>
    <row r="2944" spans="1:6" x14ac:dyDescent="0.3">
      <c r="A2944" s="3" t="s">
        <v>21</v>
      </c>
      <c r="B2944" s="7" t="str">
        <f>VLOOKUP(VALUE(A2944), 'DICIONÁRIO UF'!$A:$B, 2, FALSE)</f>
        <v>Espírito Santo</v>
      </c>
      <c r="C2944" s="3">
        <v>56011</v>
      </c>
      <c r="D2944" s="5" t="str">
        <f>VLOOKUP(C2944, 'DICIONÁRIO CNAES'!$A:$B, 2, FALSE)</f>
        <v>Restaurantes e outros estabelecimentos de serviços de alimentação e bebidas</v>
      </c>
      <c r="E2944" s="4">
        <v>71966.690406120004</v>
      </c>
      <c r="F2944" s="4">
        <v>120935340.9066225</v>
      </c>
    </row>
    <row r="2945" spans="1:6" x14ac:dyDescent="0.3">
      <c r="A2945" s="3" t="s">
        <v>21</v>
      </c>
      <c r="B2945" s="7" t="str">
        <f>VLOOKUP(VALUE(A2945), 'DICIONÁRIO UF'!$A:$B, 2, FALSE)</f>
        <v>Espírito Santo</v>
      </c>
      <c r="C2945" s="3">
        <v>56012</v>
      </c>
      <c r="D2945" s="5" t="str">
        <f>VLOOKUP(C2945, 'DICIONÁRIO CNAES'!$A:$B, 2, FALSE)</f>
        <v>Serviços de catering, bufê e outros serviços de comida preparada</v>
      </c>
      <c r="E2945" s="4">
        <v>21309.277387270002</v>
      </c>
      <c r="F2945" s="4">
        <v>20125203.576983999</v>
      </c>
    </row>
    <row r="2946" spans="1:6" x14ac:dyDescent="0.3">
      <c r="A2946" s="3" t="s">
        <v>21</v>
      </c>
      <c r="B2946" s="7" t="str">
        <f>VLOOKUP(VALUE(A2946), 'DICIONÁRIO UF'!$A:$B, 2, FALSE)</f>
        <v>Espírito Santo</v>
      </c>
      <c r="C2946" s="3">
        <v>56020</v>
      </c>
      <c r="D2946" s="5" t="str">
        <f>VLOOKUP(C2946, 'DICIONÁRIO CNAES'!$A:$B, 2, FALSE)</f>
        <v>Serviços ambulantes de alimentação</v>
      </c>
      <c r="E2946" s="4">
        <v>6454.0992580100001</v>
      </c>
      <c r="F2946" s="4">
        <v>8235271.7701984998</v>
      </c>
    </row>
    <row r="2947" spans="1:6" x14ac:dyDescent="0.3">
      <c r="A2947" s="3" t="s">
        <v>21</v>
      </c>
      <c r="B2947" s="7" t="str">
        <f>VLOOKUP(VALUE(A2947), 'DICIONÁRIO UF'!$A:$B, 2, FALSE)</f>
        <v>Espírito Santo</v>
      </c>
      <c r="C2947" s="3">
        <v>58000</v>
      </c>
      <c r="D2947" s="5" t="str">
        <f>VLOOKUP(C2947, 'DICIONÁRIO CNAES'!$A:$B, 2, FALSE)</f>
        <v xml:space="preserve">Edição e Edição integrada à impressão </v>
      </c>
      <c r="E2947" s="4">
        <v>127.81080958</v>
      </c>
      <c r="F2947" s="4">
        <v>191716.21437</v>
      </c>
    </row>
    <row r="2948" spans="1:6" x14ac:dyDescent="0.3">
      <c r="A2948" s="3" t="s">
        <v>21</v>
      </c>
      <c r="B2948" s="7" t="str">
        <f>VLOOKUP(VALUE(A2948), 'DICIONÁRIO UF'!$A:$B, 2, FALSE)</f>
        <v>Espírito Santo</v>
      </c>
      <c r="C2948" s="3">
        <v>59000</v>
      </c>
      <c r="D2948" s="5" t="str">
        <f>VLOOKUP(C2948, 'DICIONÁRIO CNAES'!$A:$B, 2, FALSE)</f>
        <v>Atividades cinematográficas, produção de vídeos e de programas de televisão, gravação de som e de música</v>
      </c>
      <c r="E2948" s="4">
        <v>277.79695681999999</v>
      </c>
      <c r="F2948" s="4">
        <v>555593.91363999993</v>
      </c>
    </row>
    <row r="2949" spans="1:6" x14ac:dyDescent="0.3">
      <c r="A2949" s="3" t="s">
        <v>21</v>
      </c>
      <c r="B2949" s="7" t="str">
        <f>VLOOKUP(VALUE(A2949), 'DICIONÁRIO UF'!$A:$B, 2, FALSE)</f>
        <v>Espírito Santo</v>
      </c>
      <c r="C2949" s="3">
        <v>60001</v>
      </c>
      <c r="D2949" s="5" t="str">
        <f>VLOOKUP(C2949, 'DICIONÁRIO CNAES'!$A:$B, 2, FALSE)</f>
        <v>Atividades de rádio</v>
      </c>
      <c r="E2949" s="4">
        <v>371.67607880000003</v>
      </c>
      <c r="F2949" s="4">
        <v>727741.7622904001</v>
      </c>
    </row>
    <row r="2950" spans="1:6" x14ac:dyDescent="0.3">
      <c r="A2950" s="3" t="s">
        <v>21</v>
      </c>
      <c r="B2950" s="7" t="str">
        <f>VLOOKUP(VALUE(A2950), 'DICIONÁRIO UF'!$A:$B, 2, FALSE)</f>
        <v>Espírito Santo</v>
      </c>
      <c r="C2950" s="3">
        <v>60002</v>
      </c>
      <c r="D2950" s="5" t="str">
        <f>VLOOKUP(C2950, 'DICIONÁRIO CNAES'!$A:$B, 2, FALSE)</f>
        <v>Atividades de televisão</v>
      </c>
      <c r="E2950" s="4">
        <v>1464.30702881</v>
      </c>
      <c r="F2950" s="4">
        <v>2673742.3511060001</v>
      </c>
    </row>
    <row r="2951" spans="1:6" x14ac:dyDescent="0.3">
      <c r="A2951" s="3" t="s">
        <v>21</v>
      </c>
      <c r="B2951" s="7" t="str">
        <f>VLOOKUP(VALUE(A2951), 'DICIONÁRIO UF'!$A:$B, 2, FALSE)</f>
        <v>Espírito Santo</v>
      </c>
      <c r="C2951" s="3">
        <v>61000</v>
      </c>
      <c r="D2951" s="5" t="str">
        <f>VLOOKUP(C2951, 'DICIONÁRIO CNAES'!$A:$B, 2, FALSE)</f>
        <v>Telecomunicações</v>
      </c>
      <c r="E2951" s="4">
        <v>6538.9651221800004</v>
      </c>
      <c r="F2951" s="4">
        <v>12104461.32678166</v>
      </c>
    </row>
    <row r="2952" spans="1:6" x14ac:dyDescent="0.3">
      <c r="A2952" s="3" t="s">
        <v>21</v>
      </c>
      <c r="B2952" s="7" t="str">
        <f>VLOOKUP(VALUE(A2952), 'DICIONÁRIO UF'!$A:$B, 2, FALSE)</f>
        <v>Espírito Santo</v>
      </c>
      <c r="C2952" s="3">
        <v>62000</v>
      </c>
      <c r="D2952" s="5" t="str">
        <f>VLOOKUP(C2952, 'DICIONÁRIO CNAES'!$A:$B, 2, FALSE)</f>
        <v>Atividades dos serviços de tecnologia da informação</v>
      </c>
      <c r="E2952" s="4">
        <v>11447.627415589999</v>
      </c>
      <c r="F2952" s="4">
        <v>57119517.083341219</v>
      </c>
    </row>
    <row r="2953" spans="1:6" x14ac:dyDescent="0.3">
      <c r="A2953" s="3" t="s">
        <v>21</v>
      </c>
      <c r="B2953" s="7" t="str">
        <f>VLOOKUP(VALUE(A2953), 'DICIONÁRIO UF'!$A:$B, 2, FALSE)</f>
        <v>Espírito Santo</v>
      </c>
      <c r="C2953" s="3">
        <v>63000</v>
      </c>
      <c r="D2953" s="5" t="str">
        <f>VLOOKUP(C2953, 'DICIONÁRIO CNAES'!$A:$B, 2, FALSE)</f>
        <v>Atividades de prestação de serviços de informação</v>
      </c>
      <c r="E2953" s="4">
        <v>136.4518008</v>
      </c>
      <c r="F2953" s="4">
        <v>409355.40240000002</v>
      </c>
    </row>
    <row r="2954" spans="1:6" x14ac:dyDescent="0.3">
      <c r="A2954" s="3" t="s">
        <v>21</v>
      </c>
      <c r="B2954" s="7" t="str">
        <f>VLOOKUP(VALUE(A2954), 'DICIONÁRIO UF'!$A:$B, 2, FALSE)</f>
        <v>Espírito Santo</v>
      </c>
      <c r="C2954" s="3">
        <v>64000</v>
      </c>
      <c r="D2954" s="5" t="str">
        <f>VLOOKUP(C2954, 'DICIONÁRIO CNAES'!$A:$B, 2, FALSE)</f>
        <v>Serviços financeiros</v>
      </c>
      <c r="E2954" s="4">
        <v>19849.924820020002</v>
      </c>
      <c r="F2954" s="4">
        <v>74231157.778057054</v>
      </c>
    </row>
    <row r="2955" spans="1:6" x14ac:dyDescent="0.3">
      <c r="A2955" s="3" t="s">
        <v>21</v>
      </c>
      <c r="B2955" s="7" t="str">
        <f>VLOOKUP(VALUE(A2955), 'DICIONÁRIO UF'!$A:$B, 2, FALSE)</f>
        <v>Espírito Santo</v>
      </c>
      <c r="C2955" s="3">
        <v>65000</v>
      </c>
      <c r="D2955" s="5" t="str">
        <f>VLOOKUP(C2955, 'DICIONÁRIO CNAES'!$A:$B, 2, FALSE)</f>
        <v>Seguros e previdência privada</v>
      </c>
      <c r="E2955" s="4">
        <v>5526.7624394900004</v>
      </c>
      <c r="F2955" s="4">
        <v>10470645.307757599</v>
      </c>
    </row>
    <row r="2956" spans="1:6" x14ac:dyDescent="0.3">
      <c r="A2956" s="3" t="s">
        <v>21</v>
      </c>
      <c r="B2956" s="7" t="str">
        <f>VLOOKUP(VALUE(A2956), 'DICIONÁRIO UF'!$A:$B, 2, FALSE)</f>
        <v>Espírito Santo</v>
      </c>
      <c r="C2956" s="3">
        <v>66001</v>
      </c>
      <c r="D2956" s="5" t="str">
        <f>VLOOKUP(C2956, 'DICIONÁRIO CNAES'!$A:$B, 2, FALSE)</f>
        <v>Atividades auxiliares dos serviços financeiros</v>
      </c>
      <c r="E2956" s="4">
        <v>1714.38878183</v>
      </c>
      <c r="F2956" s="4">
        <v>5221910.8940765997</v>
      </c>
    </row>
    <row r="2957" spans="1:6" x14ac:dyDescent="0.3">
      <c r="A2957" s="3" t="s">
        <v>21</v>
      </c>
      <c r="B2957" s="7" t="str">
        <f>VLOOKUP(VALUE(A2957), 'DICIONÁRIO UF'!$A:$B, 2, FALSE)</f>
        <v>Espírito Santo</v>
      </c>
      <c r="C2957" s="3">
        <v>66002</v>
      </c>
      <c r="D2957" s="5" t="str">
        <f>VLOOKUP(C2957, 'DICIONÁRIO CNAES'!$A:$B, 2, FALSE)</f>
        <v>Atividades auxiliares dos seguros, da previdência complementar e dos planos de saúde</v>
      </c>
      <c r="E2957" s="4">
        <v>1282.9351439100001</v>
      </c>
      <c r="F2957" s="4">
        <v>5217382.1434819996</v>
      </c>
    </row>
    <row r="2958" spans="1:6" x14ac:dyDescent="0.3">
      <c r="A2958" s="3" t="s">
        <v>21</v>
      </c>
      <c r="B2958" s="7" t="str">
        <f>VLOOKUP(VALUE(A2958), 'DICIONÁRIO UF'!$A:$B, 2, FALSE)</f>
        <v>Espírito Santo</v>
      </c>
      <c r="C2958" s="3">
        <v>68000</v>
      </c>
      <c r="D2958" s="5" t="str">
        <f>VLOOKUP(C2958, 'DICIONÁRIO CNAES'!$A:$B, 2, FALSE)</f>
        <v>Atividades imobiliárias</v>
      </c>
      <c r="E2958" s="4">
        <v>10983.250304450001</v>
      </c>
      <c r="F2958" s="4">
        <v>44265393.364014901</v>
      </c>
    </row>
    <row r="2959" spans="1:6" x14ac:dyDescent="0.3">
      <c r="A2959" s="3" t="s">
        <v>21</v>
      </c>
      <c r="B2959" s="7" t="str">
        <f>VLOOKUP(VALUE(A2959), 'DICIONÁRIO UF'!$A:$B, 2, FALSE)</f>
        <v>Espírito Santo</v>
      </c>
      <c r="C2959" s="3">
        <v>69000</v>
      </c>
      <c r="D2959" s="5" t="str">
        <f>VLOOKUP(C2959, 'DICIONÁRIO CNAES'!$A:$B, 2, FALSE)</f>
        <v xml:space="preserve">Atividades jurídicas, de contabilidade e de auditoria </v>
      </c>
      <c r="E2959" s="4">
        <v>42775.077391669998</v>
      </c>
      <c r="F2959" s="4">
        <v>143736893.13797051</v>
      </c>
    </row>
    <row r="2960" spans="1:6" x14ac:dyDescent="0.3">
      <c r="A2960" s="3" t="s">
        <v>21</v>
      </c>
      <c r="B2960" s="7" t="str">
        <f>VLOOKUP(VALUE(A2960), 'DICIONÁRIO UF'!$A:$B, 2, FALSE)</f>
        <v>Espírito Santo</v>
      </c>
      <c r="C2960" s="3">
        <v>70000</v>
      </c>
      <c r="D2960" s="5" t="str">
        <f>VLOOKUP(C2960, 'DICIONÁRIO CNAES'!$A:$B, 2, FALSE)</f>
        <v>Atividades de consultoria em gestão empresarial</v>
      </c>
      <c r="E2960" s="4">
        <v>920.48704497000006</v>
      </c>
      <c r="F2960" s="4">
        <v>3414755.5480630002</v>
      </c>
    </row>
    <row r="2961" spans="1:6" x14ac:dyDescent="0.3">
      <c r="A2961" s="3" t="s">
        <v>21</v>
      </c>
      <c r="B2961" s="7" t="str">
        <f>VLOOKUP(VALUE(A2961), 'DICIONÁRIO UF'!$A:$B, 2, FALSE)</f>
        <v>Espírito Santo</v>
      </c>
      <c r="C2961" s="3">
        <v>71000</v>
      </c>
      <c r="D2961" s="5" t="str">
        <f>VLOOKUP(C2961, 'DICIONÁRIO CNAES'!$A:$B, 2, FALSE)</f>
        <v>Serviços de arquitetura e engenharia e atividades técnicas relacionadas; Testes e análises técnicas</v>
      </c>
      <c r="E2961" s="4">
        <v>15053.826030730001</v>
      </c>
      <c r="F2961" s="4">
        <v>91300312.179010004</v>
      </c>
    </row>
    <row r="2962" spans="1:6" x14ac:dyDescent="0.3">
      <c r="A2962" s="3" t="s">
        <v>21</v>
      </c>
      <c r="B2962" s="7" t="str">
        <f>VLOOKUP(VALUE(A2962), 'DICIONÁRIO UF'!$A:$B, 2, FALSE)</f>
        <v>Espírito Santo</v>
      </c>
      <c r="C2962" s="3">
        <v>72000</v>
      </c>
      <c r="D2962" s="5" t="str">
        <f>VLOOKUP(C2962, 'DICIONÁRIO CNAES'!$A:$B, 2, FALSE)</f>
        <v>Pesquisa e desenvolvimento científico</v>
      </c>
      <c r="E2962" s="4">
        <v>1470.0932855200001</v>
      </c>
      <c r="F2962" s="4">
        <v>4857130.0373</v>
      </c>
    </row>
    <row r="2963" spans="1:6" x14ac:dyDescent="0.3">
      <c r="A2963" s="3" t="s">
        <v>21</v>
      </c>
      <c r="B2963" s="7" t="str">
        <f>VLOOKUP(VALUE(A2963), 'DICIONÁRIO UF'!$A:$B, 2, FALSE)</f>
        <v>Espírito Santo</v>
      </c>
      <c r="C2963" s="3">
        <v>73010</v>
      </c>
      <c r="D2963" s="5" t="str">
        <f>VLOOKUP(C2963, 'DICIONÁRIO CNAES'!$A:$B, 2, FALSE)</f>
        <v>Publicidade</v>
      </c>
      <c r="E2963" s="4">
        <v>5522.0641039399998</v>
      </c>
      <c r="F2963" s="4">
        <v>13981362.661085</v>
      </c>
    </row>
    <row r="2964" spans="1:6" x14ac:dyDescent="0.3">
      <c r="A2964" s="3" t="s">
        <v>21</v>
      </c>
      <c r="B2964" s="7" t="str">
        <f>VLOOKUP(VALUE(A2964), 'DICIONÁRIO UF'!$A:$B, 2, FALSE)</f>
        <v>Espírito Santo</v>
      </c>
      <c r="C2964" s="3">
        <v>73020</v>
      </c>
      <c r="D2964" s="5" t="str">
        <f>VLOOKUP(C2964, 'DICIONÁRIO CNAES'!$A:$B, 2, FALSE)</f>
        <v>Pesquisas de mercado e opinião pública</v>
      </c>
      <c r="E2964" s="4">
        <v>378.48982956999998</v>
      </c>
      <c r="F2964" s="4">
        <v>208169.40626349999</v>
      </c>
    </row>
    <row r="2965" spans="1:6" x14ac:dyDescent="0.3">
      <c r="A2965" s="3" t="s">
        <v>21</v>
      </c>
      <c r="B2965" s="7" t="str">
        <f>VLOOKUP(VALUE(A2965), 'DICIONÁRIO UF'!$A:$B, 2, FALSE)</f>
        <v>Espírito Santo</v>
      </c>
      <c r="C2965" s="3">
        <v>74000</v>
      </c>
      <c r="D2965" s="5" t="str">
        <f>VLOOKUP(C2965, 'DICIONÁRIO CNAES'!$A:$B, 2, FALSE)</f>
        <v>Outras atividades profissionais, científicas e técnicas não especificadas anteriormente</v>
      </c>
      <c r="E2965" s="4">
        <v>9096.5303349200003</v>
      </c>
      <c r="F2965" s="4">
        <v>24201157.59715398</v>
      </c>
    </row>
    <row r="2966" spans="1:6" x14ac:dyDescent="0.3">
      <c r="A2966" s="3" t="s">
        <v>21</v>
      </c>
      <c r="B2966" s="7" t="str">
        <f>VLOOKUP(VALUE(A2966), 'DICIONÁRIO UF'!$A:$B, 2, FALSE)</f>
        <v>Espírito Santo</v>
      </c>
      <c r="C2966" s="3">
        <v>75000</v>
      </c>
      <c r="D2966" s="5" t="str">
        <f>VLOOKUP(C2966, 'DICIONÁRIO CNAES'!$A:$B, 2, FALSE)</f>
        <v>Atividades veterinárias</v>
      </c>
      <c r="E2966" s="4">
        <v>2003.7186129199999</v>
      </c>
      <c r="F2966" s="4">
        <v>4691470.6938189995</v>
      </c>
    </row>
    <row r="2967" spans="1:6" x14ac:dyDescent="0.3">
      <c r="A2967" s="3" t="s">
        <v>21</v>
      </c>
      <c r="B2967" s="7" t="str">
        <f>VLOOKUP(VALUE(A2967), 'DICIONÁRIO UF'!$A:$B, 2, FALSE)</f>
        <v>Espírito Santo</v>
      </c>
      <c r="C2967" s="3">
        <v>77010</v>
      </c>
      <c r="D2967" s="5" t="str">
        <f>VLOOKUP(C2967, 'DICIONÁRIO CNAES'!$A:$B, 2, FALSE)</f>
        <v>Aluguel de objetos pessoais e domésticos</v>
      </c>
      <c r="E2967" s="4">
        <v>314.70721966999997</v>
      </c>
      <c r="F2967" s="4">
        <v>135280.94706000001</v>
      </c>
    </row>
    <row r="2968" spans="1:6" x14ac:dyDescent="0.3">
      <c r="A2968" s="3" t="s">
        <v>21</v>
      </c>
      <c r="B2968" s="7" t="str">
        <f>VLOOKUP(VALUE(A2968), 'DICIONÁRIO UF'!$A:$B, 2, FALSE)</f>
        <v>Espírito Santo</v>
      </c>
      <c r="C2968" s="3">
        <v>77020</v>
      </c>
      <c r="D2968" s="5" t="str">
        <f>VLOOKUP(C2968, 'DICIONÁRIO CNAES'!$A:$B, 2, FALSE)</f>
        <v>Aluguel de meios de transportes, maquinas e equipamentos sem operador e gestão de ativos intangíveis não financeiros</v>
      </c>
      <c r="E2968" s="4">
        <v>3789.5961704900001</v>
      </c>
      <c r="F2968" s="4">
        <v>14712678.940722531</v>
      </c>
    </row>
    <row r="2969" spans="1:6" x14ac:dyDescent="0.3">
      <c r="A2969" s="3" t="s">
        <v>21</v>
      </c>
      <c r="B2969" s="7" t="str">
        <f>VLOOKUP(VALUE(A2969), 'DICIONÁRIO UF'!$A:$B, 2, FALSE)</f>
        <v>Espírito Santo</v>
      </c>
      <c r="C2969" s="3">
        <v>78000</v>
      </c>
      <c r="D2969" s="5" t="str">
        <f>VLOOKUP(C2969, 'DICIONÁRIO CNAES'!$A:$B, 2, FALSE)</f>
        <v>Seleção, agenciamento e locação de mão-de-obra</v>
      </c>
      <c r="E2969" s="4">
        <v>11097.71327231</v>
      </c>
      <c r="F2969" s="4">
        <v>19585290.164553192</v>
      </c>
    </row>
    <row r="2970" spans="1:6" x14ac:dyDescent="0.3">
      <c r="A2970" s="3" t="s">
        <v>21</v>
      </c>
      <c r="B2970" s="7" t="str">
        <f>VLOOKUP(VALUE(A2970), 'DICIONÁRIO UF'!$A:$B, 2, FALSE)</f>
        <v>Espírito Santo</v>
      </c>
      <c r="C2970" s="3">
        <v>79000</v>
      </c>
      <c r="D2970" s="5" t="str">
        <f>VLOOKUP(C2970, 'DICIONÁRIO CNAES'!$A:$B, 2, FALSE)</f>
        <v>Agências de viagens, operadores turísticos e serviços de reservas</v>
      </c>
      <c r="E2970" s="4">
        <v>335.92501924999999</v>
      </c>
      <c r="F2970" s="4">
        <v>1165102.7027</v>
      </c>
    </row>
    <row r="2971" spans="1:6" x14ac:dyDescent="0.3">
      <c r="A2971" s="3" t="s">
        <v>21</v>
      </c>
      <c r="B2971" s="7" t="str">
        <f>VLOOKUP(VALUE(A2971), 'DICIONÁRIO UF'!$A:$B, 2, FALSE)</f>
        <v>Espírito Santo</v>
      </c>
      <c r="C2971" s="3">
        <v>80000</v>
      </c>
      <c r="D2971" s="5" t="str">
        <f>VLOOKUP(C2971, 'DICIONÁRIO CNAES'!$A:$B, 2, FALSE)</f>
        <v>Atividades de vigilância, segurança, transporte de valores e investigação</v>
      </c>
      <c r="E2971" s="4">
        <v>20871.709621850001</v>
      </c>
      <c r="F2971" s="4">
        <v>37082772.6005999</v>
      </c>
    </row>
    <row r="2972" spans="1:6" x14ac:dyDescent="0.3">
      <c r="A2972" s="3" t="s">
        <v>21</v>
      </c>
      <c r="B2972" s="7" t="str">
        <f>VLOOKUP(VALUE(A2972), 'DICIONÁRIO UF'!$A:$B, 2, FALSE)</f>
        <v>Espírito Santo</v>
      </c>
      <c r="C2972" s="3">
        <v>81011</v>
      </c>
      <c r="D2972" s="5" t="str">
        <f>VLOOKUP(C2972, 'DICIONÁRIO CNAES'!$A:$B, 2, FALSE)</f>
        <v>Serviços de limpeza e de apoio a edifícios, exceto condomínios prediais</v>
      </c>
      <c r="E2972" s="4">
        <v>26266.621488919998</v>
      </c>
      <c r="F2972" s="4">
        <v>37352700.527053073</v>
      </c>
    </row>
    <row r="2973" spans="1:6" x14ac:dyDescent="0.3">
      <c r="A2973" s="3" t="s">
        <v>21</v>
      </c>
      <c r="B2973" s="7" t="str">
        <f>VLOOKUP(VALUE(A2973), 'DICIONÁRIO UF'!$A:$B, 2, FALSE)</f>
        <v>Espírito Santo</v>
      </c>
      <c r="C2973" s="3">
        <v>81012</v>
      </c>
      <c r="D2973" s="5" t="str">
        <f>VLOOKUP(C2973, 'DICIONÁRIO CNAES'!$A:$B, 2, FALSE)</f>
        <v>Condomínios prediais</v>
      </c>
      <c r="E2973" s="4">
        <v>9861.7548907100008</v>
      </c>
      <c r="F2973" s="4">
        <v>17165839.52541342</v>
      </c>
    </row>
    <row r="2974" spans="1:6" x14ac:dyDescent="0.3">
      <c r="A2974" s="3" t="s">
        <v>21</v>
      </c>
      <c r="B2974" s="7" t="str">
        <f>VLOOKUP(VALUE(A2974), 'DICIONÁRIO UF'!$A:$B, 2, FALSE)</f>
        <v>Espírito Santo</v>
      </c>
      <c r="C2974" s="3">
        <v>81020</v>
      </c>
      <c r="D2974" s="5" t="str">
        <f>VLOOKUP(C2974, 'DICIONÁRIO CNAES'!$A:$B, 2, FALSE)</f>
        <v>Atividades paisagísticas</v>
      </c>
      <c r="E2974" s="4">
        <v>492.55148104</v>
      </c>
      <c r="F2974" s="4">
        <v>837841.99822015991</v>
      </c>
    </row>
    <row r="2975" spans="1:6" x14ac:dyDescent="0.3">
      <c r="A2975" s="3" t="s">
        <v>21</v>
      </c>
      <c r="B2975" s="7" t="str">
        <f>VLOOKUP(VALUE(A2975), 'DICIONÁRIO UF'!$A:$B, 2, FALSE)</f>
        <v>Espírito Santo</v>
      </c>
      <c r="C2975" s="3">
        <v>82001</v>
      </c>
      <c r="D2975" s="5" t="str">
        <f>VLOOKUP(C2975, 'DICIONÁRIO CNAES'!$A:$B, 2, FALSE)</f>
        <v>Serviços de escritório e apoio administrativo</v>
      </c>
      <c r="E2975" s="4">
        <v>1982.5338951000001</v>
      </c>
      <c r="F2975" s="4">
        <v>5129859.3853899986</v>
      </c>
    </row>
    <row r="2976" spans="1:6" x14ac:dyDescent="0.3">
      <c r="A2976" s="3" t="s">
        <v>21</v>
      </c>
      <c r="B2976" s="7" t="str">
        <f>VLOOKUP(VALUE(A2976), 'DICIONÁRIO UF'!$A:$B, 2, FALSE)</f>
        <v>Espírito Santo</v>
      </c>
      <c r="C2976" s="3">
        <v>82002</v>
      </c>
      <c r="D2976" s="5" t="str">
        <f>VLOOKUP(C2976, 'DICIONÁRIO CNAES'!$A:$B, 2, FALSE)</f>
        <v>Atividades de teleatendimento</v>
      </c>
      <c r="E2976" s="4">
        <v>3583.0850079500001</v>
      </c>
      <c r="F2976" s="4">
        <v>5123630.2677512998</v>
      </c>
    </row>
    <row r="2977" spans="1:6" x14ac:dyDescent="0.3">
      <c r="A2977" s="3" t="s">
        <v>21</v>
      </c>
      <c r="B2977" s="7" t="str">
        <f>VLOOKUP(VALUE(A2977), 'DICIONÁRIO UF'!$A:$B, 2, FALSE)</f>
        <v>Espírito Santo</v>
      </c>
      <c r="C2977" s="3">
        <v>82003</v>
      </c>
      <c r="D2977" s="5" t="str">
        <f>VLOOKUP(C2977, 'DICIONÁRIO CNAES'!$A:$B, 2, FALSE)</f>
        <v>Atividades de organização de eventos, exceto culturais e esportivos</v>
      </c>
      <c r="E2977" s="4">
        <v>1573.73672169</v>
      </c>
      <c r="F2977" s="4">
        <v>1592085.887847</v>
      </c>
    </row>
    <row r="2978" spans="1:6" x14ac:dyDescent="0.3">
      <c r="A2978" s="3" t="s">
        <v>21</v>
      </c>
      <c r="B2978" s="7" t="str">
        <f>VLOOKUP(VALUE(A2978), 'DICIONÁRIO UF'!$A:$B, 2, FALSE)</f>
        <v>Espírito Santo</v>
      </c>
      <c r="C2978" s="3">
        <v>82009</v>
      </c>
      <c r="D2978" s="5" t="str">
        <f>VLOOKUP(C2978, 'DICIONÁRIO CNAES'!$A:$B, 2, FALSE)</f>
        <v>Outras atividades de serviços prestados principalmente às empresas</v>
      </c>
      <c r="E2978" s="4">
        <v>4006.0757050799998</v>
      </c>
      <c r="F2978" s="4">
        <v>11672134.4019734</v>
      </c>
    </row>
    <row r="2979" spans="1:6" x14ac:dyDescent="0.3">
      <c r="A2979" s="3" t="s">
        <v>21</v>
      </c>
      <c r="B2979" s="7" t="str">
        <f>VLOOKUP(VALUE(A2979), 'DICIONÁRIO UF'!$A:$B, 2, FALSE)</f>
        <v>Espírito Santo</v>
      </c>
      <c r="C2979" s="3">
        <v>84011</v>
      </c>
      <c r="D2979" s="5" t="str">
        <f>VLOOKUP(C2979, 'DICIONÁRIO CNAES'!$A:$B, 2, FALSE)</f>
        <v>Administração publica e regulação da política econômica e social - Federal</v>
      </c>
      <c r="E2979" s="4">
        <v>8587.3391125800008</v>
      </c>
      <c r="F2979" s="4">
        <v>104802019.95514201</v>
      </c>
    </row>
    <row r="2980" spans="1:6" x14ac:dyDescent="0.3">
      <c r="A2980" s="3" t="s">
        <v>21</v>
      </c>
      <c r="B2980" s="7" t="str">
        <f>VLOOKUP(VALUE(A2980), 'DICIONÁRIO UF'!$A:$B, 2, FALSE)</f>
        <v>Espírito Santo</v>
      </c>
      <c r="C2980" s="3">
        <v>84012</v>
      </c>
      <c r="D2980" s="5" t="str">
        <f>VLOOKUP(C2980, 'DICIONÁRIO CNAES'!$A:$B, 2, FALSE)</f>
        <v>Administração publica e regulação da política econômica e social - Estadual</v>
      </c>
      <c r="E2980" s="4">
        <v>12164.64671013</v>
      </c>
      <c r="F2980" s="4">
        <v>59051552.72301057</v>
      </c>
    </row>
    <row r="2981" spans="1:6" x14ac:dyDescent="0.3">
      <c r="A2981" s="3" t="s">
        <v>21</v>
      </c>
      <c r="B2981" s="7" t="str">
        <f>VLOOKUP(VALUE(A2981), 'DICIONÁRIO UF'!$A:$B, 2, FALSE)</f>
        <v>Espírito Santo</v>
      </c>
      <c r="C2981" s="3">
        <v>84013</v>
      </c>
      <c r="D2981" s="5" t="str">
        <f>VLOOKUP(C2981, 'DICIONÁRIO CNAES'!$A:$B, 2, FALSE)</f>
        <v>Administração publica e regulação da política econômica e social - Municipal</v>
      </c>
      <c r="E2981" s="4">
        <v>50434.978246649996</v>
      </c>
      <c r="F2981" s="4">
        <v>112531507.8258587</v>
      </c>
    </row>
    <row r="2982" spans="1:6" x14ac:dyDescent="0.3">
      <c r="A2982" s="3" t="s">
        <v>21</v>
      </c>
      <c r="B2982" s="7" t="str">
        <f>VLOOKUP(VALUE(A2982), 'DICIONÁRIO UF'!$A:$B, 2, FALSE)</f>
        <v>Espírito Santo</v>
      </c>
      <c r="C2982" s="3">
        <v>84014</v>
      </c>
      <c r="D2982" s="5" t="str">
        <f>VLOOKUP(C2982, 'DICIONÁRIO CNAES'!$A:$B, 2, FALSE)</f>
        <v>Defesa</v>
      </c>
      <c r="E2982" s="4">
        <v>232.76052874999999</v>
      </c>
      <c r="F2982" s="4">
        <v>2085606.5203100001</v>
      </c>
    </row>
    <row r="2983" spans="1:6" x14ac:dyDescent="0.3">
      <c r="A2983" s="3" t="s">
        <v>21</v>
      </c>
      <c r="B2983" s="7" t="str">
        <f>VLOOKUP(VALUE(A2983), 'DICIONÁRIO UF'!$A:$B, 2, FALSE)</f>
        <v>Espírito Santo</v>
      </c>
      <c r="C2983" s="3">
        <v>84015</v>
      </c>
      <c r="D2983" s="5" t="str">
        <f>VLOOKUP(C2983, 'DICIONÁRIO CNAES'!$A:$B, 2, FALSE)</f>
        <v>Outros serviços coletivos prestados pela administração pública - Federal</v>
      </c>
      <c r="E2983" s="4">
        <v>2704.5070177299999</v>
      </c>
      <c r="F2983" s="4">
        <v>33646822.392724998</v>
      </c>
    </row>
    <row r="2984" spans="1:6" x14ac:dyDescent="0.3">
      <c r="A2984" s="3" t="s">
        <v>21</v>
      </c>
      <c r="B2984" s="7" t="str">
        <f>VLOOKUP(VALUE(A2984), 'DICIONÁRIO UF'!$A:$B, 2, FALSE)</f>
        <v>Espírito Santo</v>
      </c>
      <c r="C2984" s="3">
        <v>84016</v>
      </c>
      <c r="D2984" s="5" t="str">
        <f>VLOOKUP(C2984, 'DICIONÁRIO CNAES'!$A:$B, 2, FALSE)</f>
        <v>Outros serviços coletivos prestados pela administração pública - Estadual</v>
      </c>
      <c r="E2984" s="4">
        <v>24165.131115699998</v>
      </c>
      <c r="F2984" s="4">
        <v>155103638.3930648</v>
      </c>
    </row>
    <row r="2985" spans="1:6" x14ac:dyDescent="0.3">
      <c r="A2985" s="3" t="s">
        <v>21</v>
      </c>
      <c r="B2985" s="7" t="str">
        <f>VLOOKUP(VALUE(A2985), 'DICIONÁRIO UF'!$A:$B, 2, FALSE)</f>
        <v>Espírito Santo</v>
      </c>
      <c r="C2985" s="3">
        <v>84017</v>
      </c>
      <c r="D2985" s="5" t="str">
        <f>VLOOKUP(C2985, 'DICIONÁRIO CNAES'!$A:$B, 2, FALSE)</f>
        <v>Outros serviços coletivos prestados pela administração pública - Municipal</v>
      </c>
      <c r="E2985" s="4">
        <v>2349.0787481399998</v>
      </c>
      <c r="F2985" s="4">
        <v>8576642.2354320996</v>
      </c>
    </row>
    <row r="2986" spans="1:6" x14ac:dyDescent="0.3">
      <c r="A2986" s="3" t="s">
        <v>21</v>
      </c>
      <c r="B2986" s="7" t="str">
        <f>VLOOKUP(VALUE(A2986), 'DICIONÁRIO UF'!$A:$B, 2, FALSE)</f>
        <v>Espírito Santo</v>
      </c>
      <c r="C2986" s="3">
        <v>84020</v>
      </c>
      <c r="D2986" s="5" t="str">
        <f>VLOOKUP(C2986, 'DICIONÁRIO CNAES'!$A:$B, 2, FALSE)</f>
        <v>Seguridade social obrigatória</v>
      </c>
      <c r="E2986" s="4">
        <v>998.57429854999998</v>
      </c>
      <c r="F2986" s="4">
        <v>5931982.7643710002</v>
      </c>
    </row>
    <row r="2987" spans="1:6" x14ac:dyDescent="0.3">
      <c r="A2987" s="3" t="s">
        <v>21</v>
      </c>
      <c r="B2987" s="7" t="str">
        <f>VLOOKUP(VALUE(A2987), 'DICIONÁRIO UF'!$A:$B, 2, FALSE)</f>
        <v>Espírito Santo</v>
      </c>
      <c r="C2987" s="3">
        <v>85011</v>
      </c>
      <c r="D2987" s="5" t="str">
        <f>VLOOKUP(C2987, 'DICIONÁRIO CNAES'!$A:$B, 2, FALSE)</f>
        <v>Creche</v>
      </c>
      <c r="E2987" s="4">
        <v>6567.5398930499996</v>
      </c>
      <c r="F2987" s="4">
        <v>9720702.8506681006</v>
      </c>
    </row>
    <row r="2988" spans="1:6" x14ac:dyDescent="0.3">
      <c r="A2988" s="3" t="s">
        <v>21</v>
      </c>
      <c r="B2988" s="7" t="str">
        <f>VLOOKUP(VALUE(A2988), 'DICIONÁRIO UF'!$A:$B, 2, FALSE)</f>
        <v>Espírito Santo</v>
      </c>
      <c r="C2988" s="3">
        <v>85012</v>
      </c>
      <c r="D2988" s="5" t="str">
        <f>VLOOKUP(C2988, 'DICIONÁRIO CNAES'!$A:$B, 2, FALSE)</f>
        <v>Pré-escola e ensino fundamental</v>
      </c>
      <c r="E2988" s="4">
        <v>55701.879062779997</v>
      </c>
      <c r="F2988" s="4">
        <v>144364048.05990759</v>
      </c>
    </row>
    <row r="2989" spans="1:6" x14ac:dyDescent="0.3">
      <c r="A2989" s="3" t="s">
        <v>21</v>
      </c>
      <c r="B2989" s="7" t="str">
        <f>VLOOKUP(VALUE(A2989), 'DICIONÁRIO UF'!$A:$B, 2, FALSE)</f>
        <v>Espírito Santo</v>
      </c>
      <c r="C2989" s="3">
        <v>85013</v>
      </c>
      <c r="D2989" s="5" t="str">
        <f>VLOOKUP(C2989, 'DICIONÁRIO CNAES'!$A:$B, 2, FALSE)</f>
        <v>Ensino médio</v>
      </c>
      <c r="E2989" s="4">
        <v>21598.289425629999</v>
      </c>
      <c r="F2989" s="4">
        <v>76994283.760047123</v>
      </c>
    </row>
    <row r="2990" spans="1:6" x14ac:dyDescent="0.3">
      <c r="A2990" s="3" t="s">
        <v>21</v>
      </c>
      <c r="B2990" s="7" t="str">
        <f>VLOOKUP(VALUE(A2990), 'DICIONÁRIO UF'!$A:$B, 2, FALSE)</f>
        <v>Espírito Santo</v>
      </c>
      <c r="C2990" s="3">
        <v>85014</v>
      </c>
      <c r="D2990" s="5" t="str">
        <f>VLOOKUP(C2990, 'DICIONÁRIO CNAES'!$A:$B, 2, FALSE)</f>
        <v>Educação superior</v>
      </c>
      <c r="E2990" s="4">
        <v>15867.707161419999</v>
      </c>
      <c r="F2990" s="4">
        <v>114635724.6336495</v>
      </c>
    </row>
    <row r="2991" spans="1:6" x14ac:dyDescent="0.3">
      <c r="A2991" s="3" t="s">
        <v>21</v>
      </c>
      <c r="B2991" s="7" t="str">
        <f>VLOOKUP(VALUE(A2991), 'DICIONÁRIO UF'!$A:$B, 2, FALSE)</f>
        <v>Espírito Santo</v>
      </c>
      <c r="C2991" s="3">
        <v>85021</v>
      </c>
      <c r="D2991" s="5" t="str">
        <f>VLOOKUP(C2991, 'DICIONÁRIO CNAES'!$A:$B, 2, FALSE)</f>
        <v>Serviços auxiliares à educação</v>
      </c>
      <c r="E2991" s="4">
        <v>787.88536494000004</v>
      </c>
      <c r="F2991" s="4">
        <v>3108315.0075070001</v>
      </c>
    </row>
    <row r="2992" spans="1:6" x14ac:dyDescent="0.3">
      <c r="A2992" s="3" t="s">
        <v>21</v>
      </c>
      <c r="B2992" s="7" t="str">
        <f>VLOOKUP(VALUE(A2992), 'DICIONÁRIO UF'!$A:$B, 2, FALSE)</f>
        <v>Espírito Santo</v>
      </c>
      <c r="C2992" s="3">
        <v>85029</v>
      </c>
      <c r="D2992" s="5" t="str">
        <f>VLOOKUP(C2992, 'DICIONÁRIO CNAES'!$A:$B, 2, FALSE)</f>
        <v>Outras atividades de ensino</v>
      </c>
      <c r="E2992" s="4">
        <v>9469.4781225099996</v>
      </c>
      <c r="F2992" s="4">
        <v>28097185.91231719</v>
      </c>
    </row>
    <row r="2993" spans="1:6" x14ac:dyDescent="0.3">
      <c r="A2993" s="3" t="s">
        <v>21</v>
      </c>
      <c r="B2993" s="7" t="str">
        <f>VLOOKUP(VALUE(A2993), 'DICIONÁRIO UF'!$A:$B, 2, FALSE)</f>
        <v>Espírito Santo</v>
      </c>
      <c r="C2993" s="3">
        <v>86001</v>
      </c>
      <c r="D2993" s="5" t="str">
        <f>VLOOKUP(C2993, 'DICIONÁRIO CNAES'!$A:$B, 2, FALSE)</f>
        <v>Atividades de atendimento hospitalar</v>
      </c>
      <c r="E2993" s="4">
        <v>44579.564084639998</v>
      </c>
      <c r="F2993" s="4">
        <v>183040178.52689159</v>
      </c>
    </row>
    <row r="2994" spans="1:6" x14ac:dyDescent="0.3">
      <c r="A2994" s="3" t="s">
        <v>21</v>
      </c>
      <c r="B2994" s="7" t="str">
        <f>VLOOKUP(VALUE(A2994), 'DICIONÁRIO UF'!$A:$B, 2, FALSE)</f>
        <v>Espírito Santo</v>
      </c>
      <c r="C2994" s="3">
        <v>86002</v>
      </c>
      <c r="D2994" s="5" t="str">
        <f>VLOOKUP(C2994, 'DICIONÁRIO CNAES'!$A:$B, 2, FALSE)</f>
        <v>Atividades de atenção ambulatorial executadas por médicos e odontólogos</v>
      </c>
      <c r="E2994" s="4">
        <v>41174.770303589998</v>
      </c>
      <c r="F2994" s="4">
        <v>167845983.4670147</v>
      </c>
    </row>
    <row r="2995" spans="1:6" x14ac:dyDescent="0.3">
      <c r="A2995" s="3" t="s">
        <v>21</v>
      </c>
      <c r="B2995" s="7" t="str">
        <f>VLOOKUP(VALUE(A2995), 'DICIONÁRIO UF'!$A:$B, 2, FALSE)</f>
        <v>Espírito Santo</v>
      </c>
      <c r="C2995" s="3">
        <v>86003</v>
      </c>
      <c r="D2995" s="5" t="str">
        <f>VLOOKUP(C2995, 'DICIONÁRIO CNAES'!$A:$B, 2, FALSE)</f>
        <v>Atividades de serviços de complementação diagnóstica e terapêutica</v>
      </c>
      <c r="E2995" s="4">
        <v>5091.5455620000002</v>
      </c>
      <c r="F2995" s="4">
        <v>12816717.860460101</v>
      </c>
    </row>
    <row r="2996" spans="1:6" x14ac:dyDescent="0.3">
      <c r="A2996" s="3" t="s">
        <v>21</v>
      </c>
      <c r="B2996" s="7" t="str">
        <f>VLOOKUP(VALUE(A2996), 'DICIONÁRIO UF'!$A:$B, 2, FALSE)</f>
        <v>Espírito Santo</v>
      </c>
      <c r="C2996" s="3">
        <v>86004</v>
      </c>
      <c r="D2996" s="5" t="str">
        <f>VLOOKUP(C2996, 'DICIONÁRIO CNAES'!$A:$B, 2, FALSE)</f>
        <v>Atividades de profissionais da área de saúde, exceto médicos e odontólogos</v>
      </c>
      <c r="E2996" s="4">
        <v>8807.1849616199997</v>
      </c>
      <c r="F2996" s="4">
        <v>43031858.6300238</v>
      </c>
    </row>
    <row r="2997" spans="1:6" x14ac:dyDescent="0.3">
      <c r="A2997" s="3" t="s">
        <v>21</v>
      </c>
      <c r="B2997" s="7" t="str">
        <f>VLOOKUP(VALUE(A2997), 'DICIONÁRIO UF'!$A:$B, 2, FALSE)</f>
        <v>Espírito Santo</v>
      </c>
      <c r="C2997" s="3">
        <v>86009</v>
      </c>
      <c r="D2997" s="5" t="str">
        <f>VLOOKUP(C2997, 'DICIONÁRIO CNAES'!$A:$B, 2, FALSE)</f>
        <v>Atividades de atenção à saúde humana não especificadas anteriormente</v>
      </c>
      <c r="E2997" s="4">
        <v>2369.8071846799999</v>
      </c>
      <c r="F2997" s="4">
        <v>4558338.9413210005</v>
      </c>
    </row>
    <row r="2998" spans="1:6" x14ac:dyDescent="0.3">
      <c r="A2998" s="3" t="s">
        <v>21</v>
      </c>
      <c r="B2998" s="7" t="str">
        <f>VLOOKUP(VALUE(A2998), 'DICIONÁRIO UF'!$A:$B, 2, FALSE)</f>
        <v>Espírito Santo</v>
      </c>
      <c r="C2998" s="3">
        <v>87000</v>
      </c>
      <c r="D2998" s="5" t="str">
        <f>VLOOKUP(C2998, 'DICIONÁRIO CNAES'!$A:$B, 2, FALSE)</f>
        <v>Atividades de assistência à saude humana integradas com assistencia social, inclusive prestadas em residencias</v>
      </c>
      <c r="E2998" s="4">
        <v>3687.3175253999998</v>
      </c>
      <c r="F2998" s="4">
        <v>7580151.6672780002</v>
      </c>
    </row>
    <row r="2999" spans="1:6" x14ac:dyDescent="0.3">
      <c r="A2999" s="3" t="s">
        <v>21</v>
      </c>
      <c r="B2999" s="7" t="str">
        <f>VLOOKUP(VALUE(A2999), 'DICIONÁRIO UF'!$A:$B, 2, FALSE)</f>
        <v>Espírito Santo</v>
      </c>
      <c r="C2999" s="3">
        <v>88000</v>
      </c>
      <c r="D2999" s="5" t="str">
        <f>VLOOKUP(C2999, 'DICIONÁRIO CNAES'!$A:$B, 2, FALSE)</f>
        <v>Serviços de assistência social sem alojamento</v>
      </c>
      <c r="E2999" s="4">
        <v>921.00938556000006</v>
      </c>
      <c r="F2999" s="4">
        <v>1863475.2120749999</v>
      </c>
    </row>
    <row r="3000" spans="1:6" x14ac:dyDescent="0.3">
      <c r="A3000" s="3" t="s">
        <v>21</v>
      </c>
      <c r="B3000" s="7" t="str">
        <f>VLOOKUP(VALUE(A3000), 'DICIONÁRIO UF'!$A:$B, 2, FALSE)</f>
        <v>Espírito Santo</v>
      </c>
      <c r="C3000" s="3">
        <v>90000</v>
      </c>
      <c r="D3000" s="5" t="str">
        <f>VLOOKUP(C3000, 'DICIONÁRIO CNAES'!$A:$B, 2, FALSE)</f>
        <v>Atividades artísticas, criativas e de espetáculos</v>
      </c>
      <c r="E3000" s="4">
        <v>3529.0610459999998</v>
      </c>
      <c r="F3000" s="4">
        <v>5860855.6679435</v>
      </c>
    </row>
    <row r="3001" spans="1:6" x14ac:dyDescent="0.3">
      <c r="A3001" s="3" t="s">
        <v>21</v>
      </c>
      <c r="B3001" s="7" t="str">
        <f>VLOOKUP(VALUE(A3001), 'DICIONÁRIO UF'!$A:$B, 2, FALSE)</f>
        <v>Espírito Santo</v>
      </c>
      <c r="C3001" s="3">
        <v>91000</v>
      </c>
      <c r="D3001" s="5" t="str">
        <f>VLOOKUP(C3001, 'DICIONÁRIO CNAES'!$A:$B, 2, FALSE)</f>
        <v>Atividades ligadas ao patrimônio cultural e ambiental</v>
      </c>
      <c r="E3001" s="4">
        <v>1291.61078344</v>
      </c>
      <c r="F3001" s="4">
        <v>1896587.1652299999</v>
      </c>
    </row>
    <row r="3002" spans="1:6" x14ac:dyDescent="0.3">
      <c r="A3002" s="3" t="s">
        <v>21</v>
      </c>
      <c r="B3002" s="7" t="str">
        <f>VLOOKUP(VALUE(A3002), 'DICIONÁRIO UF'!$A:$B, 2, FALSE)</f>
        <v>Espírito Santo</v>
      </c>
      <c r="C3002" s="3">
        <v>93011</v>
      </c>
      <c r="D3002" s="5" t="str">
        <f>VLOOKUP(C3002, 'DICIONÁRIO CNAES'!$A:$B, 2, FALSE)</f>
        <v>Atividades esportivas</v>
      </c>
      <c r="E3002" s="4">
        <v>539.33743726</v>
      </c>
      <c r="F3002" s="4">
        <v>701138.66843800002</v>
      </c>
    </row>
    <row r="3003" spans="1:6" x14ac:dyDescent="0.3">
      <c r="A3003" s="3" t="s">
        <v>21</v>
      </c>
      <c r="B3003" s="7" t="str">
        <f>VLOOKUP(VALUE(A3003), 'DICIONÁRIO UF'!$A:$B, 2, FALSE)</f>
        <v>Espírito Santo</v>
      </c>
      <c r="C3003" s="3">
        <v>93012</v>
      </c>
      <c r="D3003" s="5" t="str">
        <f>VLOOKUP(C3003, 'DICIONÁRIO CNAES'!$A:$B, 2, FALSE)</f>
        <v>Atividades de condicionamento físico</v>
      </c>
      <c r="E3003" s="4">
        <v>5966.0039630499996</v>
      </c>
      <c r="F3003" s="4">
        <v>24064544.063701998</v>
      </c>
    </row>
    <row r="3004" spans="1:6" x14ac:dyDescent="0.3">
      <c r="A3004" s="3" t="s">
        <v>21</v>
      </c>
      <c r="B3004" s="7" t="str">
        <f>VLOOKUP(VALUE(A3004), 'DICIONÁRIO UF'!$A:$B, 2, FALSE)</f>
        <v>Espírito Santo</v>
      </c>
      <c r="C3004" s="3">
        <v>93020</v>
      </c>
      <c r="D3004" s="5" t="str">
        <f>VLOOKUP(C3004, 'DICIONÁRIO CNAES'!$A:$B, 2, FALSE)</f>
        <v>Atividades de recreação e lazer</v>
      </c>
      <c r="E3004" s="4">
        <v>1657.6106229899999</v>
      </c>
      <c r="F3004" s="4">
        <v>1838057.4386525</v>
      </c>
    </row>
    <row r="3005" spans="1:6" x14ac:dyDescent="0.3">
      <c r="A3005" s="3" t="s">
        <v>21</v>
      </c>
      <c r="B3005" s="7" t="str">
        <f>VLOOKUP(VALUE(A3005), 'DICIONÁRIO UF'!$A:$B, 2, FALSE)</f>
        <v>Espírito Santo</v>
      </c>
      <c r="C3005" s="3">
        <v>94010</v>
      </c>
      <c r="D3005" s="5" t="str">
        <f>VLOOKUP(C3005, 'DICIONÁRIO CNAES'!$A:$B, 2, FALSE)</f>
        <v>Atividades de organizações associativas patronais, empresariais e profissionais</v>
      </c>
      <c r="E3005" s="4">
        <v>915.48089817999994</v>
      </c>
      <c r="F3005" s="4">
        <v>1995381.2116660001</v>
      </c>
    </row>
    <row r="3006" spans="1:6" x14ac:dyDescent="0.3">
      <c r="A3006" s="3" t="s">
        <v>21</v>
      </c>
      <c r="B3006" s="7" t="str">
        <f>VLOOKUP(VALUE(A3006), 'DICIONÁRIO UF'!$A:$B, 2, FALSE)</f>
        <v>Espírito Santo</v>
      </c>
      <c r="C3006" s="3">
        <v>94020</v>
      </c>
      <c r="D3006" s="5" t="str">
        <f>VLOOKUP(C3006, 'DICIONÁRIO CNAES'!$A:$B, 2, FALSE)</f>
        <v>Atividades de organizações sindicais</v>
      </c>
      <c r="E3006" s="4">
        <v>1283.5108351199999</v>
      </c>
      <c r="F3006" s="4">
        <v>2573359.985105</v>
      </c>
    </row>
    <row r="3007" spans="1:6" x14ac:dyDescent="0.3">
      <c r="A3007" s="3" t="s">
        <v>21</v>
      </c>
      <c r="B3007" s="7" t="str">
        <f>VLOOKUP(VALUE(A3007), 'DICIONÁRIO UF'!$A:$B, 2, FALSE)</f>
        <v>Espírito Santo</v>
      </c>
      <c r="C3007" s="3">
        <v>94091</v>
      </c>
      <c r="D3007" s="5" t="str">
        <f>VLOOKUP(C3007, 'DICIONÁRIO CNAES'!$A:$B, 2, FALSE)</f>
        <v>Atividades de organizações religiosas e filosóficas</v>
      </c>
      <c r="E3007" s="4">
        <v>4744.8915176299997</v>
      </c>
      <c r="F3007" s="4">
        <v>12542733.367373001</v>
      </c>
    </row>
    <row r="3008" spans="1:6" x14ac:dyDescent="0.3">
      <c r="A3008" s="3" t="s">
        <v>21</v>
      </c>
      <c r="B3008" s="7" t="str">
        <f>VLOOKUP(VALUE(A3008), 'DICIONÁRIO UF'!$A:$B, 2, FALSE)</f>
        <v>Espírito Santo</v>
      </c>
      <c r="C3008" s="3">
        <v>94099</v>
      </c>
      <c r="D3008" s="5" t="str">
        <f>VLOOKUP(C3008, 'DICIONÁRIO CNAES'!$A:$B, 2, FALSE)</f>
        <v xml:space="preserve">Outras atividades associativas não especificadas anteriormente </v>
      </c>
      <c r="E3008" s="4">
        <v>1227.5208102199999</v>
      </c>
      <c r="F3008" s="4">
        <v>2863442.8516480001</v>
      </c>
    </row>
    <row r="3009" spans="1:6" x14ac:dyDescent="0.3">
      <c r="A3009" s="3" t="s">
        <v>21</v>
      </c>
      <c r="B3009" s="7" t="str">
        <f>VLOOKUP(VALUE(A3009), 'DICIONÁRIO UF'!$A:$B, 2, FALSE)</f>
        <v>Espírito Santo</v>
      </c>
      <c r="C3009" s="3">
        <v>95010</v>
      </c>
      <c r="D3009" s="5" t="str">
        <f>VLOOKUP(C3009, 'DICIONÁRIO CNAES'!$A:$B, 2, FALSE)</f>
        <v>Reparação e manutenção de equipamentos de informática e comunicação</v>
      </c>
      <c r="E3009" s="4">
        <v>5587.9836766600001</v>
      </c>
      <c r="F3009" s="4">
        <v>11960174.96335016</v>
      </c>
    </row>
    <row r="3010" spans="1:6" x14ac:dyDescent="0.3">
      <c r="A3010" s="3" t="s">
        <v>21</v>
      </c>
      <c r="B3010" s="7" t="str">
        <f>VLOOKUP(VALUE(A3010), 'DICIONÁRIO UF'!$A:$B, 2, FALSE)</f>
        <v>Espírito Santo</v>
      </c>
      <c r="C3010" s="3">
        <v>95030</v>
      </c>
      <c r="D3010" s="5" t="str">
        <f>VLOOKUP(C3010, 'DICIONÁRIO CNAES'!$A:$B, 2, FALSE)</f>
        <v>Reparação e manutenção de objetos e equipamentos pessoais e domésticos</v>
      </c>
      <c r="E3010" s="4">
        <v>10886.398845940001</v>
      </c>
      <c r="F3010" s="4">
        <v>16126512.540341999</v>
      </c>
    </row>
    <row r="3011" spans="1:6" x14ac:dyDescent="0.3">
      <c r="A3011" s="3" t="s">
        <v>21</v>
      </c>
      <c r="B3011" s="7" t="str">
        <f>VLOOKUP(VALUE(A3011), 'DICIONÁRIO UF'!$A:$B, 2, FALSE)</f>
        <v>Espírito Santo</v>
      </c>
      <c r="C3011" s="3">
        <v>96010</v>
      </c>
      <c r="D3011" s="5" t="str">
        <f>VLOOKUP(C3011, 'DICIONÁRIO CNAES'!$A:$B, 2, FALSE)</f>
        <v>Lavanderias, tinturarias e toalheiros</v>
      </c>
      <c r="E3011" s="4">
        <v>1460.55913308</v>
      </c>
      <c r="F3011" s="4">
        <v>2695447.0358230001</v>
      </c>
    </row>
    <row r="3012" spans="1:6" x14ac:dyDescent="0.3">
      <c r="A3012" s="3" t="s">
        <v>21</v>
      </c>
      <c r="B3012" s="7" t="str">
        <f>VLOOKUP(VALUE(A3012), 'DICIONÁRIO UF'!$A:$B, 2, FALSE)</f>
        <v>Espírito Santo</v>
      </c>
      <c r="C3012" s="3">
        <v>96020</v>
      </c>
      <c r="D3012" s="5" t="str">
        <f>VLOOKUP(C3012, 'DICIONÁRIO CNAES'!$A:$B, 2, FALSE)</f>
        <v>Cabeleireiros e outras atividades de tratamento de beleza</v>
      </c>
      <c r="E3012" s="4">
        <v>45594.676668059998</v>
      </c>
      <c r="F3012" s="4">
        <v>73046625.216073006</v>
      </c>
    </row>
    <row r="3013" spans="1:6" x14ac:dyDescent="0.3">
      <c r="A3013" s="3" t="s">
        <v>21</v>
      </c>
      <c r="B3013" s="7" t="str">
        <f>VLOOKUP(VALUE(A3013), 'DICIONÁRIO UF'!$A:$B, 2, FALSE)</f>
        <v>Espírito Santo</v>
      </c>
      <c r="C3013" s="3">
        <v>96030</v>
      </c>
      <c r="D3013" s="5" t="str">
        <f>VLOOKUP(C3013, 'DICIONÁRIO CNAES'!$A:$B, 2, FALSE)</f>
        <v xml:space="preserve">Atividades funerárias e serviços relacionados </v>
      </c>
      <c r="E3013" s="4">
        <v>391.59647374000002</v>
      </c>
      <c r="F3013" s="4">
        <v>587394.71061000007</v>
      </c>
    </row>
    <row r="3014" spans="1:6" x14ac:dyDescent="0.3">
      <c r="A3014" s="3" t="s">
        <v>21</v>
      </c>
      <c r="B3014" s="7" t="str">
        <f>VLOOKUP(VALUE(A3014), 'DICIONÁRIO UF'!$A:$B, 2, FALSE)</f>
        <v>Espírito Santo</v>
      </c>
      <c r="C3014" s="3">
        <v>96090</v>
      </c>
      <c r="D3014" s="5" t="str">
        <f>VLOOKUP(C3014, 'DICIONÁRIO CNAES'!$A:$B, 2, FALSE)</f>
        <v>Outras atividades de serviços pessoais</v>
      </c>
      <c r="E3014" s="4">
        <v>7463.3905340600004</v>
      </c>
      <c r="F3014" s="4">
        <v>13510964.849243561</v>
      </c>
    </row>
    <row r="3015" spans="1:6" x14ac:dyDescent="0.3">
      <c r="A3015" s="3" t="s">
        <v>21</v>
      </c>
      <c r="B3015" s="7" t="str">
        <f>VLOOKUP(VALUE(A3015), 'DICIONÁRIO UF'!$A:$B, 2, FALSE)</f>
        <v>Espírito Santo</v>
      </c>
      <c r="C3015" s="3">
        <v>97000</v>
      </c>
      <c r="D3015" s="5" t="str">
        <f>VLOOKUP(C3015, 'DICIONÁRIO CNAES'!$A:$B, 2, FALSE)</f>
        <v>Serviços domésticos</v>
      </c>
      <c r="E3015" s="4">
        <v>92888.379879739994</v>
      </c>
      <c r="F3015" s="4">
        <v>81727254.557594627</v>
      </c>
    </row>
    <row r="3016" spans="1:6" x14ac:dyDescent="0.3">
      <c r="A3016" s="3" t="s">
        <v>22</v>
      </c>
      <c r="B3016" s="7" t="str">
        <f>VLOOKUP(VALUE(A3016), 'DICIONÁRIO UF'!$A:$B, 2, FALSE)</f>
        <v>Rio de Janeiro</v>
      </c>
      <c r="C3016" s="3">
        <v>0</v>
      </c>
      <c r="D3016" s="5" t="str">
        <f>VLOOKUP(C3016, 'DICIONÁRIO CNAES'!$A:$B, 2, FALSE)</f>
        <v xml:space="preserve">Atividades mal definidas </v>
      </c>
      <c r="E3016" s="4">
        <v>3706.95979962</v>
      </c>
      <c r="F3016" s="4">
        <v>13303374.9072753</v>
      </c>
    </row>
    <row r="3017" spans="1:6" x14ac:dyDescent="0.3">
      <c r="A3017" s="3" t="s">
        <v>22</v>
      </c>
      <c r="B3017" s="7" t="str">
        <f>VLOOKUP(VALUE(A3017), 'DICIONÁRIO UF'!$A:$B, 2, FALSE)</f>
        <v>Rio de Janeiro</v>
      </c>
      <c r="C3017" s="3">
        <v>1102</v>
      </c>
      <c r="D3017" s="5" t="str">
        <f>VLOOKUP(C3017, 'DICIONÁRIO CNAES'!$A:$B, 2, FALSE)</f>
        <v>Cultivo de milho</v>
      </c>
      <c r="E3017" s="4">
        <v>1352.45025682</v>
      </c>
      <c r="F3017" s="4">
        <v>31642061.576321062</v>
      </c>
    </row>
    <row r="3018" spans="1:6" x14ac:dyDescent="0.3">
      <c r="A3018" s="3" t="s">
        <v>22</v>
      </c>
      <c r="B3018" s="7" t="str">
        <f>VLOOKUP(VALUE(A3018), 'DICIONÁRIO UF'!$A:$B, 2, FALSE)</f>
        <v>Rio de Janeiro</v>
      </c>
      <c r="C3018" s="3">
        <v>1105</v>
      </c>
      <c r="D3018" s="5" t="str">
        <f>VLOOKUP(C3018, 'DICIONÁRIO CNAES'!$A:$B, 2, FALSE)</f>
        <v>Cultivo de cana-de-açúcar</v>
      </c>
      <c r="E3018" s="4">
        <v>4267.4758808500001</v>
      </c>
      <c r="F3018" s="4">
        <v>5489136.2308884999</v>
      </c>
    </row>
    <row r="3019" spans="1:6" x14ac:dyDescent="0.3">
      <c r="A3019" s="3" t="s">
        <v>22</v>
      </c>
      <c r="B3019" s="7" t="str">
        <f>VLOOKUP(VALUE(A3019), 'DICIONÁRIO UF'!$A:$B, 2, FALSE)</f>
        <v>Rio de Janeiro</v>
      </c>
      <c r="C3019" s="3">
        <v>1108</v>
      </c>
      <c r="D3019" s="5" t="str">
        <f>VLOOKUP(C3019, 'DICIONÁRIO CNAES'!$A:$B, 2, FALSE)</f>
        <v>Cultivo de mandioca</v>
      </c>
      <c r="E3019" s="4">
        <v>2347.82063354</v>
      </c>
      <c r="F3019" s="4">
        <v>1882168.4143060001</v>
      </c>
    </row>
    <row r="3020" spans="1:6" x14ac:dyDescent="0.3">
      <c r="A3020" s="3" t="s">
        <v>22</v>
      </c>
      <c r="B3020" s="7" t="str">
        <f>VLOOKUP(VALUE(A3020), 'DICIONÁRIO UF'!$A:$B, 2, FALSE)</f>
        <v>Rio de Janeiro</v>
      </c>
      <c r="C3020" s="3">
        <v>1109</v>
      </c>
      <c r="D3020" s="5" t="str">
        <f>VLOOKUP(C3020, 'DICIONÁRIO CNAES'!$A:$B, 2, FALSE)</f>
        <v>Cultivo de outras lavouras temporárias não especificadas anteriormente</v>
      </c>
      <c r="E3020" s="4">
        <v>684.56382108000003</v>
      </c>
      <c r="F3020" s="4">
        <v>574287.88978799991</v>
      </c>
    </row>
    <row r="3021" spans="1:6" x14ac:dyDescent="0.3">
      <c r="A3021" s="3" t="s">
        <v>22</v>
      </c>
      <c r="B3021" s="7" t="str">
        <f>VLOOKUP(VALUE(A3021), 'DICIONÁRIO UF'!$A:$B, 2, FALSE)</f>
        <v>Rio de Janeiro</v>
      </c>
      <c r="C3021" s="3">
        <v>1110</v>
      </c>
      <c r="D3021" s="5" t="str">
        <f>VLOOKUP(C3021, 'DICIONÁRIO CNAES'!$A:$B, 2, FALSE)</f>
        <v>Horticultura</v>
      </c>
      <c r="E3021" s="4">
        <v>23023.229231370002</v>
      </c>
      <c r="F3021" s="4">
        <v>24828320.292524721</v>
      </c>
    </row>
    <row r="3022" spans="1:6" x14ac:dyDescent="0.3">
      <c r="A3022" s="3" t="s">
        <v>22</v>
      </c>
      <c r="B3022" s="7" t="str">
        <f>VLOOKUP(VALUE(A3022), 'DICIONÁRIO UF'!$A:$B, 2, FALSE)</f>
        <v>Rio de Janeiro</v>
      </c>
      <c r="C3022" s="3">
        <v>1111</v>
      </c>
      <c r="D3022" s="5" t="str">
        <f>VLOOKUP(C3022, 'DICIONÁRIO CNAES'!$A:$B, 2, FALSE)</f>
        <v>Cultivo de flores e plantas ornamentais</v>
      </c>
      <c r="E3022" s="4">
        <v>473.03745906</v>
      </c>
      <c r="F3022" s="4">
        <v>1507682.41231</v>
      </c>
    </row>
    <row r="3023" spans="1:6" x14ac:dyDescent="0.3">
      <c r="A3023" s="3" t="s">
        <v>22</v>
      </c>
      <c r="B3023" s="7" t="str">
        <f>VLOOKUP(VALUE(A3023), 'DICIONÁRIO UF'!$A:$B, 2, FALSE)</f>
        <v>Rio de Janeiro</v>
      </c>
      <c r="C3023" s="3">
        <v>1112</v>
      </c>
      <c r="D3023" s="5" t="str">
        <f>VLOOKUP(C3023, 'DICIONÁRIO CNAES'!$A:$B, 2, FALSE)</f>
        <v>Cultivo de frutas cítricas</v>
      </c>
      <c r="E3023" s="4">
        <v>1164.6237493000001</v>
      </c>
      <c r="F3023" s="4">
        <v>1511430.325496</v>
      </c>
    </row>
    <row r="3024" spans="1:6" x14ac:dyDescent="0.3">
      <c r="A3024" s="3" t="s">
        <v>22</v>
      </c>
      <c r="B3024" s="7" t="str">
        <f>VLOOKUP(VALUE(A3024), 'DICIONÁRIO UF'!$A:$B, 2, FALSE)</f>
        <v>Rio de Janeiro</v>
      </c>
      <c r="C3024" s="3">
        <v>1113</v>
      </c>
      <c r="D3024" s="5" t="str">
        <f>VLOOKUP(C3024, 'DICIONÁRIO CNAES'!$A:$B, 2, FALSE)</f>
        <v>Cultivo de café</v>
      </c>
      <c r="E3024" s="4">
        <v>2488.32916935</v>
      </c>
      <c r="F3024" s="4">
        <v>2133180.234588</v>
      </c>
    </row>
    <row r="3025" spans="1:6" x14ac:dyDescent="0.3">
      <c r="A3025" s="3" t="s">
        <v>22</v>
      </c>
      <c r="B3025" s="7" t="str">
        <f>VLOOKUP(VALUE(A3025), 'DICIONÁRIO UF'!$A:$B, 2, FALSE)</f>
        <v>Rio de Janeiro</v>
      </c>
      <c r="C3025" s="3">
        <v>1116</v>
      </c>
      <c r="D3025" s="5" t="str">
        <f>VLOOKUP(C3025, 'DICIONÁRIO CNAES'!$A:$B, 2, FALSE)</f>
        <v>Cultivo de banana</v>
      </c>
      <c r="E3025" s="4">
        <v>1835.5765217000001</v>
      </c>
      <c r="F3025" s="4">
        <v>2681501.3302139998</v>
      </c>
    </row>
    <row r="3026" spans="1:6" x14ac:dyDescent="0.3">
      <c r="A3026" s="3" t="s">
        <v>22</v>
      </c>
      <c r="B3026" s="7" t="str">
        <f>VLOOKUP(VALUE(A3026), 'DICIONÁRIO UF'!$A:$B, 2, FALSE)</f>
        <v>Rio de Janeiro</v>
      </c>
      <c r="C3026" s="3">
        <v>1117</v>
      </c>
      <c r="D3026" s="5" t="str">
        <f>VLOOKUP(C3026, 'DICIONÁRIO CNAES'!$A:$B, 2, FALSE)</f>
        <v>Cultivo de outras plantas e frutas de lavoura permanente não especificadas anteriormente</v>
      </c>
      <c r="E3026" s="4">
        <v>914.76205154000002</v>
      </c>
      <c r="F3026" s="4">
        <v>474353.07669000002</v>
      </c>
    </row>
    <row r="3027" spans="1:6" x14ac:dyDescent="0.3">
      <c r="A3027" s="3" t="s">
        <v>22</v>
      </c>
      <c r="B3027" s="7" t="str">
        <f>VLOOKUP(VALUE(A3027), 'DICIONÁRIO UF'!$A:$B, 2, FALSE)</f>
        <v>Rio de Janeiro</v>
      </c>
      <c r="C3027" s="3">
        <v>1119</v>
      </c>
      <c r="D3027" s="5" t="str">
        <f>VLOOKUP(C3027, 'DICIONÁRIO CNAES'!$A:$B, 2, FALSE)</f>
        <v>Lavoura não especificada</v>
      </c>
      <c r="E3027" s="4">
        <v>4588.4393377899996</v>
      </c>
      <c r="F3027" s="4">
        <v>4043989.0573694999</v>
      </c>
    </row>
    <row r="3028" spans="1:6" x14ac:dyDescent="0.3">
      <c r="A3028" s="3" t="s">
        <v>22</v>
      </c>
      <c r="B3028" s="7" t="str">
        <f>VLOOKUP(VALUE(A3028), 'DICIONÁRIO UF'!$A:$B, 2, FALSE)</f>
        <v>Rio de Janeiro</v>
      </c>
      <c r="C3028" s="3">
        <v>1201</v>
      </c>
      <c r="D3028" s="5" t="str">
        <f>VLOOKUP(C3028, 'DICIONÁRIO CNAES'!$A:$B, 2, FALSE)</f>
        <v>Criação de bovinos</v>
      </c>
      <c r="E3028" s="4">
        <v>27238.07788289</v>
      </c>
      <c r="F3028" s="4">
        <v>40301366.912769496</v>
      </c>
    </row>
    <row r="3029" spans="1:6" x14ac:dyDescent="0.3">
      <c r="A3029" s="3" t="s">
        <v>22</v>
      </c>
      <c r="B3029" s="7" t="str">
        <f>VLOOKUP(VALUE(A3029), 'DICIONÁRIO UF'!$A:$B, 2, FALSE)</f>
        <v>Rio de Janeiro</v>
      </c>
      <c r="C3029" s="3">
        <v>1202</v>
      </c>
      <c r="D3029" s="5" t="str">
        <f>VLOOKUP(C3029, 'DICIONÁRIO CNAES'!$A:$B, 2, FALSE)</f>
        <v>Criação de outros animais de grande porte não especificados anteriormente</v>
      </c>
      <c r="E3029" s="4">
        <v>2680.3439168800001</v>
      </c>
      <c r="F3029" s="4">
        <v>2594878.819476</v>
      </c>
    </row>
    <row r="3030" spans="1:6" x14ac:dyDescent="0.3">
      <c r="A3030" s="3" t="s">
        <v>22</v>
      </c>
      <c r="B3030" s="7" t="str">
        <f>VLOOKUP(VALUE(A3030), 'DICIONÁRIO UF'!$A:$B, 2, FALSE)</f>
        <v>Rio de Janeiro</v>
      </c>
      <c r="C3030" s="3">
        <v>1205</v>
      </c>
      <c r="D3030" s="5" t="str">
        <f>VLOOKUP(C3030, 'DICIONÁRIO CNAES'!$A:$B, 2, FALSE)</f>
        <v>Criação de aves</v>
      </c>
      <c r="E3030" s="4">
        <v>2006.69672569</v>
      </c>
      <c r="F3030" s="4">
        <v>4429189.9593550004</v>
      </c>
    </row>
    <row r="3031" spans="1:6" x14ac:dyDescent="0.3">
      <c r="A3031" s="3" t="s">
        <v>22</v>
      </c>
      <c r="B3031" s="7" t="str">
        <f>VLOOKUP(VALUE(A3031), 'DICIONÁRIO UF'!$A:$B, 2, FALSE)</f>
        <v>Rio de Janeiro</v>
      </c>
      <c r="C3031" s="3">
        <v>1401</v>
      </c>
      <c r="D3031" s="5" t="str">
        <f>VLOOKUP(C3031, 'DICIONÁRIO CNAES'!$A:$B, 2, FALSE)</f>
        <v>Atividades de apoio à agricultura e pós-colheita</v>
      </c>
      <c r="E3031" s="4">
        <v>1362.30998914</v>
      </c>
      <c r="F3031" s="4">
        <v>11484804.4633877</v>
      </c>
    </row>
    <row r="3032" spans="1:6" x14ac:dyDescent="0.3">
      <c r="A3032" s="3" t="s">
        <v>22</v>
      </c>
      <c r="B3032" s="7" t="str">
        <f>VLOOKUP(VALUE(A3032), 'DICIONÁRIO UF'!$A:$B, 2, FALSE)</f>
        <v>Rio de Janeiro</v>
      </c>
      <c r="C3032" s="3">
        <v>1402</v>
      </c>
      <c r="D3032" s="5" t="str">
        <f>VLOOKUP(C3032, 'DICIONÁRIO CNAES'!$A:$B, 2, FALSE)</f>
        <v xml:space="preserve">Atividades de apoio à pecuária </v>
      </c>
      <c r="E3032" s="4">
        <v>1271.87257531</v>
      </c>
      <c r="F3032" s="4">
        <v>1231237.4445829999</v>
      </c>
    </row>
    <row r="3033" spans="1:6" x14ac:dyDescent="0.3">
      <c r="A3033" s="3" t="s">
        <v>22</v>
      </c>
      <c r="B3033" s="7" t="str">
        <f>VLOOKUP(VALUE(A3033), 'DICIONÁRIO UF'!$A:$B, 2, FALSE)</f>
        <v>Rio de Janeiro</v>
      </c>
      <c r="C3033" s="3">
        <v>1999</v>
      </c>
      <c r="D3033" s="5" t="str">
        <f>VLOOKUP(C3033, 'DICIONÁRIO CNAES'!$A:$B, 2, FALSE)</f>
        <v>Agropecuária</v>
      </c>
      <c r="E3033" s="4">
        <v>402.32850794000001</v>
      </c>
      <c r="F3033" s="4">
        <v>1467068.225358</v>
      </c>
    </row>
    <row r="3034" spans="1:6" x14ac:dyDescent="0.3">
      <c r="A3034" s="3" t="s">
        <v>22</v>
      </c>
      <c r="B3034" s="7" t="str">
        <f>VLOOKUP(VALUE(A3034), 'DICIONÁRIO UF'!$A:$B, 2, FALSE)</f>
        <v>Rio de Janeiro</v>
      </c>
      <c r="C3034" s="3">
        <v>2000</v>
      </c>
      <c r="D3034" s="5" t="str">
        <f>VLOOKUP(C3034, 'DICIONÁRIO CNAES'!$A:$B, 2, FALSE)</f>
        <v xml:space="preserve">Produção florestal </v>
      </c>
      <c r="E3034" s="4">
        <v>603.36519245</v>
      </c>
      <c r="F3034" s="4">
        <v>1538581.2407475</v>
      </c>
    </row>
    <row r="3035" spans="1:6" x14ac:dyDescent="0.3">
      <c r="A3035" s="3" t="s">
        <v>22</v>
      </c>
      <c r="B3035" s="7" t="str">
        <f>VLOOKUP(VALUE(A3035), 'DICIONÁRIO UF'!$A:$B, 2, FALSE)</f>
        <v>Rio de Janeiro</v>
      </c>
      <c r="C3035" s="3">
        <v>3001</v>
      </c>
      <c r="D3035" s="5" t="str">
        <f>VLOOKUP(C3035, 'DICIONÁRIO CNAES'!$A:$B, 2, FALSE)</f>
        <v>Pesca</v>
      </c>
      <c r="E3035" s="4">
        <v>12468.145781880001</v>
      </c>
      <c r="F3035" s="4">
        <v>17034990.7067075</v>
      </c>
    </row>
    <row r="3036" spans="1:6" x14ac:dyDescent="0.3">
      <c r="A3036" s="3" t="s">
        <v>22</v>
      </c>
      <c r="B3036" s="7" t="str">
        <f>VLOOKUP(VALUE(A3036), 'DICIONÁRIO UF'!$A:$B, 2, FALSE)</f>
        <v>Rio de Janeiro</v>
      </c>
      <c r="C3036" s="3">
        <v>3002</v>
      </c>
      <c r="D3036" s="5" t="str">
        <f>VLOOKUP(C3036, 'DICIONÁRIO CNAES'!$A:$B, 2, FALSE)</f>
        <v>Aqüicultura</v>
      </c>
      <c r="E3036" s="4">
        <v>626.22694971999999</v>
      </c>
      <c r="F3036" s="4">
        <v>1001963.119552</v>
      </c>
    </row>
    <row r="3037" spans="1:6" x14ac:dyDescent="0.3">
      <c r="A3037" s="3" t="s">
        <v>22</v>
      </c>
      <c r="B3037" s="7" t="str">
        <f>VLOOKUP(VALUE(A3037), 'DICIONÁRIO UF'!$A:$B, 2, FALSE)</f>
        <v>Rio de Janeiro</v>
      </c>
      <c r="C3037" s="3">
        <v>5000</v>
      </c>
      <c r="D3037" s="5" t="str">
        <f>VLOOKUP(C3037, 'DICIONÁRIO CNAES'!$A:$B, 2, FALSE)</f>
        <v>Extração de carvão mineral</v>
      </c>
      <c r="E3037" s="4">
        <v>878.03925460000005</v>
      </c>
      <c r="F3037" s="4">
        <v>5268235.5276000006</v>
      </c>
    </row>
    <row r="3038" spans="1:6" x14ac:dyDescent="0.3">
      <c r="A3038" s="3" t="s">
        <v>22</v>
      </c>
      <c r="B3038" s="7" t="str">
        <f>VLOOKUP(VALUE(A3038), 'DICIONÁRIO UF'!$A:$B, 2, FALSE)</f>
        <v>Rio de Janeiro</v>
      </c>
      <c r="C3038" s="3">
        <v>6000</v>
      </c>
      <c r="D3038" s="5" t="str">
        <f>VLOOKUP(C3038, 'DICIONÁRIO CNAES'!$A:$B, 2, FALSE)</f>
        <v xml:space="preserve">Extração de petróleo e gás natural </v>
      </c>
      <c r="E3038" s="4">
        <v>80895.041636130001</v>
      </c>
      <c r="F3038" s="4">
        <v>594329239.77152085</v>
      </c>
    </row>
    <row r="3039" spans="1:6" x14ac:dyDescent="0.3">
      <c r="A3039" s="3" t="s">
        <v>22</v>
      </c>
      <c r="B3039" s="7" t="str">
        <f>VLOOKUP(VALUE(A3039), 'DICIONÁRIO UF'!$A:$B, 2, FALSE)</f>
        <v>Rio de Janeiro</v>
      </c>
      <c r="C3039" s="3">
        <v>7001</v>
      </c>
      <c r="D3039" s="5" t="str">
        <f>VLOOKUP(C3039, 'DICIONÁRIO CNAES'!$A:$B, 2, FALSE)</f>
        <v>Extração de minérios de metais preciosos</v>
      </c>
      <c r="E3039" s="4">
        <v>825.15615047999995</v>
      </c>
      <c r="F3039" s="4">
        <v>4950936.90288</v>
      </c>
    </row>
    <row r="3040" spans="1:6" x14ac:dyDescent="0.3">
      <c r="A3040" s="3" t="s">
        <v>22</v>
      </c>
      <c r="B3040" s="7" t="str">
        <f>VLOOKUP(VALUE(A3040), 'DICIONÁRIO UF'!$A:$B, 2, FALSE)</f>
        <v>Rio de Janeiro</v>
      </c>
      <c r="C3040" s="3">
        <v>7002</v>
      </c>
      <c r="D3040" s="5" t="str">
        <f>VLOOKUP(C3040, 'DICIONÁRIO CNAES'!$A:$B, 2, FALSE)</f>
        <v xml:space="preserve">Extração de minerais metálicos não especificados anteriormente </v>
      </c>
      <c r="E3040" s="4">
        <v>4009.6660085200001</v>
      </c>
      <c r="F3040" s="4">
        <v>10090408.891683999</v>
      </c>
    </row>
    <row r="3041" spans="1:6" x14ac:dyDescent="0.3">
      <c r="A3041" s="3" t="s">
        <v>22</v>
      </c>
      <c r="B3041" s="7" t="str">
        <f>VLOOKUP(VALUE(A3041), 'DICIONÁRIO UF'!$A:$B, 2, FALSE)</f>
        <v>Rio de Janeiro</v>
      </c>
      <c r="C3041" s="3">
        <v>8001</v>
      </c>
      <c r="D3041" s="5" t="str">
        <f>VLOOKUP(C3041, 'DICIONÁRIO CNAES'!$A:$B, 2, FALSE)</f>
        <v>Extração de pedras, areia e argila</v>
      </c>
      <c r="E3041" s="4">
        <v>5396.8075982700002</v>
      </c>
      <c r="F3041" s="4">
        <v>14936792.182928</v>
      </c>
    </row>
    <row r="3042" spans="1:6" x14ac:dyDescent="0.3">
      <c r="A3042" s="3" t="s">
        <v>22</v>
      </c>
      <c r="B3042" s="7" t="str">
        <f>VLOOKUP(VALUE(A3042), 'DICIONÁRIO UF'!$A:$B, 2, FALSE)</f>
        <v>Rio de Janeiro</v>
      </c>
      <c r="C3042" s="3">
        <v>8009</v>
      </c>
      <c r="D3042" s="5" t="str">
        <f>VLOOKUP(C3042, 'DICIONÁRIO CNAES'!$A:$B, 2, FALSE)</f>
        <v xml:space="preserve">Extração de minerais não metálicos não especificados anteriormente </v>
      </c>
      <c r="E3042" s="4">
        <v>334.58477674</v>
      </c>
      <c r="F3042" s="4">
        <v>401501.73208799999</v>
      </c>
    </row>
    <row r="3043" spans="1:6" x14ac:dyDescent="0.3">
      <c r="A3043" s="3" t="s">
        <v>22</v>
      </c>
      <c r="B3043" s="7" t="str">
        <f>VLOOKUP(VALUE(A3043), 'DICIONÁRIO UF'!$A:$B, 2, FALSE)</f>
        <v>Rio de Janeiro</v>
      </c>
      <c r="C3043" s="3">
        <v>9000</v>
      </c>
      <c r="D3043" s="5" t="str">
        <f>VLOOKUP(C3043, 'DICIONÁRIO CNAES'!$A:$B, 2, FALSE)</f>
        <v>Atividades de apoio à extração de minerais</v>
      </c>
      <c r="E3043" s="4">
        <v>7602.9802393800001</v>
      </c>
      <c r="F3043" s="4">
        <v>27109853.960900001</v>
      </c>
    </row>
    <row r="3044" spans="1:6" x14ac:dyDescent="0.3">
      <c r="A3044" s="3" t="s">
        <v>22</v>
      </c>
      <c r="B3044" s="7" t="str">
        <f>VLOOKUP(VALUE(A3044), 'DICIONÁRIO UF'!$A:$B, 2, FALSE)</f>
        <v>Rio de Janeiro</v>
      </c>
      <c r="C3044" s="3">
        <v>10010</v>
      </c>
      <c r="D3044" s="5" t="str">
        <f>VLOOKUP(C3044, 'DICIONÁRIO CNAES'!$A:$B, 2, FALSE)</f>
        <v xml:space="preserve">Abate e fabricação de produtos de carne e pescado </v>
      </c>
      <c r="E3044" s="4">
        <v>8828.6858734800007</v>
      </c>
      <c r="F3044" s="4">
        <v>39231783.303591996</v>
      </c>
    </row>
    <row r="3045" spans="1:6" x14ac:dyDescent="0.3">
      <c r="A3045" s="3" t="s">
        <v>22</v>
      </c>
      <c r="B3045" s="7" t="str">
        <f>VLOOKUP(VALUE(A3045), 'DICIONÁRIO UF'!$A:$B, 2, FALSE)</f>
        <v>Rio de Janeiro</v>
      </c>
      <c r="C3045" s="3">
        <v>10021</v>
      </c>
      <c r="D3045" s="5" t="str">
        <f>VLOOKUP(C3045, 'DICIONÁRIO CNAES'!$A:$B, 2, FALSE)</f>
        <v>Fabricação de conservas de frutas, legumes e outros vegetais</v>
      </c>
      <c r="E3045" s="4">
        <v>780.37399017999996</v>
      </c>
      <c r="F3045" s="4">
        <v>1448302.5494768</v>
      </c>
    </row>
    <row r="3046" spans="1:6" x14ac:dyDescent="0.3">
      <c r="A3046" s="3" t="s">
        <v>22</v>
      </c>
      <c r="B3046" s="7" t="str">
        <f>VLOOKUP(VALUE(A3046), 'DICIONÁRIO UF'!$A:$B, 2, FALSE)</f>
        <v>Rio de Janeiro</v>
      </c>
      <c r="C3046" s="3">
        <v>10030</v>
      </c>
      <c r="D3046" s="5" t="str">
        <f>VLOOKUP(C3046, 'DICIONÁRIO CNAES'!$A:$B, 2, FALSE)</f>
        <v>Laticínios</v>
      </c>
      <c r="E3046" s="4">
        <v>9809.3180091499999</v>
      </c>
      <c r="F3046" s="4">
        <v>13910734.045507601</v>
      </c>
    </row>
    <row r="3047" spans="1:6" x14ac:dyDescent="0.3">
      <c r="A3047" s="3" t="s">
        <v>22</v>
      </c>
      <c r="B3047" s="7" t="str">
        <f>VLOOKUP(VALUE(A3047), 'DICIONÁRIO UF'!$A:$B, 2, FALSE)</f>
        <v>Rio de Janeiro</v>
      </c>
      <c r="C3047" s="3">
        <v>10091</v>
      </c>
      <c r="D3047" s="5" t="str">
        <f>VLOOKUP(C3047, 'DICIONÁRIO CNAES'!$A:$B, 2, FALSE)</f>
        <v>Moagem, fabricação de produtos amiláceos e de alimentos para animais</v>
      </c>
      <c r="E3047" s="4">
        <v>3823.2961937199998</v>
      </c>
      <c r="F3047" s="4">
        <v>7255746.8236131007</v>
      </c>
    </row>
    <row r="3048" spans="1:6" x14ac:dyDescent="0.3">
      <c r="A3048" s="3" t="s">
        <v>22</v>
      </c>
      <c r="B3048" s="7" t="str">
        <f>VLOOKUP(VALUE(A3048), 'DICIONÁRIO UF'!$A:$B, 2, FALSE)</f>
        <v>Rio de Janeiro</v>
      </c>
      <c r="C3048" s="3">
        <v>10092</v>
      </c>
      <c r="D3048" s="5" t="str">
        <f>VLOOKUP(C3048, 'DICIONÁRIO CNAES'!$A:$B, 2, FALSE)</f>
        <v>Fabricação e refino do açúcar</v>
      </c>
      <c r="E3048" s="4">
        <v>1440.39556513</v>
      </c>
      <c r="F3048" s="4">
        <v>2609870.9926880002</v>
      </c>
    </row>
    <row r="3049" spans="1:6" x14ac:dyDescent="0.3">
      <c r="A3049" s="3" t="s">
        <v>22</v>
      </c>
      <c r="B3049" s="7" t="str">
        <f>VLOOKUP(VALUE(A3049), 'DICIONÁRIO UF'!$A:$B, 2, FALSE)</f>
        <v>Rio de Janeiro</v>
      </c>
      <c r="C3049" s="3">
        <v>10093</v>
      </c>
      <c r="D3049" s="5" t="str">
        <f>VLOOKUP(C3049, 'DICIONÁRIO CNAES'!$A:$B, 2, FALSE)</f>
        <v>Torrefação e moagem de café</v>
      </c>
      <c r="E3049" s="4">
        <v>901.07314850000012</v>
      </c>
      <c r="F3049" s="4">
        <v>3722342.3646249999</v>
      </c>
    </row>
    <row r="3050" spans="1:6" x14ac:dyDescent="0.3">
      <c r="A3050" s="3" t="s">
        <v>22</v>
      </c>
      <c r="B3050" s="7" t="str">
        <f>VLOOKUP(VALUE(A3050), 'DICIONÁRIO UF'!$A:$B, 2, FALSE)</f>
        <v>Rio de Janeiro</v>
      </c>
      <c r="C3050" s="3">
        <v>10099</v>
      </c>
      <c r="D3050" s="5" t="str">
        <f>VLOOKUP(C3050, 'DICIONÁRIO CNAES'!$A:$B, 2, FALSE)</f>
        <v>Fabricação de outros produtos alimentícios</v>
      </c>
      <c r="E3050" s="4">
        <v>12566.368786839999</v>
      </c>
      <c r="F3050" s="4">
        <v>23831932.745182</v>
      </c>
    </row>
    <row r="3051" spans="1:6" x14ac:dyDescent="0.3">
      <c r="A3051" s="3" t="s">
        <v>22</v>
      </c>
      <c r="B3051" s="7" t="str">
        <f>VLOOKUP(VALUE(A3051), 'DICIONÁRIO UF'!$A:$B, 2, FALSE)</f>
        <v>Rio de Janeiro</v>
      </c>
      <c r="C3051" s="3">
        <v>11000</v>
      </c>
      <c r="D3051" s="5" t="str">
        <f>VLOOKUP(C3051, 'DICIONÁRIO CNAES'!$A:$B, 2, FALSE)</f>
        <v>Fabricação de bebidas</v>
      </c>
      <c r="E3051" s="4">
        <v>8929.6971681399991</v>
      </c>
      <c r="F3051" s="4">
        <v>28190139.571452498</v>
      </c>
    </row>
    <row r="3052" spans="1:6" x14ac:dyDescent="0.3">
      <c r="A3052" s="3" t="s">
        <v>22</v>
      </c>
      <c r="B3052" s="7" t="str">
        <f>VLOOKUP(VALUE(A3052), 'DICIONÁRIO UF'!$A:$B, 2, FALSE)</f>
        <v>Rio de Janeiro</v>
      </c>
      <c r="C3052" s="3">
        <v>12000</v>
      </c>
      <c r="D3052" s="5" t="str">
        <f>VLOOKUP(C3052, 'DICIONÁRIO CNAES'!$A:$B, 2, FALSE)</f>
        <v>Processamento industrial e fabricação de produtos do fumo</v>
      </c>
      <c r="E3052" s="4">
        <v>973.06106449000004</v>
      </c>
      <c r="F3052" s="4">
        <v>1840328.6428650001</v>
      </c>
    </row>
    <row r="3053" spans="1:6" x14ac:dyDescent="0.3">
      <c r="A3053" s="3" t="s">
        <v>22</v>
      </c>
      <c r="B3053" s="7" t="str">
        <f>VLOOKUP(VALUE(A3053), 'DICIONÁRIO UF'!$A:$B, 2, FALSE)</f>
        <v>Rio de Janeiro</v>
      </c>
      <c r="C3053" s="3">
        <v>13001</v>
      </c>
      <c r="D3053" s="5" t="str">
        <f>VLOOKUP(C3053, 'DICIONÁRIO CNAES'!$A:$B, 2, FALSE)</f>
        <v>Preparação de fibras, fiação e tecelagem</v>
      </c>
      <c r="E3053" s="4">
        <v>4003.8210511500001</v>
      </c>
      <c r="F3053" s="4">
        <v>5928263.886992</v>
      </c>
    </row>
    <row r="3054" spans="1:6" x14ac:dyDescent="0.3">
      <c r="A3054" s="3" t="s">
        <v>22</v>
      </c>
      <c r="B3054" s="7" t="str">
        <f>VLOOKUP(VALUE(A3054), 'DICIONÁRIO UF'!$A:$B, 2, FALSE)</f>
        <v>Rio de Janeiro</v>
      </c>
      <c r="C3054" s="3">
        <v>13002</v>
      </c>
      <c r="D3054" s="5" t="str">
        <f>VLOOKUP(C3054, 'DICIONÁRIO CNAES'!$A:$B, 2, FALSE)</f>
        <v>Fabricação de artefatos têxteis, exceto vestuário</v>
      </c>
      <c r="E3054" s="4">
        <v>9799.0310096600006</v>
      </c>
      <c r="F3054" s="4">
        <v>9387647.5881005004</v>
      </c>
    </row>
    <row r="3055" spans="1:6" x14ac:dyDescent="0.3">
      <c r="A3055" s="3" t="s">
        <v>22</v>
      </c>
      <c r="B3055" s="7" t="str">
        <f>VLOOKUP(VALUE(A3055), 'DICIONÁRIO UF'!$A:$B, 2, FALSE)</f>
        <v>Rio de Janeiro</v>
      </c>
      <c r="C3055" s="3">
        <v>14001</v>
      </c>
      <c r="D3055" s="5" t="str">
        <f>VLOOKUP(C3055, 'DICIONÁRIO CNAES'!$A:$B, 2, FALSE)</f>
        <v>Confecção de artigos do vestuário e acessórios, exceto sob medida</v>
      </c>
      <c r="E3055" s="4">
        <v>63512.844415879998</v>
      </c>
      <c r="F3055" s="4">
        <v>100101857.5349845</v>
      </c>
    </row>
    <row r="3056" spans="1:6" x14ac:dyDescent="0.3">
      <c r="A3056" s="3" t="s">
        <v>22</v>
      </c>
      <c r="B3056" s="7" t="str">
        <f>VLOOKUP(VALUE(A3056), 'DICIONÁRIO UF'!$A:$B, 2, FALSE)</f>
        <v>Rio de Janeiro</v>
      </c>
      <c r="C3056" s="3">
        <v>14002</v>
      </c>
      <c r="D3056" s="5" t="str">
        <f>VLOOKUP(C3056, 'DICIONÁRIO CNAES'!$A:$B, 2, FALSE)</f>
        <v>Confecção, sob medida, de artigos do vestuário</v>
      </c>
      <c r="E3056" s="4">
        <v>53730.312669990002</v>
      </c>
      <c r="F3056" s="4">
        <v>67665193.438354596</v>
      </c>
    </row>
    <row r="3057" spans="1:6" x14ac:dyDescent="0.3">
      <c r="A3057" s="3" t="s">
        <v>22</v>
      </c>
      <c r="B3057" s="7" t="str">
        <f>VLOOKUP(VALUE(A3057), 'DICIONÁRIO UF'!$A:$B, 2, FALSE)</f>
        <v>Rio de Janeiro</v>
      </c>
      <c r="C3057" s="3">
        <v>15011</v>
      </c>
      <c r="D3057" s="5" t="str">
        <f>VLOOKUP(C3057, 'DICIONÁRIO CNAES'!$A:$B, 2, FALSE)</f>
        <v>Curtimento e outras preparações de couro</v>
      </c>
      <c r="E3057" s="4">
        <v>1844.28595885</v>
      </c>
      <c r="F3057" s="4">
        <v>2028714.554735</v>
      </c>
    </row>
    <row r="3058" spans="1:6" x14ac:dyDescent="0.3">
      <c r="A3058" s="3" t="s">
        <v>22</v>
      </c>
      <c r="B3058" s="7" t="str">
        <f>VLOOKUP(VALUE(A3058), 'DICIONÁRIO UF'!$A:$B, 2, FALSE)</f>
        <v>Rio de Janeiro</v>
      </c>
      <c r="C3058" s="3">
        <v>15012</v>
      </c>
      <c r="D3058" s="5" t="str">
        <f>VLOOKUP(C3058, 'DICIONÁRIO CNAES'!$A:$B, 2, FALSE)</f>
        <v>Fabricação de artigos de viagem e de artefatos diversos de couro</v>
      </c>
      <c r="E3058" s="4">
        <v>1980.8484074</v>
      </c>
      <c r="F3058" s="4">
        <v>3034822.7110560001</v>
      </c>
    </row>
    <row r="3059" spans="1:6" x14ac:dyDescent="0.3">
      <c r="A3059" s="3" t="s">
        <v>22</v>
      </c>
      <c r="B3059" s="7" t="str">
        <f>VLOOKUP(VALUE(A3059), 'DICIONÁRIO UF'!$A:$B, 2, FALSE)</f>
        <v>Rio de Janeiro</v>
      </c>
      <c r="C3059" s="3">
        <v>16001</v>
      </c>
      <c r="D3059" s="5" t="str">
        <f>VLOOKUP(C3059, 'DICIONÁRIO CNAES'!$A:$B, 2, FALSE)</f>
        <v>Serrarias</v>
      </c>
      <c r="E3059" s="4">
        <v>183.24770355999999</v>
      </c>
      <c r="F3059" s="4">
        <v>219897.24427200001</v>
      </c>
    </row>
    <row r="3060" spans="1:6" x14ac:dyDescent="0.3">
      <c r="A3060" s="3" t="s">
        <v>22</v>
      </c>
      <c r="B3060" s="7" t="str">
        <f>VLOOKUP(VALUE(A3060), 'DICIONÁRIO UF'!$A:$B, 2, FALSE)</f>
        <v>Rio de Janeiro</v>
      </c>
      <c r="C3060" s="3">
        <v>16002</v>
      </c>
      <c r="D3060" s="5" t="str">
        <f>VLOOKUP(C3060, 'DICIONÁRIO CNAES'!$A:$B, 2, FALSE)</f>
        <v>Fabricação de produtos de madeira, cortiça e material trançado, exceto móveis</v>
      </c>
      <c r="E3060" s="4">
        <v>13252.84863937</v>
      </c>
      <c r="F3060" s="4">
        <v>16033936.496881001</v>
      </c>
    </row>
    <row r="3061" spans="1:6" x14ac:dyDescent="0.3">
      <c r="A3061" s="3" t="s">
        <v>22</v>
      </c>
      <c r="B3061" s="7" t="str">
        <f>VLOOKUP(VALUE(A3061), 'DICIONÁRIO UF'!$A:$B, 2, FALSE)</f>
        <v>Rio de Janeiro</v>
      </c>
      <c r="C3061" s="3">
        <v>17001</v>
      </c>
      <c r="D3061" s="5" t="str">
        <f>VLOOKUP(C3061, 'DICIONÁRIO CNAES'!$A:$B, 2, FALSE)</f>
        <v>Fabricação de celulose, papel, cartolina e papel-cartão</v>
      </c>
      <c r="E3061" s="4">
        <v>428.78890791999999</v>
      </c>
      <c r="F3061" s="4">
        <v>246553.62205400001</v>
      </c>
    </row>
    <row r="3062" spans="1:6" x14ac:dyDescent="0.3">
      <c r="A3062" s="3" t="s">
        <v>22</v>
      </c>
      <c r="B3062" s="7" t="str">
        <f>VLOOKUP(VALUE(A3062), 'DICIONÁRIO UF'!$A:$B, 2, FALSE)</f>
        <v>Rio de Janeiro</v>
      </c>
      <c r="C3062" s="3">
        <v>17002</v>
      </c>
      <c r="D3062" s="5" t="str">
        <f>VLOOKUP(C3062, 'DICIONÁRIO CNAES'!$A:$B, 2, FALSE)</f>
        <v>Fabricação de embalagens e de produtos diversos de papel, cartolina, papel-cartão e papelão ondulado</v>
      </c>
      <c r="E3062" s="4">
        <v>4793.5261231200002</v>
      </c>
      <c r="F3062" s="4">
        <v>4798675.0203377996</v>
      </c>
    </row>
    <row r="3063" spans="1:6" x14ac:dyDescent="0.3">
      <c r="A3063" s="3" t="s">
        <v>22</v>
      </c>
      <c r="B3063" s="7" t="str">
        <f>VLOOKUP(VALUE(A3063), 'DICIONÁRIO UF'!$A:$B, 2, FALSE)</f>
        <v>Rio de Janeiro</v>
      </c>
      <c r="C3063" s="3">
        <v>18000</v>
      </c>
      <c r="D3063" s="5" t="str">
        <f>VLOOKUP(C3063, 'DICIONÁRIO CNAES'!$A:$B, 2, FALSE)</f>
        <v>Impressão e reprodução de gravações</v>
      </c>
      <c r="E3063" s="4">
        <v>20361.38082735</v>
      </c>
      <c r="F3063" s="4">
        <v>82318098.182047263</v>
      </c>
    </row>
    <row r="3064" spans="1:6" x14ac:dyDescent="0.3">
      <c r="A3064" s="3" t="s">
        <v>22</v>
      </c>
      <c r="B3064" s="7" t="str">
        <f>VLOOKUP(VALUE(A3064), 'DICIONÁRIO UF'!$A:$B, 2, FALSE)</f>
        <v>Rio de Janeiro</v>
      </c>
      <c r="C3064" s="3">
        <v>19010</v>
      </c>
      <c r="D3064" s="5" t="str">
        <f>VLOOKUP(C3064, 'DICIONÁRIO CNAES'!$A:$B, 2, FALSE)</f>
        <v>Coquerias</v>
      </c>
      <c r="E3064" s="4">
        <v>1173.6487602899999</v>
      </c>
      <c r="F3064" s="4">
        <v>3520946.2808699999</v>
      </c>
    </row>
    <row r="3065" spans="1:6" x14ac:dyDescent="0.3">
      <c r="A3065" s="3" t="s">
        <v>22</v>
      </c>
      <c r="B3065" s="7" t="str">
        <f>VLOOKUP(VALUE(A3065), 'DICIONÁRIO UF'!$A:$B, 2, FALSE)</f>
        <v>Rio de Janeiro</v>
      </c>
      <c r="C3065" s="3">
        <v>19020</v>
      </c>
      <c r="D3065" s="5" t="str">
        <f>VLOOKUP(C3065, 'DICIONÁRIO CNAES'!$A:$B, 2, FALSE)</f>
        <v>Fabricação de produtos derivados do petróleo</v>
      </c>
      <c r="E3065" s="4">
        <v>2311.0372436799998</v>
      </c>
      <c r="F3065" s="4">
        <v>10676009.006270001</v>
      </c>
    </row>
    <row r="3066" spans="1:6" x14ac:dyDescent="0.3">
      <c r="A3066" s="3" t="s">
        <v>22</v>
      </c>
      <c r="B3066" s="7" t="str">
        <f>VLOOKUP(VALUE(A3066), 'DICIONÁRIO UF'!$A:$B, 2, FALSE)</f>
        <v>Rio de Janeiro</v>
      </c>
      <c r="C3066" s="3">
        <v>19030</v>
      </c>
      <c r="D3066" s="5" t="str">
        <f>VLOOKUP(C3066, 'DICIONÁRIO CNAES'!$A:$B, 2, FALSE)</f>
        <v>Produção de biocombustíveis</v>
      </c>
      <c r="E3066" s="4">
        <v>1704.82853312</v>
      </c>
      <c r="F3066" s="4">
        <v>3769002.8732981998</v>
      </c>
    </row>
    <row r="3067" spans="1:6" x14ac:dyDescent="0.3">
      <c r="A3067" s="3" t="s">
        <v>22</v>
      </c>
      <c r="B3067" s="7" t="str">
        <f>VLOOKUP(VALUE(A3067), 'DICIONÁRIO UF'!$A:$B, 2, FALSE)</f>
        <v>Rio de Janeiro</v>
      </c>
      <c r="C3067" s="3">
        <v>20010</v>
      </c>
      <c r="D3067" s="5" t="str">
        <f>VLOOKUP(C3067, 'DICIONÁRIO CNAES'!$A:$B, 2, FALSE)</f>
        <v>Fabricação de tintas, vernizes, esmaltes, lacas e produtos afins</v>
      </c>
      <c r="E3067" s="4">
        <v>1114.78440492</v>
      </c>
      <c r="F3067" s="4">
        <v>873714.78549049993</v>
      </c>
    </row>
    <row r="3068" spans="1:6" x14ac:dyDescent="0.3">
      <c r="A3068" s="3" t="s">
        <v>22</v>
      </c>
      <c r="B3068" s="7" t="str">
        <f>VLOOKUP(VALUE(A3068), 'DICIONÁRIO UF'!$A:$B, 2, FALSE)</f>
        <v>Rio de Janeiro</v>
      </c>
      <c r="C3068" s="3">
        <v>20020</v>
      </c>
      <c r="D3068" s="5" t="str">
        <f>VLOOKUP(C3068, 'DICIONÁRIO CNAES'!$A:$B, 2, FALSE)</f>
        <v>Fabricação de sabões, detergentes, produtos de limpeza, cosméticos, produtos de perfumaria e de higiene pessoal</v>
      </c>
      <c r="E3068" s="4">
        <v>12179.49776713</v>
      </c>
      <c r="F3068" s="4">
        <v>40686374.854720101</v>
      </c>
    </row>
    <row r="3069" spans="1:6" x14ac:dyDescent="0.3">
      <c r="A3069" s="3" t="s">
        <v>22</v>
      </c>
      <c r="B3069" s="7" t="str">
        <f>VLOOKUP(VALUE(A3069), 'DICIONÁRIO UF'!$A:$B, 2, FALSE)</f>
        <v>Rio de Janeiro</v>
      </c>
      <c r="C3069" s="3">
        <v>20090</v>
      </c>
      <c r="D3069" s="5" t="str">
        <f>VLOOKUP(C3069, 'DICIONÁRIO CNAES'!$A:$B, 2, FALSE)</f>
        <v>Fabricação de outros produtos químicos não especificados anteriormente</v>
      </c>
      <c r="E3069" s="4">
        <v>8030.8550441099997</v>
      </c>
      <c r="F3069" s="4">
        <v>46159220.334022</v>
      </c>
    </row>
    <row r="3070" spans="1:6" x14ac:dyDescent="0.3">
      <c r="A3070" s="3" t="s">
        <v>22</v>
      </c>
      <c r="B3070" s="7" t="str">
        <f>VLOOKUP(VALUE(A3070), 'DICIONÁRIO UF'!$A:$B, 2, FALSE)</f>
        <v>Rio de Janeiro</v>
      </c>
      <c r="C3070" s="3">
        <v>21000</v>
      </c>
      <c r="D3070" s="5" t="str">
        <f>VLOOKUP(C3070, 'DICIONÁRIO CNAES'!$A:$B, 2, FALSE)</f>
        <v>Fabricação de produtos farmoquimicos e farmacêuticos</v>
      </c>
      <c r="E3070" s="4">
        <v>20563.553615190001</v>
      </c>
      <c r="F3070" s="4">
        <v>103398330.9135616</v>
      </c>
    </row>
    <row r="3071" spans="1:6" x14ac:dyDescent="0.3">
      <c r="A3071" s="3" t="s">
        <v>22</v>
      </c>
      <c r="B3071" s="7" t="str">
        <f>VLOOKUP(VALUE(A3071), 'DICIONÁRIO UF'!$A:$B, 2, FALSE)</f>
        <v>Rio de Janeiro</v>
      </c>
      <c r="C3071" s="3">
        <v>22010</v>
      </c>
      <c r="D3071" s="5" t="str">
        <f>VLOOKUP(C3071, 'DICIONÁRIO CNAES'!$A:$B, 2, FALSE)</f>
        <v>Fabricação de produtos de borracha</v>
      </c>
      <c r="E3071" s="4">
        <v>4527.9458425900002</v>
      </c>
      <c r="F3071" s="4">
        <v>17586935.468630999</v>
      </c>
    </row>
    <row r="3072" spans="1:6" x14ac:dyDescent="0.3">
      <c r="A3072" s="3" t="s">
        <v>22</v>
      </c>
      <c r="B3072" s="7" t="str">
        <f>VLOOKUP(VALUE(A3072), 'DICIONÁRIO UF'!$A:$B, 2, FALSE)</f>
        <v>Rio de Janeiro</v>
      </c>
      <c r="C3072" s="3">
        <v>22020</v>
      </c>
      <c r="D3072" s="5" t="str">
        <f>VLOOKUP(C3072, 'DICIONÁRIO CNAES'!$A:$B, 2, FALSE)</f>
        <v>Fabricação de produtos de material plástico</v>
      </c>
      <c r="E3072" s="4">
        <v>13672.96318626</v>
      </c>
      <c r="F3072" s="4">
        <v>22751346.979124501</v>
      </c>
    </row>
    <row r="3073" spans="1:6" x14ac:dyDescent="0.3">
      <c r="A3073" s="3" t="s">
        <v>22</v>
      </c>
      <c r="B3073" s="7" t="str">
        <f>VLOOKUP(VALUE(A3073), 'DICIONÁRIO UF'!$A:$B, 2, FALSE)</f>
        <v>Rio de Janeiro</v>
      </c>
      <c r="C3073" s="3">
        <v>23010</v>
      </c>
      <c r="D3073" s="5" t="str">
        <f>VLOOKUP(C3073, 'DICIONÁRIO CNAES'!$A:$B, 2, FALSE)</f>
        <v>Fabricação de vidro e produtos de vidro</v>
      </c>
      <c r="E3073" s="4">
        <v>1324.6010519599999</v>
      </c>
      <c r="F3073" s="4">
        <v>2937987.2019830002</v>
      </c>
    </row>
    <row r="3074" spans="1:6" x14ac:dyDescent="0.3">
      <c r="A3074" s="3" t="s">
        <v>22</v>
      </c>
      <c r="B3074" s="7" t="str">
        <f>VLOOKUP(VALUE(A3074), 'DICIONÁRIO UF'!$A:$B, 2, FALSE)</f>
        <v>Rio de Janeiro</v>
      </c>
      <c r="C3074" s="3">
        <v>23091</v>
      </c>
      <c r="D3074" s="5" t="str">
        <f>VLOOKUP(C3074, 'DICIONÁRIO CNAES'!$A:$B, 2, FALSE)</f>
        <v>Fabricação de produtos cerâmicos</v>
      </c>
      <c r="E3074" s="4">
        <v>17030.035342390001</v>
      </c>
      <c r="F3074" s="4">
        <v>23674595.1426499</v>
      </c>
    </row>
    <row r="3075" spans="1:6" x14ac:dyDescent="0.3">
      <c r="A3075" s="3" t="s">
        <v>22</v>
      </c>
      <c r="B3075" s="7" t="str">
        <f>VLOOKUP(VALUE(A3075), 'DICIONÁRIO UF'!$A:$B, 2, FALSE)</f>
        <v>Rio de Janeiro</v>
      </c>
      <c r="C3075" s="3">
        <v>23099</v>
      </c>
      <c r="D3075" s="5" t="str">
        <f>VLOOKUP(C3075, 'DICIONÁRIO CNAES'!$A:$B, 2, FALSE)</f>
        <v>Fabricação de outros produtos de minerais não-metálicos não especificados anteriormente</v>
      </c>
      <c r="E3075" s="4">
        <v>9200.43013307</v>
      </c>
      <c r="F3075" s="4">
        <v>13198147.906575801</v>
      </c>
    </row>
    <row r="3076" spans="1:6" x14ac:dyDescent="0.3">
      <c r="A3076" s="3" t="s">
        <v>22</v>
      </c>
      <c r="B3076" s="7" t="str">
        <f>VLOOKUP(VALUE(A3076), 'DICIONÁRIO UF'!$A:$B, 2, FALSE)</f>
        <v>Rio de Janeiro</v>
      </c>
      <c r="C3076" s="3">
        <v>24001</v>
      </c>
      <c r="D3076" s="5" t="str">
        <f>VLOOKUP(C3076, 'DICIONÁRIO CNAES'!$A:$B, 2, FALSE)</f>
        <v>Fabricação de produtos siderúrgicos</v>
      </c>
      <c r="E3076" s="4">
        <v>35960.176475159999</v>
      </c>
      <c r="F3076" s="4">
        <v>90014866.702084079</v>
      </c>
    </row>
    <row r="3077" spans="1:6" x14ac:dyDescent="0.3">
      <c r="A3077" s="3" t="s">
        <v>22</v>
      </c>
      <c r="B3077" s="7" t="str">
        <f>VLOOKUP(VALUE(A3077), 'DICIONÁRIO UF'!$A:$B, 2, FALSE)</f>
        <v>Rio de Janeiro</v>
      </c>
      <c r="C3077" s="3">
        <v>24002</v>
      </c>
      <c r="D3077" s="5" t="str">
        <f>VLOOKUP(C3077, 'DICIONÁRIO CNAES'!$A:$B, 2, FALSE)</f>
        <v>Metalurgia dos metais não-ferrosos</v>
      </c>
      <c r="E3077" s="4">
        <v>2909.3248507600001</v>
      </c>
      <c r="F3077" s="4">
        <v>9939281.9896399993</v>
      </c>
    </row>
    <row r="3078" spans="1:6" x14ac:dyDescent="0.3">
      <c r="A3078" s="3" t="s">
        <v>22</v>
      </c>
      <c r="B3078" s="7" t="str">
        <f>VLOOKUP(VALUE(A3078), 'DICIONÁRIO UF'!$A:$B, 2, FALSE)</f>
        <v>Rio de Janeiro</v>
      </c>
      <c r="C3078" s="3">
        <v>24003</v>
      </c>
      <c r="D3078" s="5" t="str">
        <f>VLOOKUP(C3078, 'DICIONÁRIO CNAES'!$A:$B, 2, FALSE)</f>
        <v>Fundição</v>
      </c>
      <c r="E3078" s="4">
        <v>531.24115543000005</v>
      </c>
      <c r="F3078" s="4">
        <v>531241.15543000004</v>
      </c>
    </row>
    <row r="3079" spans="1:6" x14ac:dyDescent="0.3">
      <c r="A3079" s="3" t="s">
        <v>22</v>
      </c>
      <c r="B3079" s="7" t="str">
        <f>VLOOKUP(VALUE(A3079), 'DICIONÁRIO UF'!$A:$B, 2, FALSE)</f>
        <v>Rio de Janeiro</v>
      </c>
      <c r="C3079" s="3">
        <v>25001</v>
      </c>
      <c r="D3079" s="5" t="str">
        <f>VLOOKUP(C3079, 'DICIONÁRIO CNAES'!$A:$B, 2, FALSE)</f>
        <v>Fabricação de produtos de metal, exceto máquinas e equipamentos</v>
      </c>
      <c r="E3079" s="4">
        <v>40340.839776389999</v>
      </c>
      <c r="F3079" s="4">
        <v>89865645.347448424</v>
      </c>
    </row>
    <row r="3080" spans="1:6" x14ac:dyDescent="0.3">
      <c r="A3080" s="3" t="s">
        <v>22</v>
      </c>
      <c r="B3080" s="7" t="str">
        <f>VLOOKUP(VALUE(A3080), 'DICIONÁRIO UF'!$A:$B, 2, FALSE)</f>
        <v>Rio de Janeiro</v>
      </c>
      <c r="C3080" s="3">
        <v>25002</v>
      </c>
      <c r="D3080" s="5" t="str">
        <f>VLOOKUP(C3080, 'DICIONÁRIO CNAES'!$A:$B, 2, FALSE)</f>
        <v>Forjaria, estamparia, metalurgia do pó e serviços de tratamento de metais</v>
      </c>
      <c r="E3080" s="4">
        <v>7739.9316758699997</v>
      </c>
      <c r="F3080" s="4">
        <v>14904841.465334499</v>
      </c>
    </row>
    <row r="3081" spans="1:6" x14ac:dyDescent="0.3">
      <c r="A3081" s="3" t="s">
        <v>22</v>
      </c>
      <c r="B3081" s="7" t="str">
        <f>VLOOKUP(VALUE(A3081), 'DICIONÁRIO UF'!$A:$B, 2, FALSE)</f>
        <v>Rio de Janeiro</v>
      </c>
      <c r="C3081" s="3">
        <v>26030</v>
      </c>
      <c r="D3081" s="5" t="str">
        <f>VLOOKUP(C3081, 'DICIONÁRIO CNAES'!$A:$B, 2, FALSE)</f>
        <v>Fabricação de equipamentos de comunicação e de aparelhos de recepção, reprodução, gravação e amplificação de áudio e vídeo</v>
      </c>
      <c r="E3081" s="4">
        <v>276.69643587000002</v>
      </c>
      <c r="F3081" s="4">
        <v>636401.802501</v>
      </c>
    </row>
    <row r="3082" spans="1:6" x14ac:dyDescent="0.3">
      <c r="A3082" s="3" t="s">
        <v>22</v>
      </c>
      <c r="B3082" s="7" t="str">
        <f>VLOOKUP(VALUE(A3082), 'DICIONÁRIO UF'!$A:$B, 2, FALSE)</f>
        <v>Rio de Janeiro</v>
      </c>
      <c r="C3082" s="3">
        <v>26041</v>
      </c>
      <c r="D3082" s="5" t="str">
        <f>VLOOKUP(C3082, 'DICIONÁRIO CNAES'!$A:$B, 2, FALSE)</f>
        <v>Fabricação de aparelhos e instrumentos de medida, teste e controle; cronômetros e relógios e de aparelhos eletromédicos e eletroterapêuticos</v>
      </c>
      <c r="E3082" s="4">
        <v>790.08920498999998</v>
      </c>
      <c r="F3082" s="4">
        <v>1614007.28162</v>
      </c>
    </row>
    <row r="3083" spans="1:6" x14ac:dyDescent="0.3">
      <c r="A3083" s="3" t="s">
        <v>22</v>
      </c>
      <c r="B3083" s="7" t="str">
        <f>VLOOKUP(VALUE(A3083), 'DICIONÁRIO UF'!$A:$B, 2, FALSE)</f>
        <v>Rio de Janeiro</v>
      </c>
      <c r="C3083" s="3">
        <v>27010</v>
      </c>
      <c r="D3083" s="5" t="str">
        <f>VLOOKUP(C3083, 'DICIONÁRIO CNAES'!$A:$B, 2, FALSE)</f>
        <v>Fabricação de eletrodomesticos</v>
      </c>
      <c r="E3083" s="4">
        <v>496.77133151999999</v>
      </c>
      <c r="F3083" s="4">
        <v>546448.46467200003</v>
      </c>
    </row>
    <row r="3084" spans="1:6" x14ac:dyDescent="0.3">
      <c r="A3084" s="3" t="s">
        <v>22</v>
      </c>
      <c r="B3084" s="7" t="str">
        <f>VLOOKUP(VALUE(A3084), 'DICIONÁRIO UF'!$A:$B, 2, FALSE)</f>
        <v>Rio de Janeiro</v>
      </c>
      <c r="C3084" s="3">
        <v>27090</v>
      </c>
      <c r="D3084" s="5" t="str">
        <f>VLOOKUP(C3084, 'DICIONÁRIO CNAES'!$A:$B, 2, FALSE)</f>
        <v>Fabricação de máquinas, aparelhos e materiais elétricos diversos, exceto eletrodomesticos</v>
      </c>
      <c r="E3084" s="4">
        <v>2634.9037416400001</v>
      </c>
      <c r="F3084" s="4">
        <v>12182582.089557</v>
      </c>
    </row>
    <row r="3085" spans="1:6" x14ac:dyDescent="0.3">
      <c r="A3085" s="3" t="s">
        <v>22</v>
      </c>
      <c r="B3085" s="7" t="str">
        <f>VLOOKUP(VALUE(A3085), 'DICIONÁRIO UF'!$A:$B, 2, FALSE)</f>
        <v>Rio de Janeiro</v>
      </c>
      <c r="C3085" s="3">
        <v>28000</v>
      </c>
      <c r="D3085" s="5" t="str">
        <f>VLOOKUP(C3085, 'DICIONÁRIO CNAES'!$A:$B, 2, FALSE)</f>
        <v>Fabricação de máquinas e equipamentos</v>
      </c>
      <c r="E3085" s="4">
        <v>7959.4909875599997</v>
      </c>
      <c r="F3085" s="4">
        <v>55451427.937402502</v>
      </c>
    </row>
    <row r="3086" spans="1:6" x14ac:dyDescent="0.3">
      <c r="A3086" s="3" t="s">
        <v>22</v>
      </c>
      <c r="B3086" s="7" t="str">
        <f>VLOOKUP(VALUE(A3086), 'DICIONÁRIO UF'!$A:$B, 2, FALSE)</f>
        <v>Rio de Janeiro</v>
      </c>
      <c r="C3086" s="3">
        <v>29001</v>
      </c>
      <c r="D3086" s="5" t="str">
        <f>VLOOKUP(C3086, 'DICIONÁRIO CNAES'!$A:$B, 2, FALSE)</f>
        <v>Fabricação e montagem de veículos automotores</v>
      </c>
      <c r="E3086" s="4">
        <v>18687.863882900001</v>
      </c>
      <c r="F3086" s="4">
        <v>49744121.543821499</v>
      </c>
    </row>
    <row r="3087" spans="1:6" x14ac:dyDescent="0.3">
      <c r="A3087" s="3" t="s">
        <v>22</v>
      </c>
      <c r="B3087" s="7" t="str">
        <f>VLOOKUP(VALUE(A3087), 'DICIONÁRIO UF'!$A:$B, 2, FALSE)</f>
        <v>Rio de Janeiro</v>
      </c>
      <c r="C3087" s="3">
        <v>29002</v>
      </c>
      <c r="D3087" s="5" t="str">
        <f>VLOOKUP(C3087, 'DICIONÁRIO CNAES'!$A:$B, 2, FALSE)</f>
        <v>Fabricação de cabines, carrocerias, reboques e peças para veículos automotores</v>
      </c>
      <c r="E3087" s="4">
        <v>3360.3892987099998</v>
      </c>
      <c r="F3087" s="4">
        <v>4953957.91194</v>
      </c>
    </row>
    <row r="3088" spans="1:6" x14ac:dyDescent="0.3">
      <c r="A3088" s="3" t="s">
        <v>22</v>
      </c>
      <c r="B3088" s="7" t="str">
        <f>VLOOKUP(VALUE(A3088), 'DICIONÁRIO UF'!$A:$B, 2, FALSE)</f>
        <v>Rio de Janeiro</v>
      </c>
      <c r="C3088" s="3">
        <v>30010</v>
      </c>
      <c r="D3088" s="5" t="str">
        <f>VLOOKUP(C3088, 'DICIONÁRIO CNAES'!$A:$B, 2, FALSE)</f>
        <v xml:space="preserve">Construção de embarcações </v>
      </c>
      <c r="E3088" s="4">
        <v>17269.607119230001</v>
      </c>
      <c r="F3088" s="4">
        <v>142891833.08927101</v>
      </c>
    </row>
    <row r="3089" spans="1:6" x14ac:dyDescent="0.3">
      <c r="A3089" s="3" t="s">
        <v>22</v>
      </c>
      <c r="B3089" s="7" t="str">
        <f>VLOOKUP(VALUE(A3089), 'DICIONÁRIO UF'!$A:$B, 2, FALSE)</f>
        <v>Rio de Janeiro</v>
      </c>
      <c r="C3089" s="3">
        <v>30030</v>
      </c>
      <c r="D3089" s="5" t="str">
        <f>VLOOKUP(C3089, 'DICIONÁRIO CNAES'!$A:$B, 2, FALSE)</f>
        <v>Fabricação de aeronaves</v>
      </c>
      <c r="E3089" s="4">
        <v>3516.3067231999999</v>
      </c>
      <c r="F3089" s="4">
        <v>15376306.545946</v>
      </c>
    </row>
    <row r="3090" spans="1:6" x14ac:dyDescent="0.3">
      <c r="A3090" s="3" t="s">
        <v>22</v>
      </c>
      <c r="B3090" s="7" t="str">
        <f>VLOOKUP(VALUE(A3090), 'DICIONÁRIO UF'!$A:$B, 2, FALSE)</f>
        <v>Rio de Janeiro</v>
      </c>
      <c r="C3090" s="3">
        <v>30090</v>
      </c>
      <c r="D3090" s="5" t="str">
        <f>VLOOKUP(C3090, 'DICIONÁRIO CNAES'!$A:$B, 2, FALSE)</f>
        <v>Fabricação de outros equipamentos de transporte não especificados anteriormente</v>
      </c>
      <c r="E3090" s="4">
        <v>1214.9089096099999</v>
      </c>
      <c r="F3090" s="4">
        <v>3862049.5560980001</v>
      </c>
    </row>
    <row r="3091" spans="1:6" x14ac:dyDescent="0.3">
      <c r="A3091" s="3" t="s">
        <v>22</v>
      </c>
      <c r="B3091" s="7" t="str">
        <f>VLOOKUP(VALUE(A3091), 'DICIONÁRIO UF'!$A:$B, 2, FALSE)</f>
        <v>Rio de Janeiro</v>
      </c>
      <c r="C3091" s="3">
        <v>31000</v>
      </c>
      <c r="D3091" s="5" t="str">
        <f>VLOOKUP(C3091, 'DICIONÁRIO CNAES'!$A:$B, 2, FALSE)</f>
        <v>Fabricação de móveis</v>
      </c>
      <c r="E3091" s="4">
        <v>30401.858430290002</v>
      </c>
      <c r="F3091" s="4">
        <v>55294290.450199239</v>
      </c>
    </row>
    <row r="3092" spans="1:6" x14ac:dyDescent="0.3">
      <c r="A3092" s="3" t="s">
        <v>22</v>
      </c>
      <c r="B3092" s="7" t="str">
        <f>VLOOKUP(VALUE(A3092), 'DICIONÁRIO UF'!$A:$B, 2, FALSE)</f>
        <v>Rio de Janeiro</v>
      </c>
      <c r="C3092" s="3">
        <v>32001</v>
      </c>
      <c r="D3092" s="5" t="str">
        <f>VLOOKUP(C3092, 'DICIONÁRIO CNAES'!$A:$B, 2, FALSE)</f>
        <v>Fabricação de artigos de joalheria, bijuteria e semelhantes</v>
      </c>
      <c r="E3092" s="4">
        <v>9148.8324788200007</v>
      </c>
      <c r="F3092" s="4">
        <v>14257565.668129999</v>
      </c>
    </row>
    <row r="3093" spans="1:6" x14ac:dyDescent="0.3">
      <c r="A3093" s="3" t="s">
        <v>22</v>
      </c>
      <c r="B3093" s="7" t="str">
        <f>VLOOKUP(VALUE(A3093), 'DICIONÁRIO UF'!$A:$B, 2, FALSE)</f>
        <v>Rio de Janeiro</v>
      </c>
      <c r="C3093" s="3">
        <v>32009</v>
      </c>
      <c r="D3093" s="5" t="str">
        <f>VLOOKUP(C3093, 'DICIONÁRIO CNAES'!$A:$B, 2, FALSE)</f>
        <v>Fabricação de produtos diversos</v>
      </c>
      <c r="E3093" s="4">
        <v>14254.694694870001</v>
      </c>
      <c r="F3093" s="4">
        <v>31922717.835347999</v>
      </c>
    </row>
    <row r="3094" spans="1:6" x14ac:dyDescent="0.3">
      <c r="A3094" s="3" t="s">
        <v>22</v>
      </c>
      <c r="B3094" s="7" t="str">
        <f>VLOOKUP(VALUE(A3094), 'DICIONÁRIO UF'!$A:$B, 2, FALSE)</f>
        <v>Rio de Janeiro</v>
      </c>
      <c r="C3094" s="3">
        <v>33001</v>
      </c>
      <c r="D3094" s="5" t="str">
        <f>VLOOKUP(C3094, 'DICIONÁRIO CNAES'!$A:$B, 2, FALSE)</f>
        <v>Manutenção e reparação de máquinas e equipamentos</v>
      </c>
      <c r="E3094" s="4">
        <v>20941.296491680001</v>
      </c>
      <c r="F3094" s="4">
        <v>63491624.689911403</v>
      </c>
    </row>
    <row r="3095" spans="1:6" x14ac:dyDescent="0.3">
      <c r="A3095" s="3" t="s">
        <v>22</v>
      </c>
      <c r="B3095" s="7" t="str">
        <f>VLOOKUP(VALUE(A3095), 'DICIONÁRIO UF'!$A:$B, 2, FALSE)</f>
        <v>Rio de Janeiro</v>
      </c>
      <c r="C3095" s="3">
        <v>33002</v>
      </c>
      <c r="D3095" s="5" t="str">
        <f>VLOOKUP(C3095, 'DICIONÁRIO CNAES'!$A:$B, 2, FALSE)</f>
        <v>Instalação de máquinas e equipamentos</v>
      </c>
      <c r="E3095" s="4">
        <v>5645.0347055599996</v>
      </c>
      <c r="F3095" s="4">
        <v>7756419.2350740004</v>
      </c>
    </row>
    <row r="3096" spans="1:6" x14ac:dyDescent="0.3">
      <c r="A3096" s="3" t="s">
        <v>22</v>
      </c>
      <c r="B3096" s="7" t="str">
        <f>VLOOKUP(VALUE(A3096), 'DICIONÁRIO UF'!$A:$B, 2, FALSE)</f>
        <v>Rio de Janeiro</v>
      </c>
      <c r="C3096" s="3">
        <v>35010</v>
      </c>
      <c r="D3096" s="5" t="str">
        <f>VLOOKUP(C3096, 'DICIONÁRIO CNAES'!$A:$B, 2, FALSE)</f>
        <v>Geração, transmissão e distribuição de energia elétrica</v>
      </c>
      <c r="E3096" s="4">
        <v>48017.486342600001</v>
      </c>
      <c r="F3096" s="4">
        <v>307549541.86695838</v>
      </c>
    </row>
    <row r="3097" spans="1:6" x14ac:dyDescent="0.3">
      <c r="A3097" s="3" t="s">
        <v>22</v>
      </c>
      <c r="B3097" s="7" t="str">
        <f>VLOOKUP(VALUE(A3097), 'DICIONÁRIO UF'!$A:$B, 2, FALSE)</f>
        <v>Rio de Janeiro</v>
      </c>
      <c r="C3097" s="3">
        <v>36000</v>
      </c>
      <c r="D3097" s="5" t="str">
        <f>VLOOKUP(C3097, 'DICIONÁRIO CNAES'!$A:$B, 2, FALSE)</f>
        <v>Captação, tratamento e distribuição de água</v>
      </c>
      <c r="E3097" s="4">
        <v>12253.058914310001</v>
      </c>
      <c r="F3097" s="4">
        <v>63220928.77364035</v>
      </c>
    </row>
    <row r="3098" spans="1:6" x14ac:dyDescent="0.3">
      <c r="A3098" s="3" t="s">
        <v>22</v>
      </c>
      <c r="B3098" s="7" t="str">
        <f>VLOOKUP(VALUE(A3098), 'DICIONÁRIO UF'!$A:$B, 2, FALSE)</f>
        <v>Rio de Janeiro</v>
      </c>
      <c r="C3098" s="3">
        <v>37000</v>
      </c>
      <c r="D3098" s="5" t="str">
        <f>VLOOKUP(C3098, 'DICIONÁRIO CNAES'!$A:$B, 2, FALSE)</f>
        <v>Esgoto e atividades relacionadas</v>
      </c>
      <c r="E3098" s="4">
        <v>482.82440616000002</v>
      </c>
      <c r="F3098" s="4">
        <v>965648.81232000003</v>
      </c>
    </row>
    <row r="3099" spans="1:6" x14ac:dyDescent="0.3">
      <c r="A3099" s="3" t="s">
        <v>22</v>
      </c>
      <c r="B3099" s="7" t="str">
        <f>VLOOKUP(VALUE(A3099), 'DICIONÁRIO UF'!$A:$B, 2, FALSE)</f>
        <v>Rio de Janeiro</v>
      </c>
      <c r="C3099" s="3">
        <v>38000</v>
      </c>
      <c r="D3099" s="5" t="str">
        <f>VLOOKUP(C3099, 'DICIONÁRIO CNAES'!$A:$B, 2, FALSE)</f>
        <v>Coleta, tratamento e disposição de resíduos; recuperação de materiais</v>
      </c>
      <c r="E3099" s="4">
        <v>31008.05478753</v>
      </c>
      <c r="F3099" s="4">
        <v>70160500.133810148</v>
      </c>
    </row>
    <row r="3100" spans="1:6" x14ac:dyDescent="0.3">
      <c r="A3100" s="3" t="s">
        <v>22</v>
      </c>
      <c r="B3100" s="7" t="str">
        <f>VLOOKUP(VALUE(A3100), 'DICIONÁRIO UF'!$A:$B, 2, FALSE)</f>
        <v>Rio de Janeiro</v>
      </c>
      <c r="C3100" s="3">
        <v>39000</v>
      </c>
      <c r="D3100" s="5" t="str">
        <f>VLOOKUP(C3100, 'DICIONÁRIO CNAES'!$A:$B, 2, FALSE)</f>
        <v>Descontaminação e outros serviços de gestão de resíduos</v>
      </c>
      <c r="E3100" s="4">
        <v>729.32473794999999</v>
      </c>
      <c r="F3100" s="4">
        <v>1750379.37108</v>
      </c>
    </row>
    <row r="3101" spans="1:6" x14ac:dyDescent="0.3">
      <c r="A3101" s="3" t="s">
        <v>22</v>
      </c>
      <c r="B3101" s="7" t="str">
        <f>VLOOKUP(VALUE(A3101), 'DICIONÁRIO UF'!$A:$B, 2, FALSE)</f>
        <v>Rio de Janeiro</v>
      </c>
      <c r="C3101" s="3">
        <v>41000</v>
      </c>
      <c r="D3101" s="5" t="str">
        <f>VLOOKUP(C3101, 'DICIONÁRIO CNAES'!$A:$B, 2, FALSE)</f>
        <v>Construção de edifícios</v>
      </c>
      <c r="E3101" s="4">
        <v>390756.98908640002</v>
      </c>
      <c r="F3101" s="4">
        <v>746290391.96987855</v>
      </c>
    </row>
    <row r="3102" spans="1:6" x14ac:dyDescent="0.3">
      <c r="A3102" s="3" t="s">
        <v>22</v>
      </c>
      <c r="B3102" s="7" t="str">
        <f>VLOOKUP(VALUE(A3102), 'DICIONÁRIO UF'!$A:$B, 2, FALSE)</f>
        <v>Rio de Janeiro</v>
      </c>
      <c r="C3102" s="3">
        <v>42000</v>
      </c>
      <c r="D3102" s="5" t="str">
        <f>VLOOKUP(C3102, 'DICIONÁRIO CNAES'!$A:$B, 2, FALSE)</f>
        <v>Construção de obras de infra-estrutura</v>
      </c>
      <c r="E3102" s="4">
        <v>40105.455770740002</v>
      </c>
      <c r="F3102" s="4">
        <v>125822240.8217711</v>
      </c>
    </row>
    <row r="3103" spans="1:6" x14ac:dyDescent="0.3">
      <c r="A3103" s="3" t="s">
        <v>22</v>
      </c>
      <c r="B3103" s="7" t="str">
        <f>VLOOKUP(VALUE(A3103), 'DICIONÁRIO UF'!$A:$B, 2, FALSE)</f>
        <v>Rio de Janeiro</v>
      </c>
      <c r="C3103" s="3">
        <v>43000</v>
      </c>
      <c r="D3103" s="5" t="str">
        <f>VLOOKUP(C3103, 'DICIONÁRIO CNAES'!$A:$B, 2, FALSE)</f>
        <v>Serviços especializados para construção</v>
      </c>
      <c r="E3103" s="4">
        <v>141586.18549884</v>
      </c>
      <c r="F3103" s="4">
        <v>285132208.04792267</v>
      </c>
    </row>
    <row r="3104" spans="1:6" x14ac:dyDescent="0.3">
      <c r="A3104" s="3" t="s">
        <v>22</v>
      </c>
      <c r="B3104" s="7" t="str">
        <f>VLOOKUP(VALUE(A3104), 'DICIONÁRIO UF'!$A:$B, 2, FALSE)</f>
        <v>Rio de Janeiro</v>
      </c>
      <c r="C3104" s="3">
        <v>45010</v>
      </c>
      <c r="D3104" s="5" t="str">
        <f>VLOOKUP(C3104, 'DICIONÁRIO CNAES'!$A:$B, 2, FALSE)</f>
        <v>Comércio de veículos automotores</v>
      </c>
      <c r="E3104" s="4">
        <v>30365.24690102</v>
      </c>
      <c r="F3104" s="4">
        <v>74613513.9476455</v>
      </c>
    </row>
    <row r="3105" spans="1:6" x14ac:dyDescent="0.3">
      <c r="A3105" s="3" t="s">
        <v>22</v>
      </c>
      <c r="B3105" s="7" t="str">
        <f>VLOOKUP(VALUE(A3105), 'DICIONÁRIO UF'!$A:$B, 2, FALSE)</f>
        <v>Rio de Janeiro</v>
      </c>
      <c r="C3105" s="3">
        <v>45020</v>
      </c>
      <c r="D3105" s="5" t="str">
        <f>VLOOKUP(C3105, 'DICIONÁRIO CNAES'!$A:$B, 2, FALSE)</f>
        <v>Manutenção e reparação de veículos automotores</v>
      </c>
      <c r="E3105" s="4">
        <v>138097.13858843001</v>
      </c>
      <c r="F3105" s="4">
        <v>231741734.3301577</v>
      </c>
    </row>
    <row r="3106" spans="1:6" x14ac:dyDescent="0.3">
      <c r="A3106" s="3" t="s">
        <v>22</v>
      </c>
      <c r="B3106" s="7" t="str">
        <f>VLOOKUP(VALUE(A3106), 'DICIONÁRIO UF'!$A:$B, 2, FALSE)</f>
        <v>Rio de Janeiro</v>
      </c>
      <c r="C3106" s="3">
        <v>45030</v>
      </c>
      <c r="D3106" s="5" t="str">
        <f>VLOOKUP(C3106, 'DICIONÁRIO CNAES'!$A:$B, 2, FALSE)</f>
        <v>Comércio de peças e acessórios para veículos automotores</v>
      </c>
      <c r="E3106" s="4">
        <v>24679.9942534</v>
      </c>
      <c r="F3106" s="4">
        <v>76275472.879869998</v>
      </c>
    </row>
    <row r="3107" spans="1:6" x14ac:dyDescent="0.3">
      <c r="A3107" s="3" t="s">
        <v>22</v>
      </c>
      <c r="B3107" s="7" t="str">
        <f>VLOOKUP(VALUE(A3107), 'DICIONÁRIO UF'!$A:$B, 2, FALSE)</f>
        <v>Rio de Janeiro</v>
      </c>
      <c r="C3107" s="3">
        <v>45040</v>
      </c>
      <c r="D3107" s="5" t="str">
        <f>VLOOKUP(C3107, 'DICIONÁRIO CNAES'!$A:$B, 2, FALSE)</f>
        <v>Comércio, manutenção e reparação de motocicletas, peças e acessórios</v>
      </c>
      <c r="E3107" s="4">
        <v>9761.5208656800005</v>
      </c>
      <c r="F3107" s="4">
        <v>13859974.518704001</v>
      </c>
    </row>
    <row r="3108" spans="1:6" x14ac:dyDescent="0.3">
      <c r="A3108" s="3" t="s">
        <v>22</v>
      </c>
      <c r="B3108" s="7" t="str">
        <f>VLOOKUP(VALUE(A3108), 'DICIONÁRIO UF'!$A:$B, 2, FALSE)</f>
        <v>Rio de Janeiro</v>
      </c>
      <c r="C3108" s="3">
        <v>48010</v>
      </c>
      <c r="D3108" s="5" t="str">
        <f>VLOOKUP(C3108, 'DICIONÁRIO CNAES'!$A:$B, 2, FALSE)</f>
        <v>Representantes comerciais e agentes do comércio, exceto de veículos automotores e motocicletas</v>
      </c>
      <c r="E3108" s="4">
        <v>14421.1077726</v>
      </c>
      <c r="F3108" s="4">
        <v>73455625.106608003</v>
      </c>
    </row>
    <row r="3109" spans="1:6" x14ac:dyDescent="0.3">
      <c r="A3109" s="3" t="s">
        <v>22</v>
      </c>
      <c r="B3109" s="7" t="str">
        <f>VLOOKUP(VALUE(A3109), 'DICIONÁRIO UF'!$A:$B, 2, FALSE)</f>
        <v>Rio de Janeiro</v>
      </c>
      <c r="C3109" s="3">
        <v>48020</v>
      </c>
      <c r="D3109" s="5" t="str">
        <f>VLOOKUP(C3109, 'DICIONÁRIO CNAES'!$A:$B, 2, FALSE)</f>
        <v>Comércio de matérias-primas agrícolas e animais vivos</v>
      </c>
      <c r="E3109" s="4">
        <v>19006.325016520001</v>
      </c>
      <c r="F3109" s="4">
        <v>38598880.786106601</v>
      </c>
    </row>
    <row r="3110" spans="1:6" x14ac:dyDescent="0.3">
      <c r="A3110" s="3" t="s">
        <v>22</v>
      </c>
      <c r="B3110" s="7" t="str">
        <f>VLOOKUP(VALUE(A3110), 'DICIONÁRIO UF'!$A:$B, 2, FALSE)</f>
        <v>Rio de Janeiro</v>
      </c>
      <c r="C3110" s="3">
        <v>48030</v>
      </c>
      <c r="D3110" s="5" t="str">
        <f>VLOOKUP(C3110, 'DICIONÁRIO CNAES'!$A:$B, 2, FALSE)</f>
        <v>Comércio de produtos alimentícios, bebidas e fumo</v>
      </c>
      <c r="E3110" s="4">
        <v>252061.46446264</v>
      </c>
      <c r="F3110" s="4">
        <v>434867394.77570212</v>
      </c>
    </row>
    <row r="3111" spans="1:6" x14ac:dyDescent="0.3">
      <c r="A3111" s="3" t="s">
        <v>22</v>
      </c>
      <c r="B3111" s="7" t="str">
        <f>VLOOKUP(VALUE(A3111), 'DICIONÁRIO UF'!$A:$B, 2, FALSE)</f>
        <v>Rio de Janeiro</v>
      </c>
      <c r="C3111" s="3">
        <v>48041</v>
      </c>
      <c r="D3111" s="5" t="str">
        <f>VLOOKUP(C3111, 'DICIONÁRIO CNAES'!$A:$B, 2, FALSE)</f>
        <v>Comércio de tecidos, artefatos de tecidos e armarinho</v>
      </c>
      <c r="E3111" s="4">
        <v>6685.1133419099997</v>
      </c>
      <c r="F3111" s="4">
        <v>24139402.000881001</v>
      </c>
    </row>
    <row r="3112" spans="1:6" x14ac:dyDescent="0.3">
      <c r="A3112" s="3" t="s">
        <v>22</v>
      </c>
      <c r="B3112" s="7" t="str">
        <f>VLOOKUP(VALUE(A3112), 'DICIONÁRIO UF'!$A:$B, 2, FALSE)</f>
        <v>Rio de Janeiro</v>
      </c>
      <c r="C3112" s="3">
        <v>48042</v>
      </c>
      <c r="D3112" s="5" t="str">
        <f>VLOOKUP(C3112, 'DICIONÁRIO CNAES'!$A:$B, 2, FALSE)</f>
        <v>Comércio de artigos do vestuário, complementos, calçados e artigos de viagem</v>
      </c>
      <c r="E3112" s="4">
        <v>161503.27891165001</v>
      </c>
      <c r="F3112" s="4">
        <v>336866021.95592493</v>
      </c>
    </row>
    <row r="3113" spans="1:6" x14ac:dyDescent="0.3">
      <c r="A3113" s="3" t="s">
        <v>22</v>
      </c>
      <c r="B3113" s="7" t="str">
        <f>VLOOKUP(VALUE(A3113), 'DICIONÁRIO UF'!$A:$B, 2, FALSE)</f>
        <v>Rio de Janeiro</v>
      </c>
      <c r="C3113" s="3">
        <v>48050</v>
      </c>
      <c r="D3113" s="5" t="str">
        <f>VLOOKUP(C3113, 'DICIONÁRIO CNAES'!$A:$B, 2, FALSE)</f>
        <v>Comércio de madeira, material de construção, ferragens e ferramentas</v>
      </c>
      <c r="E3113" s="4">
        <v>83599.862354130004</v>
      </c>
      <c r="F3113" s="4">
        <v>200254751.9280273</v>
      </c>
    </row>
    <row r="3114" spans="1:6" x14ac:dyDescent="0.3">
      <c r="A3114" s="3" t="s">
        <v>22</v>
      </c>
      <c r="B3114" s="7" t="str">
        <f>VLOOKUP(VALUE(A3114), 'DICIONÁRIO UF'!$A:$B, 2, FALSE)</f>
        <v>Rio de Janeiro</v>
      </c>
      <c r="C3114" s="3">
        <v>48060</v>
      </c>
      <c r="D3114" s="5" t="str">
        <f>VLOOKUP(C3114, 'DICIONÁRIO CNAES'!$A:$B, 2, FALSE)</f>
        <v>Comércio de combustíveis para veículos automotores</v>
      </c>
      <c r="E3114" s="4">
        <v>29886.69006569</v>
      </c>
      <c r="F3114" s="4">
        <v>57625498.207121</v>
      </c>
    </row>
    <row r="3115" spans="1:6" x14ac:dyDescent="0.3">
      <c r="A3115" s="3" t="s">
        <v>22</v>
      </c>
      <c r="B3115" s="7" t="str">
        <f>VLOOKUP(VALUE(A3115), 'DICIONÁRIO UF'!$A:$B, 2, FALSE)</f>
        <v>Rio de Janeiro</v>
      </c>
      <c r="C3115" s="3">
        <v>48071</v>
      </c>
      <c r="D3115" s="5" t="str">
        <f>VLOOKUP(C3115, 'DICIONÁRIO CNAES'!$A:$B, 2, FALSE)</f>
        <v>Comércio de produtos farmaceuticos, médicos, ortopédicos, odontológicos e de cosméticos e perfumaria</v>
      </c>
      <c r="E3115" s="4">
        <v>142777.05280321001</v>
      </c>
      <c r="F3115" s="4">
        <v>314780641.48070419</v>
      </c>
    </row>
    <row r="3116" spans="1:6" x14ac:dyDescent="0.3">
      <c r="A3116" s="3" t="s">
        <v>22</v>
      </c>
      <c r="B3116" s="7" t="str">
        <f>VLOOKUP(VALUE(A3116), 'DICIONÁRIO UF'!$A:$B, 2, FALSE)</f>
        <v>Rio de Janeiro</v>
      </c>
      <c r="C3116" s="3">
        <v>48072</v>
      </c>
      <c r="D3116" s="5" t="str">
        <f>VLOOKUP(C3116, 'DICIONÁRIO CNAES'!$A:$B, 2, FALSE)</f>
        <v>Comércio de artigos de escritório e de papelaria; livros, jornais e outras publicações</v>
      </c>
      <c r="E3116" s="4">
        <v>17354.07808291</v>
      </c>
      <c r="F3116" s="4">
        <v>58501148.8376555</v>
      </c>
    </row>
    <row r="3117" spans="1:6" x14ac:dyDescent="0.3">
      <c r="A3117" s="3" t="s">
        <v>22</v>
      </c>
      <c r="B3117" s="7" t="str">
        <f>VLOOKUP(VALUE(A3117), 'DICIONÁRIO UF'!$A:$B, 2, FALSE)</f>
        <v>Rio de Janeiro</v>
      </c>
      <c r="C3117" s="3">
        <v>48073</v>
      </c>
      <c r="D3117" s="5" t="str">
        <f>VLOOKUP(C3117, 'DICIONÁRIO CNAES'!$A:$B, 2, FALSE)</f>
        <v>Comércio de eletrodomésticos, móveis e outros artigos de residência</v>
      </c>
      <c r="E3117" s="4">
        <v>52446.169629490003</v>
      </c>
      <c r="F3117" s="4">
        <v>114616903.52042291</v>
      </c>
    </row>
    <row r="3118" spans="1:6" x14ac:dyDescent="0.3">
      <c r="A3118" s="3" t="s">
        <v>22</v>
      </c>
      <c r="B3118" s="7" t="str">
        <f>VLOOKUP(VALUE(A3118), 'DICIONÁRIO UF'!$A:$B, 2, FALSE)</f>
        <v>Rio de Janeiro</v>
      </c>
      <c r="C3118" s="3">
        <v>48074</v>
      </c>
      <c r="D3118" s="5" t="str">
        <f>VLOOKUP(C3118, 'DICIONÁRIO CNAES'!$A:$B, 2, FALSE)</f>
        <v>Comércio de equipamentos e produtos de tecnologias de informação e comunicação</v>
      </c>
      <c r="E3118" s="4">
        <v>14500.2565863</v>
      </c>
      <c r="F3118" s="4">
        <v>35656208.718785003</v>
      </c>
    </row>
    <row r="3119" spans="1:6" x14ac:dyDescent="0.3">
      <c r="A3119" s="3" t="s">
        <v>22</v>
      </c>
      <c r="B3119" s="7" t="str">
        <f>VLOOKUP(VALUE(A3119), 'DICIONÁRIO UF'!$A:$B, 2, FALSE)</f>
        <v>Rio de Janeiro</v>
      </c>
      <c r="C3119" s="3">
        <v>48075</v>
      </c>
      <c r="D3119" s="5" t="str">
        <f>VLOOKUP(C3119, 'DICIONÁRIO CNAES'!$A:$B, 2, FALSE)</f>
        <v xml:space="preserve">Comércio de máquinas, aparelhos e equipamentos, exceto eletrodomésticos </v>
      </c>
      <c r="E3119" s="4">
        <v>12935.324867249999</v>
      </c>
      <c r="F3119" s="4">
        <v>33944584.896700002</v>
      </c>
    </row>
    <row r="3120" spans="1:6" x14ac:dyDescent="0.3">
      <c r="A3120" s="3" t="s">
        <v>22</v>
      </c>
      <c r="B3120" s="7" t="str">
        <f>VLOOKUP(VALUE(A3120), 'DICIONÁRIO UF'!$A:$B, 2, FALSE)</f>
        <v>Rio de Janeiro</v>
      </c>
      <c r="C3120" s="3">
        <v>48076</v>
      </c>
      <c r="D3120" s="5" t="str">
        <f>VLOOKUP(C3120, 'DICIONÁRIO CNAES'!$A:$B, 2, FALSE)</f>
        <v>Comércio de combustíveis sólidos, líquidos e gasosos, exceto para veículos automotores</v>
      </c>
      <c r="E3120" s="4">
        <v>13247.22949089</v>
      </c>
      <c r="F3120" s="4">
        <v>38441616.433545202</v>
      </c>
    </row>
    <row r="3121" spans="1:6" x14ac:dyDescent="0.3">
      <c r="A3121" s="3" t="s">
        <v>22</v>
      </c>
      <c r="B3121" s="7" t="str">
        <f>VLOOKUP(VALUE(A3121), 'DICIONÁRIO UF'!$A:$B, 2, FALSE)</f>
        <v>Rio de Janeiro</v>
      </c>
      <c r="C3121" s="3">
        <v>48077</v>
      </c>
      <c r="D3121" s="5" t="str">
        <f>VLOOKUP(C3121, 'DICIONÁRIO CNAES'!$A:$B, 2, FALSE)</f>
        <v>Comércio de produtos usados</v>
      </c>
      <c r="E3121" s="4">
        <v>1499.94196926</v>
      </c>
      <c r="F3121" s="4">
        <v>1793000.060362</v>
      </c>
    </row>
    <row r="3122" spans="1:6" x14ac:dyDescent="0.3">
      <c r="A3122" s="3" t="s">
        <v>22</v>
      </c>
      <c r="B3122" s="7" t="str">
        <f>VLOOKUP(VALUE(A3122), 'DICIONÁRIO UF'!$A:$B, 2, FALSE)</f>
        <v>Rio de Janeiro</v>
      </c>
      <c r="C3122" s="3">
        <v>48078</v>
      </c>
      <c r="D3122" s="5" t="str">
        <f>VLOOKUP(C3122, 'DICIONÁRIO CNAES'!$A:$B, 2, FALSE)</f>
        <v>Comercio de residuos e sucatas</v>
      </c>
      <c r="E3122" s="4">
        <v>25275.603707300001</v>
      </c>
      <c r="F3122" s="4">
        <v>17597545.464100402</v>
      </c>
    </row>
    <row r="3123" spans="1:6" x14ac:dyDescent="0.3">
      <c r="A3123" s="3" t="s">
        <v>22</v>
      </c>
      <c r="B3123" s="7" t="str">
        <f>VLOOKUP(VALUE(A3123), 'DICIONÁRIO UF'!$A:$B, 2, FALSE)</f>
        <v>Rio de Janeiro</v>
      </c>
      <c r="C3123" s="3">
        <v>48079</v>
      </c>
      <c r="D3123" s="5" t="str">
        <f>VLOOKUP(C3123, 'DICIONÁRIO CNAES'!$A:$B, 2, FALSE)</f>
        <v>Comércio de produtos novos não especificados anteriormente</v>
      </c>
      <c r="E3123" s="4">
        <v>84979.240877119999</v>
      </c>
      <c r="F3123" s="4">
        <v>235066476.2486738</v>
      </c>
    </row>
    <row r="3124" spans="1:6" x14ac:dyDescent="0.3">
      <c r="A3124" s="3" t="s">
        <v>22</v>
      </c>
      <c r="B3124" s="7" t="str">
        <f>VLOOKUP(VALUE(A3124), 'DICIONÁRIO UF'!$A:$B, 2, FALSE)</f>
        <v>Rio de Janeiro</v>
      </c>
      <c r="C3124" s="3">
        <v>48080</v>
      </c>
      <c r="D3124" s="5" t="str">
        <f>VLOOKUP(C3124, 'DICIONÁRIO CNAES'!$A:$B, 2, FALSE)</f>
        <v>Supermercado e hipermercado</v>
      </c>
      <c r="E3124" s="4">
        <v>156800.08151921001</v>
      </c>
      <c r="F3124" s="4">
        <v>248808521.75550631</v>
      </c>
    </row>
    <row r="3125" spans="1:6" x14ac:dyDescent="0.3">
      <c r="A3125" s="3" t="s">
        <v>22</v>
      </c>
      <c r="B3125" s="7" t="str">
        <f>VLOOKUP(VALUE(A3125), 'DICIONÁRIO UF'!$A:$B, 2, FALSE)</f>
        <v>Rio de Janeiro</v>
      </c>
      <c r="C3125" s="3">
        <v>48090</v>
      </c>
      <c r="D3125" s="5" t="str">
        <f>VLOOKUP(C3125, 'DICIONÁRIO CNAES'!$A:$B, 2, FALSE)</f>
        <v>Lojas de departamento e outros comércios não especializados, sem predominância de produtos alimentícios</v>
      </c>
      <c r="E3125" s="4">
        <v>20316.012823860001</v>
      </c>
      <c r="F3125" s="4">
        <v>40789687.742401898</v>
      </c>
    </row>
    <row r="3126" spans="1:6" x14ac:dyDescent="0.3">
      <c r="A3126" s="3" t="s">
        <v>22</v>
      </c>
      <c r="B3126" s="7" t="str">
        <f>VLOOKUP(VALUE(A3126), 'DICIONÁRIO UF'!$A:$B, 2, FALSE)</f>
        <v>Rio de Janeiro</v>
      </c>
      <c r="C3126" s="3">
        <v>48100</v>
      </c>
      <c r="D3126" s="5" t="str">
        <f>VLOOKUP(C3126, 'DICIONÁRIO CNAES'!$A:$B, 2, FALSE)</f>
        <v>Comércio ambulante e feiras</v>
      </c>
      <c r="E3126" s="4">
        <v>54160.087912579998</v>
      </c>
      <c r="F3126" s="4">
        <v>68049900.517645195</v>
      </c>
    </row>
    <row r="3127" spans="1:6" x14ac:dyDescent="0.3">
      <c r="A3127" s="3" t="s">
        <v>22</v>
      </c>
      <c r="B3127" s="7" t="str">
        <f>VLOOKUP(VALUE(A3127), 'DICIONÁRIO UF'!$A:$B, 2, FALSE)</f>
        <v>Rio de Janeiro</v>
      </c>
      <c r="C3127" s="3">
        <v>49010</v>
      </c>
      <c r="D3127" s="5" t="str">
        <f>VLOOKUP(C3127, 'DICIONÁRIO CNAES'!$A:$B, 2, FALSE)</f>
        <v>Transporte ferroviário e metroferroviário</v>
      </c>
      <c r="E3127" s="4">
        <v>6300.3134140399998</v>
      </c>
      <c r="F3127" s="4">
        <v>25259817.483589999</v>
      </c>
    </row>
    <row r="3128" spans="1:6" x14ac:dyDescent="0.3">
      <c r="A3128" s="3" t="s">
        <v>22</v>
      </c>
      <c r="B3128" s="7" t="str">
        <f>VLOOKUP(VALUE(A3128), 'DICIONÁRIO UF'!$A:$B, 2, FALSE)</f>
        <v>Rio de Janeiro</v>
      </c>
      <c r="C3128" s="3">
        <v>49030</v>
      </c>
      <c r="D3128" s="5" t="str">
        <f>VLOOKUP(C3128, 'DICIONÁRIO CNAES'!$A:$B, 2, FALSE)</f>
        <v>Transporte rodoviário de passageiros</v>
      </c>
      <c r="E3128" s="4">
        <v>263081.35341948998</v>
      </c>
      <c r="F3128" s="4">
        <v>578521975.39096415</v>
      </c>
    </row>
    <row r="3129" spans="1:6" x14ac:dyDescent="0.3">
      <c r="A3129" s="3" t="s">
        <v>22</v>
      </c>
      <c r="B3129" s="7" t="str">
        <f>VLOOKUP(VALUE(A3129), 'DICIONÁRIO UF'!$A:$B, 2, FALSE)</f>
        <v>Rio de Janeiro</v>
      </c>
      <c r="C3129" s="3">
        <v>49040</v>
      </c>
      <c r="D3129" s="5" t="str">
        <f>VLOOKUP(C3129, 'DICIONÁRIO CNAES'!$A:$B, 2, FALSE)</f>
        <v>Transporte rodoviário de carga</v>
      </c>
      <c r="E3129" s="4">
        <v>110452.10292452</v>
      </c>
      <c r="F3129" s="4">
        <v>264180237.0552718</v>
      </c>
    </row>
    <row r="3130" spans="1:6" x14ac:dyDescent="0.3">
      <c r="A3130" s="3" t="s">
        <v>22</v>
      </c>
      <c r="B3130" s="7" t="str">
        <f>VLOOKUP(VALUE(A3130), 'DICIONÁRIO UF'!$A:$B, 2, FALSE)</f>
        <v>Rio de Janeiro</v>
      </c>
      <c r="C3130" s="3">
        <v>50000</v>
      </c>
      <c r="D3130" s="5" t="str">
        <f>VLOOKUP(C3130, 'DICIONÁRIO CNAES'!$A:$B, 2, FALSE)</f>
        <v>Transporte Aquaviário</v>
      </c>
      <c r="E3130" s="4">
        <v>17722.501080689999</v>
      </c>
      <c r="F3130" s="4">
        <v>93830879.403319106</v>
      </c>
    </row>
    <row r="3131" spans="1:6" x14ac:dyDescent="0.3">
      <c r="A3131" s="3" t="s">
        <v>22</v>
      </c>
      <c r="B3131" s="7" t="str">
        <f>VLOOKUP(VALUE(A3131), 'DICIONÁRIO UF'!$A:$B, 2, FALSE)</f>
        <v>Rio de Janeiro</v>
      </c>
      <c r="C3131" s="3">
        <v>51000</v>
      </c>
      <c r="D3131" s="5" t="str">
        <f>VLOOKUP(C3131, 'DICIONÁRIO CNAES'!$A:$B, 2, FALSE)</f>
        <v>Transporte Aéreo</v>
      </c>
      <c r="E3131" s="4">
        <v>8063.73907315</v>
      </c>
      <c r="F3131" s="4">
        <v>45094988.100685999</v>
      </c>
    </row>
    <row r="3132" spans="1:6" x14ac:dyDescent="0.3">
      <c r="A3132" s="3" t="s">
        <v>22</v>
      </c>
      <c r="B3132" s="7" t="str">
        <f>VLOOKUP(VALUE(A3132), 'DICIONÁRIO UF'!$A:$B, 2, FALSE)</f>
        <v>Rio de Janeiro</v>
      </c>
      <c r="C3132" s="3">
        <v>52010</v>
      </c>
      <c r="D3132" s="5" t="str">
        <f>VLOOKUP(C3132, 'DICIONÁRIO CNAES'!$A:$B, 2, FALSE)</f>
        <v>Armazenamento, carga e descarga</v>
      </c>
      <c r="E3132" s="4">
        <v>3646.1301944299998</v>
      </c>
      <c r="F3132" s="4">
        <v>9386332.2737929597</v>
      </c>
    </row>
    <row r="3133" spans="1:6" x14ac:dyDescent="0.3">
      <c r="A3133" s="3" t="s">
        <v>22</v>
      </c>
      <c r="B3133" s="7" t="str">
        <f>VLOOKUP(VALUE(A3133), 'DICIONÁRIO UF'!$A:$B, 2, FALSE)</f>
        <v>Rio de Janeiro</v>
      </c>
      <c r="C3133" s="3">
        <v>52020</v>
      </c>
      <c r="D3133" s="5" t="str">
        <f>VLOOKUP(C3133, 'DICIONÁRIO CNAES'!$A:$B, 2, FALSE)</f>
        <v xml:space="preserve">Atividades auxiliares dos transportes e atividades relacionadas à organização do transporte de carga </v>
      </c>
      <c r="E3133" s="4">
        <v>50465.813282559997</v>
      </c>
      <c r="F3133" s="4">
        <v>163072816.45260879</v>
      </c>
    </row>
    <row r="3134" spans="1:6" x14ac:dyDescent="0.3">
      <c r="A3134" s="3" t="s">
        <v>22</v>
      </c>
      <c r="B3134" s="7" t="str">
        <f>VLOOKUP(VALUE(A3134), 'DICIONÁRIO UF'!$A:$B, 2, FALSE)</f>
        <v>Rio de Janeiro</v>
      </c>
      <c r="C3134" s="3">
        <v>53001</v>
      </c>
      <c r="D3134" s="5" t="str">
        <f>VLOOKUP(C3134, 'DICIONÁRIO CNAES'!$A:$B, 2, FALSE)</f>
        <v>Atividades de Correio</v>
      </c>
      <c r="E3134" s="4">
        <v>11917.469576490001</v>
      </c>
      <c r="F3134" s="4">
        <v>37332255.993106</v>
      </c>
    </row>
    <row r="3135" spans="1:6" x14ac:dyDescent="0.3">
      <c r="A3135" s="3" t="s">
        <v>22</v>
      </c>
      <c r="B3135" s="7" t="str">
        <f>VLOOKUP(VALUE(A3135), 'DICIONÁRIO UF'!$A:$B, 2, FALSE)</f>
        <v>Rio de Janeiro</v>
      </c>
      <c r="C3135" s="3">
        <v>53002</v>
      </c>
      <c r="D3135" s="5" t="str">
        <f>VLOOKUP(C3135, 'DICIONÁRIO CNAES'!$A:$B, 2, FALSE)</f>
        <v>Atividades de malote e de entrega</v>
      </c>
      <c r="E3135" s="4">
        <v>32739.37219219</v>
      </c>
      <c r="F3135" s="4">
        <v>57463920.742524996</v>
      </c>
    </row>
    <row r="3136" spans="1:6" x14ac:dyDescent="0.3">
      <c r="A3136" s="3" t="s">
        <v>22</v>
      </c>
      <c r="B3136" s="7" t="str">
        <f>VLOOKUP(VALUE(A3136), 'DICIONÁRIO UF'!$A:$B, 2, FALSE)</f>
        <v>Rio de Janeiro</v>
      </c>
      <c r="C3136" s="3">
        <v>55000</v>
      </c>
      <c r="D3136" s="5" t="str">
        <f>VLOOKUP(C3136, 'DICIONÁRIO CNAES'!$A:$B, 2, FALSE)</f>
        <v>Alojamento</v>
      </c>
      <c r="E3136" s="4">
        <v>44561.733474300003</v>
      </c>
      <c r="F3136" s="4">
        <v>119295013.50898311</v>
      </c>
    </row>
    <row r="3137" spans="1:6" x14ac:dyDescent="0.3">
      <c r="A3137" s="3" t="s">
        <v>22</v>
      </c>
      <c r="B3137" s="7" t="str">
        <f>VLOOKUP(VALUE(A3137), 'DICIONÁRIO UF'!$A:$B, 2, FALSE)</f>
        <v>Rio de Janeiro</v>
      </c>
      <c r="C3137" s="3">
        <v>56011</v>
      </c>
      <c r="D3137" s="5" t="str">
        <f>VLOOKUP(C3137, 'DICIONÁRIO CNAES'!$A:$B, 2, FALSE)</f>
        <v>Restaurantes e outros estabelecimentos de serviços de alimentação e bebidas</v>
      </c>
      <c r="E3137" s="4">
        <v>346065.86667076999</v>
      </c>
      <c r="F3137" s="4">
        <v>578155814.58491886</v>
      </c>
    </row>
    <row r="3138" spans="1:6" x14ac:dyDescent="0.3">
      <c r="A3138" s="3" t="s">
        <v>22</v>
      </c>
      <c r="B3138" s="7" t="str">
        <f>VLOOKUP(VALUE(A3138), 'DICIONÁRIO UF'!$A:$B, 2, FALSE)</f>
        <v>Rio de Janeiro</v>
      </c>
      <c r="C3138" s="3">
        <v>56012</v>
      </c>
      <c r="D3138" s="5" t="str">
        <f>VLOOKUP(C3138, 'DICIONÁRIO CNAES'!$A:$B, 2, FALSE)</f>
        <v>Serviços de catering, bufê e outros serviços de comida preparada</v>
      </c>
      <c r="E3138" s="4">
        <v>112344.79400610999</v>
      </c>
      <c r="F3138" s="4">
        <v>142031442.04774329</v>
      </c>
    </row>
    <row r="3139" spans="1:6" x14ac:dyDescent="0.3">
      <c r="A3139" s="3" t="s">
        <v>22</v>
      </c>
      <c r="B3139" s="7" t="str">
        <f>VLOOKUP(VALUE(A3139), 'DICIONÁRIO UF'!$A:$B, 2, FALSE)</f>
        <v>Rio de Janeiro</v>
      </c>
      <c r="C3139" s="3">
        <v>56020</v>
      </c>
      <c r="D3139" s="5" t="str">
        <f>VLOOKUP(C3139, 'DICIONÁRIO CNAES'!$A:$B, 2, FALSE)</f>
        <v>Serviços ambulantes de alimentação</v>
      </c>
      <c r="E3139" s="4">
        <v>52127.343788949998</v>
      </c>
      <c r="F3139" s="4">
        <v>54692030.001858801</v>
      </c>
    </row>
    <row r="3140" spans="1:6" x14ac:dyDescent="0.3">
      <c r="A3140" s="3" t="s">
        <v>22</v>
      </c>
      <c r="B3140" s="7" t="str">
        <f>VLOOKUP(VALUE(A3140), 'DICIONÁRIO UF'!$A:$B, 2, FALSE)</f>
        <v>Rio de Janeiro</v>
      </c>
      <c r="C3140" s="3">
        <v>58000</v>
      </c>
      <c r="D3140" s="5" t="str">
        <f>VLOOKUP(C3140, 'DICIONÁRIO CNAES'!$A:$B, 2, FALSE)</f>
        <v xml:space="preserve">Edição e Edição integrada à impressão </v>
      </c>
      <c r="E3140" s="4">
        <v>13386.32140984</v>
      </c>
      <c r="F3140" s="4">
        <v>53259774.405226901</v>
      </c>
    </row>
    <row r="3141" spans="1:6" x14ac:dyDescent="0.3">
      <c r="A3141" s="3" t="s">
        <v>22</v>
      </c>
      <c r="B3141" s="7" t="str">
        <f>VLOOKUP(VALUE(A3141), 'DICIONÁRIO UF'!$A:$B, 2, FALSE)</f>
        <v>Rio de Janeiro</v>
      </c>
      <c r="C3141" s="3">
        <v>59000</v>
      </c>
      <c r="D3141" s="5" t="str">
        <f>VLOOKUP(C3141, 'DICIONÁRIO CNAES'!$A:$B, 2, FALSE)</f>
        <v>Atividades cinematográficas, produção de vídeos e de programas de televisão, gravação de som e de música</v>
      </c>
      <c r="E3141" s="4">
        <v>6433.5023169300002</v>
      </c>
      <c r="F3141" s="4">
        <v>17267431.484405</v>
      </c>
    </row>
    <row r="3142" spans="1:6" x14ac:dyDescent="0.3">
      <c r="A3142" s="3" t="s">
        <v>22</v>
      </c>
      <c r="B3142" s="7" t="str">
        <f>VLOOKUP(VALUE(A3142), 'DICIONÁRIO UF'!$A:$B, 2, FALSE)</f>
        <v>Rio de Janeiro</v>
      </c>
      <c r="C3142" s="3">
        <v>60001</v>
      </c>
      <c r="D3142" s="5" t="str">
        <f>VLOOKUP(C3142, 'DICIONÁRIO CNAES'!$A:$B, 2, FALSE)</f>
        <v>Atividades de rádio</v>
      </c>
      <c r="E3142" s="4">
        <v>5423.6183201800004</v>
      </c>
      <c r="F3142" s="4">
        <v>17608309.063227002</v>
      </c>
    </row>
    <row r="3143" spans="1:6" x14ac:dyDescent="0.3">
      <c r="A3143" s="3" t="s">
        <v>22</v>
      </c>
      <c r="B3143" s="7" t="str">
        <f>VLOOKUP(VALUE(A3143), 'DICIONÁRIO UF'!$A:$B, 2, FALSE)</f>
        <v>Rio de Janeiro</v>
      </c>
      <c r="C3143" s="3">
        <v>60002</v>
      </c>
      <c r="D3143" s="5" t="str">
        <f>VLOOKUP(C3143, 'DICIONÁRIO CNAES'!$A:$B, 2, FALSE)</f>
        <v>Atividades de televisão</v>
      </c>
      <c r="E3143" s="4">
        <v>20861.50792439</v>
      </c>
      <c r="F3143" s="4">
        <v>126332565.5033495</v>
      </c>
    </row>
    <row r="3144" spans="1:6" x14ac:dyDescent="0.3">
      <c r="A3144" s="3" t="s">
        <v>22</v>
      </c>
      <c r="B3144" s="7" t="str">
        <f>VLOOKUP(VALUE(A3144), 'DICIONÁRIO UF'!$A:$B, 2, FALSE)</f>
        <v>Rio de Janeiro</v>
      </c>
      <c r="C3144" s="3">
        <v>61000</v>
      </c>
      <c r="D3144" s="5" t="str">
        <f>VLOOKUP(C3144, 'DICIONÁRIO CNAES'!$A:$B, 2, FALSE)</f>
        <v>Telecomunicações</v>
      </c>
      <c r="E3144" s="4">
        <v>47263.537492709998</v>
      </c>
      <c r="F3144" s="4">
        <v>170323111.52851301</v>
      </c>
    </row>
    <row r="3145" spans="1:6" x14ac:dyDescent="0.3">
      <c r="A3145" s="3" t="s">
        <v>22</v>
      </c>
      <c r="B3145" s="7" t="str">
        <f>VLOOKUP(VALUE(A3145), 'DICIONÁRIO UF'!$A:$B, 2, FALSE)</f>
        <v>Rio de Janeiro</v>
      </c>
      <c r="C3145" s="3">
        <v>62000</v>
      </c>
      <c r="D3145" s="5" t="str">
        <f>VLOOKUP(C3145, 'DICIONÁRIO CNAES'!$A:$B, 2, FALSE)</f>
        <v>Atividades dos serviços de tecnologia da informação</v>
      </c>
      <c r="E3145" s="4">
        <v>94659.043112119994</v>
      </c>
      <c r="F3145" s="4">
        <v>510033238.80030692</v>
      </c>
    </row>
    <row r="3146" spans="1:6" x14ac:dyDescent="0.3">
      <c r="A3146" s="3" t="s">
        <v>22</v>
      </c>
      <c r="B3146" s="7" t="str">
        <f>VLOOKUP(VALUE(A3146), 'DICIONÁRIO UF'!$A:$B, 2, FALSE)</f>
        <v>Rio de Janeiro</v>
      </c>
      <c r="C3146" s="3">
        <v>63000</v>
      </c>
      <c r="D3146" s="5" t="str">
        <f>VLOOKUP(C3146, 'DICIONÁRIO CNAES'!$A:$B, 2, FALSE)</f>
        <v>Atividades de prestação de serviços de informação</v>
      </c>
      <c r="E3146" s="4">
        <v>7241.0032093700001</v>
      </c>
      <c r="F3146" s="4">
        <v>22979177.256441001</v>
      </c>
    </row>
    <row r="3147" spans="1:6" x14ac:dyDescent="0.3">
      <c r="A3147" s="3" t="s">
        <v>22</v>
      </c>
      <c r="B3147" s="7" t="str">
        <f>VLOOKUP(VALUE(A3147), 'DICIONÁRIO UF'!$A:$B, 2, FALSE)</f>
        <v>Rio de Janeiro</v>
      </c>
      <c r="C3147" s="3">
        <v>64000</v>
      </c>
      <c r="D3147" s="5" t="str">
        <f>VLOOKUP(C3147, 'DICIONÁRIO CNAES'!$A:$B, 2, FALSE)</f>
        <v>Serviços financeiros</v>
      </c>
      <c r="E3147" s="4">
        <v>89172.068087830005</v>
      </c>
      <c r="F3147" s="4">
        <v>487561674.14314872</v>
      </c>
    </row>
    <row r="3148" spans="1:6" x14ac:dyDescent="0.3">
      <c r="A3148" s="3" t="s">
        <v>22</v>
      </c>
      <c r="B3148" s="7" t="str">
        <f>VLOOKUP(VALUE(A3148), 'DICIONÁRIO UF'!$A:$B, 2, FALSE)</f>
        <v>Rio de Janeiro</v>
      </c>
      <c r="C3148" s="3">
        <v>65000</v>
      </c>
      <c r="D3148" s="5" t="str">
        <f>VLOOKUP(C3148, 'DICIONÁRIO CNAES'!$A:$B, 2, FALSE)</f>
        <v>Seguros e previdência privada</v>
      </c>
      <c r="E3148" s="4">
        <v>26167.568179360002</v>
      </c>
      <c r="F3148" s="4">
        <v>115137967.8771138</v>
      </c>
    </row>
    <row r="3149" spans="1:6" x14ac:dyDescent="0.3">
      <c r="A3149" s="3" t="s">
        <v>22</v>
      </c>
      <c r="B3149" s="7" t="str">
        <f>VLOOKUP(VALUE(A3149), 'DICIONÁRIO UF'!$A:$B, 2, FALSE)</f>
        <v>Rio de Janeiro</v>
      </c>
      <c r="C3149" s="3">
        <v>66001</v>
      </c>
      <c r="D3149" s="5" t="str">
        <f>VLOOKUP(C3149, 'DICIONÁRIO CNAES'!$A:$B, 2, FALSE)</f>
        <v>Atividades auxiliares dos serviços financeiros</v>
      </c>
      <c r="E3149" s="4">
        <v>19802.094174279999</v>
      </c>
      <c r="F3149" s="4">
        <v>111604022.1921735</v>
      </c>
    </row>
    <row r="3150" spans="1:6" x14ac:dyDescent="0.3">
      <c r="A3150" s="3" t="s">
        <v>22</v>
      </c>
      <c r="B3150" s="7" t="str">
        <f>VLOOKUP(VALUE(A3150), 'DICIONÁRIO UF'!$A:$B, 2, FALSE)</f>
        <v>Rio de Janeiro</v>
      </c>
      <c r="C3150" s="3">
        <v>66002</v>
      </c>
      <c r="D3150" s="5" t="str">
        <f>VLOOKUP(C3150, 'DICIONÁRIO CNAES'!$A:$B, 2, FALSE)</f>
        <v>Atividades auxiliares dos seguros, da previdência complementar e dos planos de saúde</v>
      </c>
      <c r="E3150" s="4">
        <v>23249.323190399999</v>
      </c>
      <c r="F3150" s="4">
        <v>99388910.300082609</v>
      </c>
    </row>
    <row r="3151" spans="1:6" x14ac:dyDescent="0.3">
      <c r="A3151" s="3" t="s">
        <v>22</v>
      </c>
      <c r="B3151" s="7" t="str">
        <f>VLOOKUP(VALUE(A3151), 'DICIONÁRIO UF'!$A:$B, 2, FALSE)</f>
        <v>Rio de Janeiro</v>
      </c>
      <c r="C3151" s="3">
        <v>68000</v>
      </c>
      <c r="D3151" s="5" t="str">
        <f>VLOOKUP(C3151, 'DICIONÁRIO CNAES'!$A:$B, 2, FALSE)</f>
        <v>Atividades imobiliárias</v>
      </c>
      <c r="E3151" s="4">
        <v>55231.562242009997</v>
      </c>
      <c r="F3151" s="4">
        <v>171177481.8469919</v>
      </c>
    </row>
    <row r="3152" spans="1:6" x14ac:dyDescent="0.3">
      <c r="A3152" s="3" t="s">
        <v>22</v>
      </c>
      <c r="B3152" s="7" t="str">
        <f>VLOOKUP(VALUE(A3152), 'DICIONÁRIO UF'!$A:$B, 2, FALSE)</f>
        <v>Rio de Janeiro</v>
      </c>
      <c r="C3152" s="3">
        <v>69000</v>
      </c>
      <c r="D3152" s="5" t="str">
        <f>VLOOKUP(C3152, 'DICIONÁRIO CNAES'!$A:$B, 2, FALSE)</f>
        <v xml:space="preserve">Atividades jurídicas, de contabilidade e de auditoria </v>
      </c>
      <c r="E3152" s="4">
        <v>206943.38325893</v>
      </c>
      <c r="F3152" s="4">
        <v>935661766.10355473</v>
      </c>
    </row>
    <row r="3153" spans="1:6" x14ac:dyDescent="0.3">
      <c r="A3153" s="3" t="s">
        <v>22</v>
      </c>
      <c r="B3153" s="7" t="str">
        <f>VLOOKUP(VALUE(A3153), 'DICIONÁRIO UF'!$A:$B, 2, FALSE)</f>
        <v>Rio de Janeiro</v>
      </c>
      <c r="C3153" s="3">
        <v>70000</v>
      </c>
      <c r="D3153" s="5" t="str">
        <f>VLOOKUP(C3153, 'DICIONÁRIO CNAES'!$A:$B, 2, FALSE)</f>
        <v>Atividades de consultoria em gestão empresarial</v>
      </c>
      <c r="E3153" s="4">
        <v>30294.438186210002</v>
      </c>
      <c r="F3153" s="4">
        <v>114865048.59410749</v>
      </c>
    </row>
    <row r="3154" spans="1:6" x14ac:dyDescent="0.3">
      <c r="A3154" s="3" t="s">
        <v>22</v>
      </c>
      <c r="B3154" s="7" t="str">
        <f>VLOOKUP(VALUE(A3154), 'DICIONÁRIO UF'!$A:$B, 2, FALSE)</f>
        <v>Rio de Janeiro</v>
      </c>
      <c r="C3154" s="3">
        <v>71000</v>
      </c>
      <c r="D3154" s="5" t="str">
        <f>VLOOKUP(C3154, 'DICIONÁRIO CNAES'!$A:$B, 2, FALSE)</f>
        <v>Serviços de arquitetura e engenharia e atividades técnicas relacionadas; Testes e análises técnicas</v>
      </c>
      <c r="E3154" s="4">
        <v>76072.698155510006</v>
      </c>
      <c r="F3154" s="4">
        <v>412963763.56103128</v>
      </c>
    </row>
    <row r="3155" spans="1:6" x14ac:dyDescent="0.3">
      <c r="A3155" s="3" t="s">
        <v>22</v>
      </c>
      <c r="B3155" s="7" t="str">
        <f>VLOOKUP(VALUE(A3155), 'DICIONÁRIO UF'!$A:$B, 2, FALSE)</f>
        <v>Rio de Janeiro</v>
      </c>
      <c r="C3155" s="3">
        <v>72000</v>
      </c>
      <c r="D3155" s="5" t="str">
        <f>VLOOKUP(C3155, 'DICIONÁRIO CNAES'!$A:$B, 2, FALSE)</f>
        <v>Pesquisa e desenvolvimento científico</v>
      </c>
      <c r="E3155" s="4">
        <v>6361.7870297099998</v>
      </c>
      <c r="F3155" s="4">
        <v>110773925.960298</v>
      </c>
    </row>
    <row r="3156" spans="1:6" x14ac:dyDescent="0.3">
      <c r="A3156" s="3" t="s">
        <v>22</v>
      </c>
      <c r="B3156" s="7" t="str">
        <f>VLOOKUP(VALUE(A3156), 'DICIONÁRIO UF'!$A:$B, 2, FALSE)</f>
        <v>Rio de Janeiro</v>
      </c>
      <c r="C3156" s="3">
        <v>73010</v>
      </c>
      <c r="D3156" s="5" t="str">
        <f>VLOOKUP(C3156, 'DICIONÁRIO CNAES'!$A:$B, 2, FALSE)</f>
        <v>Publicidade</v>
      </c>
      <c r="E3156" s="4">
        <v>29136.56389053</v>
      </c>
      <c r="F3156" s="4">
        <v>106509785.9800511</v>
      </c>
    </row>
    <row r="3157" spans="1:6" x14ac:dyDescent="0.3">
      <c r="A3157" s="3" t="s">
        <v>22</v>
      </c>
      <c r="B3157" s="7" t="str">
        <f>VLOOKUP(VALUE(A3157), 'DICIONÁRIO UF'!$A:$B, 2, FALSE)</f>
        <v>Rio de Janeiro</v>
      </c>
      <c r="C3157" s="3">
        <v>73020</v>
      </c>
      <c r="D3157" s="5" t="str">
        <f>VLOOKUP(C3157, 'DICIONÁRIO CNAES'!$A:$B, 2, FALSE)</f>
        <v>Pesquisas de mercado e opinião pública</v>
      </c>
      <c r="E3157" s="4">
        <v>4027.05502338</v>
      </c>
      <c r="F3157" s="4">
        <v>16855099.860661</v>
      </c>
    </row>
    <row r="3158" spans="1:6" x14ac:dyDescent="0.3">
      <c r="A3158" s="3" t="s">
        <v>22</v>
      </c>
      <c r="B3158" s="7" t="str">
        <f>VLOOKUP(VALUE(A3158), 'DICIONÁRIO UF'!$A:$B, 2, FALSE)</f>
        <v>Rio de Janeiro</v>
      </c>
      <c r="C3158" s="3">
        <v>74000</v>
      </c>
      <c r="D3158" s="5" t="str">
        <f>VLOOKUP(C3158, 'DICIONÁRIO CNAES'!$A:$B, 2, FALSE)</f>
        <v>Outras atividades profissionais, científicas e técnicas não especificadas anteriormente</v>
      </c>
      <c r="E3158" s="4">
        <v>49020.02666055</v>
      </c>
      <c r="F3158" s="4">
        <v>136265675.9526943</v>
      </c>
    </row>
    <row r="3159" spans="1:6" x14ac:dyDescent="0.3">
      <c r="A3159" s="3" t="s">
        <v>22</v>
      </c>
      <c r="B3159" s="7" t="str">
        <f>VLOOKUP(VALUE(A3159), 'DICIONÁRIO UF'!$A:$B, 2, FALSE)</f>
        <v>Rio de Janeiro</v>
      </c>
      <c r="C3159" s="3">
        <v>75000</v>
      </c>
      <c r="D3159" s="5" t="str">
        <f>VLOOKUP(C3159, 'DICIONÁRIO CNAES'!$A:$B, 2, FALSE)</f>
        <v>Atividades veterinárias</v>
      </c>
      <c r="E3159" s="4">
        <v>10782.64780862</v>
      </c>
      <c r="F3159" s="4">
        <v>36223263.742885999</v>
      </c>
    </row>
    <row r="3160" spans="1:6" x14ac:dyDescent="0.3">
      <c r="A3160" s="3" t="s">
        <v>22</v>
      </c>
      <c r="B3160" s="7" t="str">
        <f>VLOOKUP(VALUE(A3160), 'DICIONÁRIO UF'!$A:$B, 2, FALSE)</f>
        <v>Rio de Janeiro</v>
      </c>
      <c r="C3160" s="3">
        <v>77010</v>
      </c>
      <c r="D3160" s="5" t="str">
        <f>VLOOKUP(C3160, 'DICIONÁRIO CNAES'!$A:$B, 2, FALSE)</f>
        <v>Aluguel de objetos pessoais e domésticos</v>
      </c>
      <c r="E3160" s="4">
        <v>6512.8860357900003</v>
      </c>
      <c r="F3160" s="4">
        <v>7588619.9383950001</v>
      </c>
    </row>
    <row r="3161" spans="1:6" x14ac:dyDescent="0.3">
      <c r="A3161" s="3" t="s">
        <v>22</v>
      </c>
      <c r="B3161" s="7" t="str">
        <f>VLOOKUP(VALUE(A3161), 'DICIONÁRIO UF'!$A:$B, 2, FALSE)</f>
        <v>Rio de Janeiro</v>
      </c>
      <c r="C3161" s="3">
        <v>77020</v>
      </c>
      <c r="D3161" s="5" t="str">
        <f>VLOOKUP(C3161, 'DICIONÁRIO CNAES'!$A:$B, 2, FALSE)</f>
        <v>Aluguel de meios de transportes, maquinas e equipamentos sem operador e gestão de ativos intangíveis não financeiros</v>
      </c>
      <c r="E3161" s="4">
        <v>4481.4731153299999</v>
      </c>
      <c r="F3161" s="4">
        <v>11835270.095587</v>
      </c>
    </row>
    <row r="3162" spans="1:6" x14ac:dyDescent="0.3">
      <c r="A3162" s="3" t="s">
        <v>22</v>
      </c>
      <c r="B3162" s="7" t="str">
        <f>VLOOKUP(VALUE(A3162), 'DICIONÁRIO UF'!$A:$B, 2, FALSE)</f>
        <v>Rio de Janeiro</v>
      </c>
      <c r="C3162" s="3">
        <v>78000</v>
      </c>
      <c r="D3162" s="5" t="str">
        <f>VLOOKUP(C3162, 'DICIONÁRIO CNAES'!$A:$B, 2, FALSE)</f>
        <v>Seleção, agenciamento e locação de mão-de-obra</v>
      </c>
      <c r="E3162" s="4">
        <v>49095.68792669</v>
      </c>
      <c r="F3162" s="4">
        <v>119177734.849793</v>
      </c>
    </row>
    <row r="3163" spans="1:6" x14ac:dyDescent="0.3">
      <c r="A3163" s="3" t="s">
        <v>22</v>
      </c>
      <c r="B3163" s="7" t="str">
        <f>VLOOKUP(VALUE(A3163), 'DICIONÁRIO UF'!$A:$B, 2, FALSE)</f>
        <v>Rio de Janeiro</v>
      </c>
      <c r="C3163" s="3">
        <v>79000</v>
      </c>
      <c r="D3163" s="5" t="str">
        <f>VLOOKUP(C3163, 'DICIONÁRIO CNAES'!$A:$B, 2, FALSE)</f>
        <v>Agências de viagens, operadores turísticos e serviços de reservas</v>
      </c>
      <c r="E3163" s="4">
        <v>11359.006454320001</v>
      </c>
      <c r="F3163" s="4">
        <v>37625556.632186003</v>
      </c>
    </row>
    <row r="3164" spans="1:6" x14ac:dyDescent="0.3">
      <c r="A3164" s="3" t="s">
        <v>22</v>
      </c>
      <c r="B3164" s="7" t="str">
        <f>VLOOKUP(VALUE(A3164), 'DICIONÁRIO UF'!$A:$B, 2, FALSE)</f>
        <v>Rio de Janeiro</v>
      </c>
      <c r="C3164" s="3">
        <v>80000</v>
      </c>
      <c r="D3164" s="5" t="str">
        <f>VLOOKUP(C3164, 'DICIONÁRIO CNAES'!$A:$B, 2, FALSE)</f>
        <v>Atividades de vigilância, segurança, transporte de valores e investigação</v>
      </c>
      <c r="E3164" s="4">
        <v>72216.632432800005</v>
      </c>
      <c r="F3164" s="4">
        <v>167415627.64866999</v>
      </c>
    </row>
    <row r="3165" spans="1:6" x14ac:dyDescent="0.3">
      <c r="A3165" s="3" t="s">
        <v>22</v>
      </c>
      <c r="B3165" s="7" t="str">
        <f>VLOOKUP(VALUE(A3165), 'DICIONÁRIO UF'!$A:$B, 2, FALSE)</f>
        <v>Rio de Janeiro</v>
      </c>
      <c r="C3165" s="3">
        <v>81011</v>
      </c>
      <c r="D3165" s="5" t="str">
        <f>VLOOKUP(C3165, 'DICIONÁRIO CNAES'!$A:$B, 2, FALSE)</f>
        <v>Serviços de limpeza e de apoio a edifícios, exceto condomínios prediais</v>
      </c>
      <c r="E3165" s="4">
        <v>67863.992791020006</v>
      </c>
      <c r="F3165" s="4">
        <v>123743160.0546916</v>
      </c>
    </row>
    <row r="3166" spans="1:6" x14ac:dyDescent="0.3">
      <c r="A3166" s="3" t="s">
        <v>22</v>
      </c>
      <c r="B3166" s="7" t="str">
        <f>VLOOKUP(VALUE(A3166), 'DICIONÁRIO UF'!$A:$B, 2, FALSE)</f>
        <v>Rio de Janeiro</v>
      </c>
      <c r="C3166" s="3">
        <v>81012</v>
      </c>
      <c r="D3166" s="5" t="str">
        <f>VLOOKUP(C3166, 'DICIONÁRIO CNAES'!$A:$B, 2, FALSE)</f>
        <v>Condomínios prediais</v>
      </c>
      <c r="E3166" s="4">
        <v>91775.05870655</v>
      </c>
      <c r="F3166" s="4">
        <v>156707643.38694859</v>
      </c>
    </row>
    <row r="3167" spans="1:6" x14ac:dyDescent="0.3">
      <c r="A3167" s="3" t="s">
        <v>22</v>
      </c>
      <c r="B3167" s="7" t="str">
        <f>VLOOKUP(VALUE(A3167), 'DICIONÁRIO UF'!$A:$B, 2, FALSE)</f>
        <v>Rio de Janeiro</v>
      </c>
      <c r="C3167" s="3">
        <v>81020</v>
      </c>
      <c r="D3167" s="5" t="str">
        <f>VLOOKUP(C3167, 'DICIONÁRIO CNAES'!$A:$B, 2, FALSE)</f>
        <v>Atividades paisagísticas</v>
      </c>
      <c r="E3167" s="4">
        <v>3748.9988069699998</v>
      </c>
      <c r="F3167" s="4">
        <v>4743258.2911499999</v>
      </c>
    </row>
    <row r="3168" spans="1:6" x14ac:dyDescent="0.3">
      <c r="A3168" s="3" t="s">
        <v>22</v>
      </c>
      <c r="B3168" s="7" t="str">
        <f>VLOOKUP(VALUE(A3168), 'DICIONÁRIO UF'!$A:$B, 2, FALSE)</f>
        <v>Rio de Janeiro</v>
      </c>
      <c r="C3168" s="3">
        <v>82001</v>
      </c>
      <c r="D3168" s="5" t="str">
        <f>VLOOKUP(C3168, 'DICIONÁRIO CNAES'!$A:$B, 2, FALSE)</f>
        <v>Serviços de escritório e apoio administrativo</v>
      </c>
      <c r="E3168" s="4">
        <v>12403.758561029999</v>
      </c>
      <c r="F3168" s="4">
        <v>27867327.3617258</v>
      </c>
    </row>
    <row r="3169" spans="1:6" x14ac:dyDescent="0.3">
      <c r="A3169" s="3" t="s">
        <v>22</v>
      </c>
      <c r="B3169" s="7" t="str">
        <f>VLOOKUP(VALUE(A3169), 'DICIONÁRIO UF'!$A:$B, 2, FALSE)</f>
        <v>Rio de Janeiro</v>
      </c>
      <c r="C3169" s="3">
        <v>82002</v>
      </c>
      <c r="D3169" s="5" t="str">
        <f>VLOOKUP(C3169, 'DICIONÁRIO CNAES'!$A:$B, 2, FALSE)</f>
        <v>Atividades de teleatendimento</v>
      </c>
      <c r="E3169" s="4">
        <v>21465.653483810001</v>
      </c>
      <c r="F3169" s="4">
        <v>54634928.257054374</v>
      </c>
    </row>
    <row r="3170" spans="1:6" x14ac:dyDescent="0.3">
      <c r="A3170" s="3" t="s">
        <v>22</v>
      </c>
      <c r="B3170" s="7" t="str">
        <f>VLOOKUP(VALUE(A3170), 'DICIONÁRIO UF'!$A:$B, 2, FALSE)</f>
        <v>Rio de Janeiro</v>
      </c>
      <c r="C3170" s="3">
        <v>82003</v>
      </c>
      <c r="D3170" s="5" t="str">
        <f>VLOOKUP(C3170, 'DICIONÁRIO CNAES'!$A:$B, 2, FALSE)</f>
        <v>Atividades de organização de eventos, exceto culturais e esportivos</v>
      </c>
      <c r="E3170" s="4">
        <v>25803.331930200002</v>
      </c>
      <c r="F3170" s="4">
        <v>54940513.453131802</v>
      </c>
    </row>
    <row r="3171" spans="1:6" x14ac:dyDescent="0.3">
      <c r="A3171" s="3" t="s">
        <v>22</v>
      </c>
      <c r="B3171" s="7" t="str">
        <f>VLOOKUP(VALUE(A3171), 'DICIONÁRIO UF'!$A:$B, 2, FALSE)</f>
        <v>Rio de Janeiro</v>
      </c>
      <c r="C3171" s="3">
        <v>82009</v>
      </c>
      <c r="D3171" s="5" t="str">
        <f>VLOOKUP(C3171, 'DICIONÁRIO CNAES'!$A:$B, 2, FALSE)</f>
        <v>Outras atividades de serviços prestados principalmente às empresas</v>
      </c>
      <c r="E3171" s="4">
        <v>16676.068526260002</v>
      </c>
      <c r="F3171" s="4">
        <v>45981230.872573398</v>
      </c>
    </row>
    <row r="3172" spans="1:6" x14ac:dyDescent="0.3">
      <c r="A3172" s="3" t="s">
        <v>22</v>
      </c>
      <c r="B3172" s="7" t="str">
        <f>VLOOKUP(VALUE(A3172), 'DICIONÁRIO UF'!$A:$B, 2, FALSE)</f>
        <v>Rio de Janeiro</v>
      </c>
      <c r="C3172" s="3">
        <v>84011</v>
      </c>
      <c r="D3172" s="5" t="str">
        <f>VLOOKUP(C3172, 'DICIONÁRIO CNAES'!$A:$B, 2, FALSE)</f>
        <v>Administração publica e regulação da política econômica e social - Federal</v>
      </c>
      <c r="E3172" s="4">
        <v>48731.051671150002</v>
      </c>
      <c r="F3172" s="4">
        <v>422501102.52627587</v>
      </c>
    </row>
    <row r="3173" spans="1:6" x14ac:dyDescent="0.3">
      <c r="A3173" s="3" t="s">
        <v>22</v>
      </c>
      <c r="B3173" s="7" t="str">
        <f>VLOOKUP(VALUE(A3173), 'DICIONÁRIO UF'!$A:$B, 2, FALSE)</f>
        <v>Rio de Janeiro</v>
      </c>
      <c r="C3173" s="3">
        <v>84012</v>
      </c>
      <c r="D3173" s="5" t="str">
        <f>VLOOKUP(C3173, 'DICIONÁRIO CNAES'!$A:$B, 2, FALSE)</f>
        <v>Administração publica e regulação da política econômica e social - Estadual</v>
      </c>
      <c r="E3173" s="4">
        <v>27861.202471920002</v>
      </c>
      <c r="F3173" s="4">
        <v>174926406.9338167</v>
      </c>
    </row>
    <row r="3174" spans="1:6" x14ac:dyDescent="0.3">
      <c r="A3174" s="3" t="s">
        <v>22</v>
      </c>
      <c r="B3174" s="7" t="str">
        <f>VLOOKUP(VALUE(A3174), 'DICIONÁRIO UF'!$A:$B, 2, FALSE)</f>
        <v>Rio de Janeiro</v>
      </c>
      <c r="C3174" s="3">
        <v>84013</v>
      </c>
      <c r="D3174" s="5" t="str">
        <f>VLOOKUP(C3174, 'DICIONÁRIO CNAES'!$A:$B, 2, FALSE)</f>
        <v>Administração publica e regulação da política econômica e social - Municipal</v>
      </c>
      <c r="E3174" s="4">
        <v>177907.12313841001</v>
      </c>
      <c r="F3174" s="4">
        <v>620564689.49435532</v>
      </c>
    </row>
    <row r="3175" spans="1:6" x14ac:dyDescent="0.3">
      <c r="A3175" s="3" t="s">
        <v>22</v>
      </c>
      <c r="B3175" s="7" t="str">
        <f>VLOOKUP(VALUE(A3175), 'DICIONÁRIO UF'!$A:$B, 2, FALSE)</f>
        <v>Rio de Janeiro</v>
      </c>
      <c r="C3175" s="3">
        <v>84014</v>
      </c>
      <c r="D3175" s="5" t="str">
        <f>VLOOKUP(C3175, 'DICIONÁRIO CNAES'!$A:$B, 2, FALSE)</f>
        <v>Defesa</v>
      </c>
      <c r="E3175" s="4">
        <v>107682.78658014</v>
      </c>
      <c r="F3175" s="4">
        <v>586062597.45949733</v>
      </c>
    </row>
    <row r="3176" spans="1:6" x14ac:dyDescent="0.3">
      <c r="A3176" s="3" t="s">
        <v>22</v>
      </c>
      <c r="B3176" s="7" t="str">
        <f>VLOOKUP(VALUE(A3176), 'DICIONÁRIO UF'!$A:$B, 2, FALSE)</f>
        <v>Rio de Janeiro</v>
      </c>
      <c r="C3176" s="3">
        <v>84015</v>
      </c>
      <c r="D3176" s="5" t="str">
        <f>VLOOKUP(C3176, 'DICIONÁRIO CNAES'!$A:$B, 2, FALSE)</f>
        <v>Outros serviços coletivos prestados pela administração pública - Federal</v>
      </c>
      <c r="E3176" s="4">
        <v>9447.0918539699996</v>
      </c>
      <c r="F3176" s="4">
        <v>115731492.223095</v>
      </c>
    </row>
    <row r="3177" spans="1:6" x14ac:dyDescent="0.3">
      <c r="A3177" s="3" t="s">
        <v>22</v>
      </c>
      <c r="B3177" s="7" t="str">
        <f>VLOOKUP(VALUE(A3177), 'DICIONÁRIO UF'!$A:$B, 2, FALSE)</f>
        <v>Rio de Janeiro</v>
      </c>
      <c r="C3177" s="3">
        <v>84016</v>
      </c>
      <c r="D3177" s="5" t="str">
        <f>VLOOKUP(C3177, 'DICIONÁRIO CNAES'!$A:$B, 2, FALSE)</f>
        <v>Outros serviços coletivos prestados pela administração pública - Estadual</v>
      </c>
      <c r="E3177" s="4">
        <v>99182.670455390005</v>
      </c>
      <c r="F3177" s="4">
        <v>651729248.55422974</v>
      </c>
    </row>
    <row r="3178" spans="1:6" x14ac:dyDescent="0.3">
      <c r="A3178" s="3" t="s">
        <v>22</v>
      </c>
      <c r="B3178" s="7" t="str">
        <f>VLOOKUP(VALUE(A3178), 'DICIONÁRIO UF'!$A:$B, 2, FALSE)</f>
        <v>Rio de Janeiro</v>
      </c>
      <c r="C3178" s="3">
        <v>84017</v>
      </c>
      <c r="D3178" s="5" t="str">
        <f>VLOOKUP(C3178, 'DICIONÁRIO CNAES'!$A:$B, 2, FALSE)</f>
        <v>Outros serviços coletivos prestados pela administração pública - Municipal</v>
      </c>
      <c r="E3178" s="4">
        <v>16005.30730233</v>
      </c>
      <c r="F3178" s="4">
        <v>45960118.136168003</v>
      </c>
    </row>
    <row r="3179" spans="1:6" x14ac:dyDescent="0.3">
      <c r="A3179" s="3" t="s">
        <v>22</v>
      </c>
      <c r="B3179" s="7" t="str">
        <f>VLOOKUP(VALUE(A3179), 'DICIONÁRIO UF'!$A:$B, 2, FALSE)</f>
        <v>Rio de Janeiro</v>
      </c>
      <c r="C3179" s="3">
        <v>84020</v>
      </c>
      <c r="D3179" s="5" t="str">
        <f>VLOOKUP(C3179, 'DICIONÁRIO CNAES'!$A:$B, 2, FALSE)</f>
        <v>Seguridade social obrigatória</v>
      </c>
      <c r="E3179" s="4">
        <v>4763.7068501100002</v>
      </c>
      <c r="F3179" s="4">
        <v>28288989.170873001</v>
      </c>
    </row>
    <row r="3180" spans="1:6" x14ac:dyDescent="0.3">
      <c r="A3180" s="3" t="s">
        <v>22</v>
      </c>
      <c r="B3180" s="7" t="str">
        <f>VLOOKUP(VALUE(A3180), 'DICIONÁRIO UF'!$A:$B, 2, FALSE)</f>
        <v>Rio de Janeiro</v>
      </c>
      <c r="C3180" s="3">
        <v>85011</v>
      </c>
      <c r="D3180" s="5" t="str">
        <f>VLOOKUP(C3180, 'DICIONÁRIO CNAES'!$A:$B, 2, FALSE)</f>
        <v>Creche</v>
      </c>
      <c r="E3180" s="4">
        <v>29727.85116328</v>
      </c>
      <c r="F3180" s="4">
        <v>52619489.442718953</v>
      </c>
    </row>
    <row r="3181" spans="1:6" x14ac:dyDescent="0.3">
      <c r="A3181" s="3" t="s">
        <v>22</v>
      </c>
      <c r="B3181" s="7" t="str">
        <f>VLOOKUP(VALUE(A3181), 'DICIONÁRIO UF'!$A:$B, 2, FALSE)</f>
        <v>Rio de Janeiro</v>
      </c>
      <c r="C3181" s="3">
        <v>85012</v>
      </c>
      <c r="D3181" s="5" t="str">
        <f>VLOOKUP(C3181, 'DICIONÁRIO CNAES'!$A:$B, 2, FALSE)</f>
        <v>Pré-escola e ensino fundamental</v>
      </c>
      <c r="E3181" s="4">
        <v>237222.92268593001</v>
      </c>
      <c r="F3181" s="4">
        <v>728457429.21557093</v>
      </c>
    </row>
    <row r="3182" spans="1:6" x14ac:dyDescent="0.3">
      <c r="A3182" s="3" t="s">
        <v>22</v>
      </c>
      <c r="B3182" s="7" t="str">
        <f>VLOOKUP(VALUE(A3182), 'DICIONÁRIO UF'!$A:$B, 2, FALSE)</f>
        <v>Rio de Janeiro</v>
      </c>
      <c r="C3182" s="3">
        <v>85013</v>
      </c>
      <c r="D3182" s="5" t="str">
        <f>VLOOKUP(C3182, 'DICIONÁRIO CNAES'!$A:$B, 2, FALSE)</f>
        <v>Ensino médio</v>
      </c>
      <c r="E3182" s="4">
        <v>111293.47839561</v>
      </c>
      <c r="F3182" s="4">
        <v>440118211.18582523</v>
      </c>
    </row>
    <row r="3183" spans="1:6" x14ac:dyDescent="0.3">
      <c r="A3183" s="3" t="s">
        <v>22</v>
      </c>
      <c r="B3183" s="7" t="str">
        <f>VLOOKUP(VALUE(A3183), 'DICIONÁRIO UF'!$A:$B, 2, FALSE)</f>
        <v>Rio de Janeiro</v>
      </c>
      <c r="C3183" s="3">
        <v>85014</v>
      </c>
      <c r="D3183" s="5" t="str">
        <f>VLOOKUP(C3183, 'DICIONÁRIO CNAES'!$A:$B, 2, FALSE)</f>
        <v>Educação superior</v>
      </c>
      <c r="E3183" s="4">
        <v>88391.238820860002</v>
      </c>
      <c r="F3183" s="4">
        <v>678742478.7217865</v>
      </c>
    </row>
    <row r="3184" spans="1:6" x14ac:dyDescent="0.3">
      <c r="A3184" s="3" t="s">
        <v>22</v>
      </c>
      <c r="B3184" s="7" t="str">
        <f>VLOOKUP(VALUE(A3184), 'DICIONÁRIO UF'!$A:$B, 2, FALSE)</f>
        <v>Rio de Janeiro</v>
      </c>
      <c r="C3184" s="3">
        <v>85021</v>
      </c>
      <c r="D3184" s="5" t="str">
        <f>VLOOKUP(C3184, 'DICIONÁRIO CNAES'!$A:$B, 2, FALSE)</f>
        <v>Serviços auxiliares à educação</v>
      </c>
      <c r="E3184" s="4">
        <v>3122.4516867399998</v>
      </c>
      <c r="F3184" s="4">
        <v>31705679.666673999</v>
      </c>
    </row>
    <row r="3185" spans="1:6" x14ac:dyDescent="0.3">
      <c r="A3185" s="3" t="s">
        <v>22</v>
      </c>
      <c r="B3185" s="7" t="str">
        <f>VLOOKUP(VALUE(A3185), 'DICIONÁRIO UF'!$A:$B, 2, FALSE)</f>
        <v>Rio de Janeiro</v>
      </c>
      <c r="C3185" s="3">
        <v>85029</v>
      </c>
      <c r="D3185" s="5" t="str">
        <f>VLOOKUP(C3185, 'DICIONÁRIO CNAES'!$A:$B, 2, FALSE)</f>
        <v>Outras atividades de ensino</v>
      </c>
      <c r="E3185" s="4">
        <v>80913.239769249994</v>
      </c>
      <c r="F3185" s="4">
        <v>184701999.65037471</v>
      </c>
    </row>
    <row r="3186" spans="1:6" x14ac:dyDescent="0.3">
      <c r="A3186" s="3" t="s">
        <v>22</v>
      </c>
      <c r="B3186" s="7" t="str">
        <f>VLOOKUP(VALUE(A3186), 'DICIONÁRIO UF'!$A:$B, 2, FALSE)</f>
        <v>Rio de Janeiro</v>
      </c>
      <c r="C3186" s="3">
        <v>86001</v>
      </c>
      <c r="D3186" s="5" t="str">
        <f>VLOOKUP(C3186, 'DICIONÁRIO CNAES'!$A:$B, 2, FALSE)</f>
        <v>Atividades de atendimento hospitalar</v>
      </c>
      <c r="E3186" s="4">
        <v>258861.38530887</v>
      </c>
      <c r="F3186" s="4">
        <v>1261230016.9599359</v>
      </c>
    </row>
    <row r="3187" spans="1:6" x14ac:dyDescent="0.3">
      <c r="A3187" s="3" t="s">
        <v>22</v>
      </c>
      <c r="B3187" s="7" t="str">
        <f>VLOOKUP(VALUE(A3187), 'DICIONÁRIO UF'!$A:$B, 2, FALSE)</f>
        <v>Rio de Janeiro</v>
      </c>
      <c r="C3187" s="3">
        <v>86002</v>
      </c>
      <c r="D3187" s="5" t="str">
        <f>VLOOKUP(C3187, 'DICIONÁRIO CNAES'!$A:$B, 2, FALSE)</f>
        <v>Atividades de atenção ambulatorial executadas por médicos e odontólogos</v>
      </c>
      <c r="E3187" s="4">
        <v>166507.8541162</v>
      </c>
      <c r="F3187" s="4">
        <v>765984235.90676177</v>
      </c>
    </row>
    <row r="3188" spans="1:6" x14ac:dyDescent="0.3">
      <c r="A3188" s="3" t="s">
        <v>22</v>
      </c>
      <c r="B3188" s="7" t="str">
        <f>VLOOKUP(VALUE(A3188), 'DICIONÁRIO UF'!$A:$B, 2, FALSE)</f>
        <v>Rio de Janeiro</v>
      </c>
      <c r="C3188" s="3">
        <v>86003</v>
      </c>
      <c r="D3188" s="5" t="str">
        <f>VLOOKUP(C3188, 'DICIONÁRIO CNAES'!$A:$B, 2, FALSE)</f>
        <v>Atividades de serviços de complementação diagnóstica e terapêutica</v>
      </c>
      <c r="E3188" s="4">
        <v>32898.180665760003</v>
      </c>
      <c r="F3188" s="4">
        <v>92424748.93287003</v>
      </c>
    </row>
    <row r="3189" spans="1:6" x14ac:dyDescent="0.3">
      <c r="A3189" s="3" t="s">
        <v>22</v>
      </c>
      <c r="B3189" s="7" t="str">
        <f>VLOOKUP(VALUE(A3189), 'DICIONÁRIO UF'!$A:$B, 2, FALSE)</f>
        <v>Rio de Janeiro</v>
      </c>
      <c r="C3189" s="3">
        <v>86004</v>
      </c>
      <c r="D3189" s="5" t="str">
        <f>VLOOKUP(C3189, 'DICIONÁRIO CNAES'!$A:$B, 2, FALSE)</f>
        <v>Atividades de profissionais da área de saúde, exceto médicos e odontólogos</v>
      </c>
      <c r="E3189" s="4">
        <v>88337.441592739997</v>
      </c>
      <c r="F3189" s="4">
        <v>364079008.23016232</v>
      </c>
    </row>
    <row r="3190" spans="1:6" x14ac:dyDescent="0.3">
      <c r="A3190" s="3" t="s">
        <v>22</v>
      </c>
      <c r="B3190" s="7" t="str">
        <f>VLOOKUP(VALUE(A3190), 'DICIONÁRIO UF'!$A:$B, 2, FALSE)</f>
        <v>Rio de Janeiro</v>
      </c>
      <c r="C3190" s="3">
        <v>86009</v>
      </c>
      <c r="D3190" s="5" t="str">
        <f>VLOOKUP(C3190, 'DICIONÁRIO CNAES'!$A:$B, 2, FALSE)</f>
        <v>Atividades de atenção à saúde humana não especificadas anteriormente</v>
      </c>
      <c r="E3190" s="4">
        <v>4159.1683702800001</v>
      </c>
      <c r="F3190" s="4">
        <v>10138781.125175999</v>
      </c>
    </row>
    <row r="3191" spans="1:6" x14ac:dyDescent="0.3">
      <c r="A3191" s="3" t="s">
        <v>22</v>
      </c>
      <c r="B3191" s="7" t="str">
        <f>VLOOKUP(VALUE(A3191), 'DICIONÁRIO UF'!$A:$B, 2, FALSE)</f>
        <v>Rio de Janeiro</v>
      </c>
      <c r="C3191" s="3">
        <v>87000</v>
      </c>
      <c r="D3191" s="5" t="str">
        <f>VLOOKUP(C3191, 'DICIONÁRIO CNAES'!$A:$B, 2, FALSE)</f>
        <v>Atividades de assistência à saude humana integradas com assistencia social, inclusive prestadas em residencias</v>
      </c>
      <c r="E3191" s="4">
        <v>23276.99044587</v>
      </c>
      <c r="F3191" s="4">
        <v>49197106.930669501</v>
      </c>
    </row>
    <row r="3192" spans="1:6" x14ac:dyDescent="0.3">
      <c r="A3192" s="3" t="s">
        <v>22</v>
      </c>
      <c r="B3192" s="7" t="str">
        <f>VLOOKUP(VALUE(A3192), 'DICIONÁRIO UF'!$A:$B, 2, FALSE)</f>
        <v>Rio de Janeiro</v>
      </c>
      <c r="C3192" s="3">
        <v>88000</v>
      </c>
      <c r="D3192" s="5" t="str">
        <f>VLOOKUP(C3192, 'DICIONÁRIO CNAES'!$A:$B, 2, FALSE)</f>
        <v>Serviços de assistência social sem alojamento</v>
      </c>
      <c r="E3192" s="4">
        <v>2171.3381722200002</v>
      </c>
      <c r="F3192" s="4">
        <v>2993339.699918</v>
      </c>
    </row>
    <row r="3193" spans="1:6" x14ac:dyDescent="0.3">
      <c r="A3193" s="3" t="s">
        <v>22</v>
      </c>
      <c r="B3193" s="7" t="str">
        <f>VLOOKUP(VALUE(A3193), 'DICIONÁRIO UF'!$A:$B, 2, FALSE)</f>
        <v>Rio de Janeiro</v>
      </c>
      <c r="C3193" s="3">
        <v>90000</v>
      </c>
      <c r="D3193" s="5" t="str">
        <f>VLOOKUP(C3193, 'DICIONÁRIO CNAES'!$A:$B, 2, FALSE)</f>
        <v>Atividades artísticas, criativas e de espetáculos</v>
      </c>
      <c r="E3193" s="4">
        <v>31110.214632759998</v>
      </c>
      <c r="F3193" s="4">
        <v>103969646.25592449</v>
      </c>
    </row>
    <row r="3194" spans="1:6" x14ac:dyDescent="0.3">
      <c r="A3194" s="3" t="s">
        <v>22</v>
      </c>
      <c r="B3194" s="7" t="str">
        <f>VLOOKUP(VALUE(A3194), 'DICIONÁRIO UF'!$A:$B, 2, FALSE)</f>
        <v>Rio de Janeiro</v>
      </c>
      <c r="C3194" s="3">
        <v>91000</v>
      </c>
      <c r="D3194" s="5" t="str">
        <f>VLOOKUP(C3194, 'DICIONÁRIO CNAES'!$A:$B, 2, FALSE)</f>
        <v>Atividades ligadas ao patrimônio cultural e ambiental</v>
      </c>
      <c r="E3194" s="4">
        <v>3165.9189008799999</v>
      </c>
      <c r="F3194" s="4">
        <v>14838578.496127</v>
      </c>
    </row>
    <row r="3195" spans="1:6" x14ac:dyDescent="0.3">
      <c r="A3195" s="3" t="s">
        <v>22</v>
      </c>
      <c r="B3195" s="7" t="str">
        <f>VLOOKUP(VALUE(A3195), 'DICIONÁRIO UF'!$A:$B, 2, FALSE)</f>
        <v>Rio de Janeiro</v>
      </c>
      <c r="C3195" s="3">
        <v>92000</v>
      </c>
      <c r="D3195" s="5" t="str">
        <f>VLOOKUP(C3195, 'DICIONÁRIO CNAES'!$A:$B, 2, FALSE)</f>
        <v>Atividades de exploração de jogos de azar e apostas</v>
      </c>
      <c r="E3195" s="4">
        <v>1779.8133531799999</v>
      </c>
      <c r="F3195" s="4">
        <v>2845173.6239200002</v>
      </c>
    </row>
    <row r="3196" spans="1:6" x14ac:dyDescent="0.3">
      <c r="A3196" s="3" t="s">
        <v>22</v>
      </c>
      <c r="B3196" s="7" t="str">
        <f>VLOOKUP(VALUE(A3196), 'DICIONÁRIO UF'!$A:$B, 2, FALSE)</f>
        <v>Rio de Janeiro</v>
      </c>
      <c r="C3196" s="3">
        <v>93011</v>
      </c>
      <c r="D3196" s="5" t="str">
        <f>VLOOKUP(C3196, 'DICIONÁRIO CNAES'!$A:$B, 2, FALSE)</f>
        <v>Atividades esportivas</v>
      </c>
      <c r="E3196" s="4">
        <v>12004.169420140001</v>
      </c>
      <c r="F3196" s="4">
        <v>25802641.542078</v>
      </c>
    </row>
    <row r="3197" spans="1:6" x14ac:dyDescent="0.3">
      <c r="A3197" s="3" t="s">
        <v>22</v>
      </c>
      <c r="B3197" s="7" t="str">
        <f>VLOOKUP(VALUE(A3197), 'DICIONÁRIO UF'!$A:$B, 2, FALSE)</f>
        <v>Rio de Janeiro</v>
      </c>
      <c r="C3197" s="3">
        <v>93012</v>
      </c>
      <c r="D3197" s="5" t="str">
        <f>VLOOKUP(C3197, 'DICIONÁRIO CNAES'!$A:$B, 2, FALSE)</f>
        <v>Atividades de condicionamento físico</v>
      </c>
      <c r="E3197" s="4">
        <v>36234.052611179999</v>
      </c>
      <c r="F3197" s="4">
        <v>310367978.6638568</v>
      </c>
    </row>
    <row r="3198" spans="1:6" x14ac:dyDescent="0.3">
      <c r="A3198" s="3" t="s">
        <v>22</v>
      </c>
      <c r="B3198" s="7" t="str">
        <f>VLOOKUP(VALUE(A3198), 'DICIONÁRIO UF'!$A:$B, 2, FALSE)</f>
        <v>Rio de Janeiro</v>
      </c>
      <c r="C3198" s="3">
        <v>93020</v>
      </c>
      <c r="D3198" s="5" t="str">
        <f>VLOOKUP(C3198, 'DICIONÁRIO CNAES'!$A:$B, 2, FALSE)</f>
        <v>Atividades de recreação e lazer</v>
      </c>
      <c r="E3198" s="4">
        <v>8480.9876321299998</v>
      </c>
      <c r="F3198" s="4">
        <v>12527265.8873602</v>
      </c>
    </row>
    <row r="3199" spans="1:6" x14ac:dyDescent="0.3">
      <c r="A3199" s="3" t="s">
        <v>22</v>
      </c>
      <c r="B3199" s="7" t="str">
        <f>VLOOKUP(VALUE(A3199), 'DICIONÁRIO UF'!$A:$B, 2, FALSE)</f>
        <v>Rio de Janeiro</v>
      </c>
      <c r="C3199" s="3">
        <v>94010</v>
      </c>
      <c r="D3199" s="5" t="str">
        <f>VLOOKUP(C3199, 'DICIONÁRIO CNAES'!$A:$B, 2, FALSE)</f>
        <v>Atividades de organizações associativas patronais, empresariais e profissionais</v>
      </c>
      <c r="E3199" s="4">
        <v>3994.9355671899998</v>
      </c>
      <c r="F3199" s="4">
        <v>10528586.760723</v>
      </c>
    </row>
    <row r="3200" spans="1:6" x14ac:dyDescent="0.3">
      <c r="A3200" s="3" t="s">
        <v>22</v>
      </c>
      <c r="B3200" s="7" t="str">
        <f>VLOOKUP(VALUE(A3200), 'DICIONÁRIO UF'!$A:$B, 2, FALSE)</f>
        <v>Rio de Janeiro</v>
      </c>
      <c r="C3200" s="3">
        <v>94020</v>
      </c>
      <c r="D3200" s="5" t="str">
        <f>VLOOKUP(C3200, 'DICIONÁRIO CNAES'!$A:$B, 2, FALSE)</f>
        <v>Atividades de organizações sindicais</v>
      </c>
      <c r="E3200" s="4">
        <v>2222.8530663800002</v>
      </c>
      <c r="F3200" s="4">
        <v>6581160.6001519999</v>
      </c>
    </row>
    <row r="3201" spans="1:6" x14ac:dyDescent="0.3">
      <c r="A3201" s="3" t="s">
        <v>22</v>
      </c>
      <c r="B3201" s="7" t="str">
        <f>VLOOKUP(VALUE(A3201), 'DICIONÁRIO UF'!$A:$B, 2, FALSE)</f>
        <v>Rio de Janeiro</v>
      </c>
      <c r="C3201" s="3">
        <v>94091</v>
      </c>
      <c r="D3201" s="5" t="str">
        <f>VLOOKUP(C3201, 'DICIONÁRIO CNAES'!$A:$B, 2, FALSE)</f>
        <v>Atividades de organizações religiosas e filosóficas</v>
      </c>
      <c r="E3201" s="4">
        <v>17127.04635366</v>
      </c>
      <c r="F3201" s="4">
        <v>44220667.6276384</v>
      </c>
    </row>
    <row r="3202" spans="1:6" x14ac:dyDescent="0.3">
      <c r="A3202" s="3" t="s">
        <v>22</v>
      </c>
      <c r="B3202" s="7" t="str">
        <f>VLOOKUP(VALUE(A3202), 'DICIONÁRIO UF'!$A:$B, 2, FALSE)</f>
        <v>Rio de Janeiro</v>
      </c>
      <c r="C3202" s="3">
        <v>94099</v>
      </c>
      <c r="D3202" s="5" t="str">
        <f>VLOOKUP(C3202, 'DICIONÁRIO CNAES'!$A:$B, 2, FALSE)</f>
        <v xml:space="preserve">Outras atividades associativas não especificadas anteriormente </v>
      </c>
      <c r="E3202" s="4">
        <v>5326.6402609500001</v>
      </c>
      <c r="F3202" s="4">
        <v>25985954.363409001</v>
      </c>
    </row>
    <row r="3203" spans="1:6" x14ac:dyDescent="0.3">
      <c r="A3203" s="3" t="s">
        <v>22</v>
      </c>
      <c r="B3203" s="7" t="str">
        <f>VLOOKUP(VALUE(A3203), 'DICIONÁRIO UF'!$A:$B, 2, FALSE)</f>
        <v>Rio de Janeiro</v>
      </c>
      <c r="C3203" s="3">
        <v>95010</v>
      </c>
      <c r="D3203" s="5" t="str">
        <f>VLOOKUP(C3203, 'DICIONÁRIO CNAES'!$A:$B, 2, FALSE)</f>
        <v>Reparação e manutenção de equipamentos de informática e comunicação</v>
      </c>
      <c r="E3203" s="4">
        <v>18618.88225047</v>
      </c>
      <c r="F3203" s="4">
        <v>31618645.58453</v>
      </c>
    </row>
    <row r="3204" spans="1:6" x14ac:dyDescent="0.3">
      <c r="A3204" s="3" t="s">
        <v>22</v>
      </c>
      <c r="B3204" s="7" t="str">
        <f>VLOOKUP(VALUE(A3204), 'DICIONÁRIO UF'!$A:$B, 2, FALSE)</f>
        <v>Rio de Janeiro</v>
      </c>
      <c r="C3204" s="3">
        <v>95030</v>
      </c>
      <c r="D3204" s="5" t="str">
        <f>VLOOKUP(C3204, 'DICIONÁRIO CNAES'!$A:$B, 2, FALSE)</f>
        <v>Reparação e manutenção de objetos e equipamentos pessoais e domésticos</v>
      </c>
      <c r="E3204" s="4">
        <v>41285.908038020003</v>
      </c>
      <c r="F3204" s="4">
        <v>75427695.566102505</v>
      </c>
    </row>
    <row r="3205" spans="1:6" x14ac:dyDescent="0.3">
      <c r="A3205" s="3" t="s">
        <v>22</v>
      </c>
      <c r="B3205" s="7" t="str">
        <f>VLOOKUP(VALUE(A3205), 'DICIONÁRIO UF'!$A:$B, 2, FALSE)</f>
        <v>Rio de Janeiro</v>
      </c>
      <c r="C3205" s="3">
        <v>96010</v>
      </c>
      <c r="D3205" s="5" t="str">
        <f>VLOOKUP(C3205, 'DICIONÁRIO CNAES'!$A:$B, 2, FALSE)</f>
        <v>Lavanderias, tinturarias e toalheiros</v>
      </c>
      <c r="E3205" s="4">
        <v>4008.1311233299998</v>
      </c>
      <c r="F3205" s="4">
        <v>10777667.076226</v>
      </c>
    </row>
    <row r="3206" spans="1:6" x14ac:dyDescent="0.3">
      <c r="A3206" s="3" t="s">
        <v>22</v>
      </c>
      <c r="B3206" s="7" t="str">
        <f>VLOOKUP(VALUE(A3206), 'DICIONÁRIO UF'!$A:$B, 2, FALSE)</f>
        <v>Rio de Janeiro</v>
      </c>
      <c r="C3206" s="3">
        <v>96020</v>
      </c>
      <c r="D3206" s="5" t="str">
        <f>VLOOKUP(C3206, 'DICIONÁRIO CNAES'!$A:$B, 2, FALSE)</f>
        <v>Cabeleireiros e outras atividades de tratamento de beleza</v>
      </c>
      <c r="E3206" s="4">
        <v>273690.58710184001</v>
      </c>
      <c r="F3206" s="4">
        <v>483898550.75098979</v>
      </c>
    </row>
    <row r="3207" spans="1:6" x14ac:dyDescent="0.3">
      <c r="A3207" s="3" t="s">
        <v>22</v>
      </c>
      <c r="B3207" s="7" t="str">
        <f>VLOOKUP(VALUE(A3207), 'DICIONÁRIO UF'!$A:$B, 2, FALSE)</f>
        <v>Rio de Janeiro</v>
      </c>
      <c r="C3207" s="3">
        <v>96030</v>
      </c>
      <c r="D3207" s="5" t="str">
        <f>VLOOKUP(C3207, 'DICIONÁRIO CNAES'!$A:$B, 2, FALSE)</f>
        <v xml:space="preserve">Atividades funerárias e serviços relacionados </v>
      </c>
      <c r="E3207" s="4">
        <v>5855.5003964699999</v>
      </c>
      <c r="F3207" s="4">
        <v>10365443.008339999</v>
      </c>
    </row>
    <row r="3208" spans="1:6" x14ac:dyDescent="0.3">
      <c r="A3208" s="3" t="s">
        <v>22</v>
      </c>
      <c r="B3208" s="7" t="str">
        <f>VLOOKUP(VALUE(A3208), 'DICIONÁRIO UF'!$A:$B, 2, FALSE)</f>
        <v>Rio de Janeiro</v>
      </c>
      <c r="C3208" s="3">
        <v>96090</v>
      </c>
      <c r="D3208" s="5" t="str">
        <f>VLOOKUP(C3208, 'DICIONÁRIO CNAES'!$A:$B, 2, FALSE)</f>
        <v>Outras atividades de serviços pessoais</v>
      </c>
      <c r="E3208" s="4">
        <v>26264.383007370001</v>
      </c>
      <c r="F3208" s="4">
        <v>52955342.534108803</v>
      </c>
    </row>
    <row r="3209" spans="1:6" x14ac:dyDescent="0.3">
      <c r="A3209" s="3" t="s">
        <v>22</v>
      </c>
      <c r="B3209" s="7" t="str">
        <f>VLOOKUP(VALUE(A3209), 'DICIONÁRIO UF'!$A:$B, 2, FALSE)</f>
        <v>Rio de Janeiro</v>
      </c>
      <c r="C3209" s="3">
        <v>97000</v>
      </c>
      <c r="D3209" s="5" t="str">
        <f>VLOOKUP(C3209, 'DICIONÁRIO CNAES'!$A:$B, 2, FALSE)</f>
        <v>Serviços domésticos</v>
      </c>
      <c r="E3209" s="4">
        <v>492280.10631608998</v>
      </c>
      <c r="F3209" s="4">
        <v>520369106.59174168</v>
      </c>
    </row>
    <row r="3210" spans="1:6" x14ac:dyDescent="0.3">
      <c r="A3210" s="3" t="s">
        <v>22</v>
      </c>
      <c r="B3210" s="7" t="str">
        <f>VLOOKUP(VALUE(A3210), 'DICIONÁRIO UF'!$A:$B, 2, FALSE)</f>
        <v>Rio de Janeiro</v>
      </c>
      <c r="C3210" s="3">
        <v>99000</v>
      </c>
      <c r="D3210" s="5" t="str">
        <f>VLOOKUP(C3210, 'DICIONÁRIO CNAES'!$A:$B, 2, FALSE)</f>
        <v>Organismos internacionais e outras instituições extraterritoriais</v>
      </c>
      <c r="E3210" s="4">
        <v>490.98132156000003</v>
      </c>
      <c r="F3210" s="4">
        <v>3682359.9117000001</v>
      </c>
    </row>
    <row r="3211" spans="1:6" x14ac:dyDescent="0.3">
      <c r="A3211" s="3" t="s">
        <v>23</v>
      </c>
      <c r="B3211" s="7" t="str">
        <f>VLOOKUP(VALUE(A3211), 'DICIONÁRIO UF'!$A:$B, 2, FALSE)</f>
        <v>São Paulo</v>
      </c>
      <c r="C3211" s="3">
        <v>0</v>
      </c>
      <c r="D3211" s="5" t="str">
        <f>VLOOKUP(C3211, 'DICIONÁRIO CNAES'!$A:$B, 2, FALSE)</f>
        <v xml:space="preserve">Atividades mal definidas </v>
      </c>
      <c r="E3211" s="4">
        <v>9081.8682847199998</v>
      </c>
      <c r="F3211" s="4">
        <v>18426958.552793</v>
      </c>
    </row>
    <row r="3212" spans="1:6" x14ac:dyDescent="0.3">
      <c r="A3212" s="3" t="s">
        <v>23</v>
      </c>
      <c r="B3212" s="7" t="str">
        <f>VLOOKUP(VALUE(A3212), 'DICIONÁRIO UF'!$A:$B, 2, FALSE)</f>
        <v>São Paulo</v>
      </c>
      <c r="C3212" s="3">
        <v>1102</v>
      </c>
      <c r="D3212" s="5" t="str">
        <f>VLOOKUP(C3212, 'DICIONÁRIO CNAES'!$A:$B, 2, FALSE)</f>
        <v>Cultivo de milho</v>
      </c>
      <c r="E3212" s="4">
        <v>15560.75529929</v>
      </c>
      <c r="F3212" s="4">
        <v>27085044.240249999</v>
      </c>
    </row>
    <row r="3213" spans="1:6" x14ac:dyDescent="0.3">
      <c r="A3213" s="3" t="s">
        <v>23</v>
      </c>
      <c r="B3213" s="7" t="str">
        <f>VLOOKUP(VALUE(A3213), 'DICIONÁRIO UF'!$A:$B, 2, FALSE)</f>
        <v>São Paulo</v>
      </c>
      <c r="C3213" s="3">
        <v>1103</v>
      </c>
      <c r="D3213" s="5" t="str">
        <f>VLOOKUP(C3213, 'DICIONÁRIO CNAES'!$A:$B, 2, FALSE)</f>
        <v>Cultivo de outros cereais</v>
      </c>
      <c r="E3213" s="4">
        <v>510.84149398</v>
      </c>
      <c r="F3213" s="4">
        <v>766262.24097000004</v>
      </c>
    </row>
    <row r="3214" spans="1:6" x14ac:dyDescent="0.3">
      <c r="A3214" s="3" t="s">
        <v>23</v>
      </c>
      <c r="B3214" s="7" t="str">
        <f>VLOOKUP(VALUE(A3214), 'DICIONÁRIO UF'!$A:$B, 2, FALSE)</f>
        <v>São Paulo</v>
      </c>
      <c r="C3214" s="3">
        <v>1104</v>
      </c>
      <c r="D3214" s="5" t="str">
        <f>VLOOKUP(C3214, 'DICIONÁRIO CNAES'!$A:$B, 2, FALSE)</f>
        <v>Cultivo de algodão</v>
      </c>
      <c r="E3214" s="4">
        <v>103.95345411</v>
      </c>
      <c r="F3214" s="4">
        <v>41581.381644000001</v>
      </c>
    </row>
    <row r="3215" spans="1:6" x14ac:dyDescent="0.3">
      <c r="A3215" s="3" t="s">
        <v>23</v>
      </c>
      <c r="B3215" s="7" t="str">
        <f>VLOOKUP(VALUE(A3215), 'DICIONÁRIO UF'!$A:$B, 2, FALSE)</f>
        <v>São Paulo</v>
      </c>
      <c r="C3215" s="3">
        <v>1105</v>
      </c>
      <c r="D3215" s="5" t="str">
        <f>VLOOKUP(C3215, 'DICIONÁRIO CNAES'!$A:$B, 2, FALSE)</f>
        <v>Cultivo de cana-de-açúcar</v>
      </c>
      <c r="E3215" s="4">
        <v>76163.8705338</v>
      </c>
      <c r="F3215" s="4">
        <v>194283887.9588891</v>
      </c>
    </row>
    <row r="3216" spans="1:6" x14ac:dyDescent="0.3">
      <c r="A3216" s="3" t="s">
        <v>23</v>
      </c>
      <c r="B3216" s="7" t="str">
        <f>VLOOKUP(VALUE(A3216), 'DICIONÁRIO UF'!$A:$B, 2, FALSE)</f>
        <v>São Paulo</v>
      </c>
      <c r="C3216" s="3">
        <v>1107</v>
      </c>
      <c r="D3216" s="5" t="str">
        <f>VLOOKUP(C3216, 'DICIONÁRIO CNAES'!$A:$B, 2, FALSE)</f>
        <v>Cultivo de soja</v>
      </c>
      <c r="E3216" s="4">
        <v>14842.444292439999</v>
      </c>
      <c r="F3216" s="4">
        <v>36912873.035345502</v>
      </c>
    </row>
    <row r="3217" spans="1:6" x14ac:dyDescent="0.3">
      <c r="A3217" s="3" t="s">
        <v>23</v>
      </c>
      <c r="B3217" s="7" t="str">
        <f>VLOOKUP(VALUE(A3217), 'DICIONÁRIO UF'!$A:$B, 2, FALSE)</f>
        <v>São Paulo</v>
      </c>
      <c r="C3217" s="3">
        <v>1108</v>
      </c>
      <c r="D3217" s="5" t="str">
        <f>VLOOKUP(C3217, 'DICIONÁRIO CNAES'!$A:$B, 2, FALSE)</f>
        <v>Cultivo de mandioca</v>
      </c>
      <c r="E3217" s="4">
        <v>8673.400532489999</v>
      </c>
      <c r="F3217" s="4">
        <v>10676816.1756228</v>
      </c>
    </row>
    <row r="3218" spans="1:6" x14ac:dyDescent="0.3">
      <c r="A3218" s="3" t="s">
        <v>23</v>
      </c>
      <c r="B3218" s="7" t="str">
        <f>VLOOKUP(VALUE(A3218), 'DICIONÁRIO UF'!$A:$B, 2, FALSE)</f>
        <v>São Paulo</v>
      </c>
      <c r="C3218" s="3">
        <v>1109</v>
      </c>
      <c r="D3218" s="5" t="str">
        <f>VLOOKUP(C3218, 'DICIONÁRIO CNAES'!$A:$B, 2, FALSE)</f>
        <v>Cultivo de outras lavouras temporárias não especificadas anteriormente</v>
      </c>
      <c r="E3218" s="4">
        <v>29485.94828782</v>
      </c>
      <c r="F3218" s="4">
        <v>45022440.139712997</v>
      </c>
    </row>
    <row r="3219" spans="1:6" x14ac:dyDescent="0.3">
      <c r="A3219" s="3" t="s">
        <v>23</v>
      </c>
      <c r="B3219" s="7" t="str">
        <f>VLOOKUP(VALUE(A3219), 'DICIONÁRIO UF'!$A:$B, 2, FALSE)</f>
        <v>São Paulo</v>
      </c>
      <c r="C3219" s="3">
        <v>1110</v>
      </c>
      <c r="D3219" s="5" t="str">
        <f>VLOOKUP(C3219, 'DICIONÁRIO CNAES'!$A:$B, 2, FALSE)</f>
        <v>Horticultura</v>
      </c>
      <c r="E3219" s="4">
        <v>77109.447514240004</v>
      </c>
      <c r="F3219" s="4">
        <v>93135167.177123204</v>
      </c>
    </row>
    <row r="3220" spans="1:6" x14ac:dyDescent="0.3">
      <c r="A3220" s="3" t="s">
        <v>23</v>
      </c>
      <c r="B3220" s="7" t="str">
        <f>VLOOKUP(VALUE(A3220), 'DICIONÁRIO UF'!$A:$B, 2, FALSE)</f>
        <v>São Paulo</v>
      </c>
      <c r="C3220" s="3">
        <v>1111</v>
      </c>
      <c r="D3220" s="5" t="str">
        <f>VLOOKUP(C3220, 'DICIONÁRIO CNAES'!$A:$B, 2, FALSE)</f>
        <v>Cultivo de flores e plantas ornamentais</v>
      </c>
      <c r="E3220" s="4">
        <v>12566.176345420001</v>
      </c>
      <c r="F3220" s="4">
        <v>34078290.682909101</v>
      </c>
    </row>
    <row r="3221" spans="1:6" x14ac:dyDescent="0.3">
      <c r="A3221" s="3" t="s">
        <v>23</v>
      </c>
      <c r="B3221" s="7" t="str">
        <f>VLOOKUP(VALUE(A3221), 'DICIONÁRIO UF'!$A:$B, 2, FALSE)</f>
        <v>São Paulo</v>
      </c>
      <c r="C3221" s="3">
        <v>1112</v>
      </c>
      <c r="D3221" s="5" t="str">
        <f>VLOOKUP(C3221, 'DICIONÁRIO CNAES'!$A:$B, 2, FALSE)</f>
        <v>Cultivo de frutas cítricas</v>
      </c>
      <c r="E3221" s="4">
        <v>56071.22754842</v>
      </c>
      <c r="F3221" s="4">
        <v>87009854.499322698</v>
      </c>
    </row>
    <row r="3222" spans="1:6" x14ac:dyDescent="0.3">
      <c r="A3222" s="3" t="s">
        <v>23</v>
      </c>
      <c r="B3222" s="7" t="str">
        <f>VLOOKUP(VALUE(A3222), 'DICIONÁRIO UF'!$A:$B, 2, FALSE)</f>
        <v>São Paulo</v>
      </c>
      <c r="C3222" s="3">
        <v>1113</v>
      </c>
      <c r="D3222" s="5" t="str">
        <f>VLOOKUP(C3222, 'DICIONÁRIO CNAES'!$A:$B, 2, FALSE)</f>
        <v>Cultivo de café</v>
      </c>
      <c r="E3222" s="4">
        <v>10646.976099199999</v>
      </c>
      <c r="F3222" s="4">
        <v>23967512.189541161</v>
      </c>
    </row>
    <row r="3223" spans="1:6" x14ac:dyDescent="0.3">
      <c r="A3223" s="3" t="s">
        <v>23</v>
      </c>
      <c r="B3223" s="7" t="str">
        <f>VLOOKUP(VALUE(A3223), 'DICIONÁRIO UF'!$A:$B, 2, FALSE)</f>
        <v>São Paulo</v>
      </c>
      <c r="C3223" s="3">
        <v>1115</v>
      </c>
      <c r="D3223" s="5" t="str">
        <f>VLOOKUP(C3223, 'DICIONÁRIO CNAES'!$A:$B, 2, FALSE)</f>
        <v>Cultivo de uva</v>
      </c>
      <c r="E3223" s="4">
        <v>3745.0688399199998</v>
      </c>
      <c r="F3223" s="4">
        <v>5464959.7191150002</v>
      </c>
    </row>
    <row r="3224" spans="1:6" x14ac:dyDescent="0.3">
      <c r="A3224" s="3" t="s">
        <v>23</v>
      </c>
      <c r="B3224" s="7" t="str">
        <f>VLOOKUP(VALUE(A3224), 'DICIONÁRIO UF'!$A:$B, 2, FALSE)</f>
        <v>São Paulo</v>
      </c>
      <c r="C3224" s="3">
        <v>1116</v>
      </c>
      <c r="D3224" s="5" t="str">
        <f>VLOOKUP(C3224, 'DICIONÁRIO CNAES'!$A:$B, 2, FALSE)</f>
        <v>Cultivo de banana</v>
      </c>
      <c r="E3224" s="4">
        <v>7402.1393086999997</v>
      </c>
      <c r="F3224" s="4">
        <v>13917622.720993049</v>
      </c>
    </row>
    <row r="3225" spans="1:6" x14ac:dyDescent="0.3">
      <c r="A3225" s="3" t="s">
        <v>23</v>
      </c>
      <c r="B3225" s="7" t="str">
        <f>VLOOKUP(VALUE(A3225), 'DICIONÁRIO UF'!$A:$B, 2, FALSE)</f>
        <v>São Paulo</v>
      </c>
      <c r="C3225" s="3">
        <v>1117</v>
      </c>
      <c r="D3225" s="5" t="str">
        <f>VLOOKUP(C3225, 'DICIONÁRIO CNAES'!$A:$B, 2, FALSE)</f>
        <v>Cultivo de outras plantas e frutas de lavoura permanente não especificadas anteriormente</v>
      </c>
      <c r="E3225" s="4">
        <v>15022.357068990001</v>
      </c>
      <c r="F3225" s="4">
        <v>33689600.770182297</v>
      </c>
    </row>
    <row r="3226" spans="1:6" x14ac:dyDescent="0.3">
      <c r="A3226" s="3" t="s">
        <v>23</v>
      </c>
      <c r="B3226" s="7" t="str">
        <f>VLOOKUP(VALUE(A3226), 'DICIONÁRIO UF'!$A:$B, 2, FALSE)</f>
        <v>São Paulo</v>
      </c>
      <c r="C3226" s="3">
        <v>1118</v>
      </c>
      <c r="D3226" s="5" t="str">
        <f>VLOOKUP(C3226, 'DICIONÁRIO CNAES'!$A:$B, 2, FALSE)</f>
        <v>Produção de sementes e mudas certificadas</v>
      </c>
      <c r="E3226" s="4">
        <v>1247.5259506299999</v>
      </c>
      <c r="F3226" s="4">
        <v>11351908.61080924</v>
      </c>
    </row>
    <row r="3227" spans="1:6" x14ac:dyDescent="0.3">
      <c r="A3227" s="3" t="s">
        <v>23</v>
      </c>
      <c r="B3227" s="7" t="str">
        <f>VLOOKUP(VALUE(A3227), 'DICIONÁRIO UF'!$A:$B, 2, FALSE)</f>
        <v>São Paulo</v>
      </c>
      <c r="C3227" s="3">
        <v>1119</v>
      </c>
      <c r="D3227" s="5" t="str">
        <f>VLOOKUP(C3227, 'DICIONÁRIO CNAES'!$A:$B, 2, FALSE)</f>
        <v>Lavoura não especificada</v>
      </c>
      <c r="E3227" s="4">
        <v>4325.72508036</v>
      </c>
      <c r="F3227" s="4">
        <v>6403601.3565205</v>
      </c>
    </row>
    <row r="3228" spans="1:6" x14ac:dyDescent="0.3">
      <c r="A3228" s="3" t="s">
        <v>23</v>
      </c>
      <c r="B3228" s="7" t="str">
        <f>VLOOKUP(VALUE(A3228), 'DICIONÁRIO UF'!$A:$B, 2, FALSE)</f>
        <v>São Paulo</v>
      </c>
      <c r="C3228" s="3">
        <v>1201</v>
      </c>
      <c r="D3228" s="5" t="str">
        <f>VLOOKUP(C3228, 'DICIONÁRIO CNAES'!$A:$B, 2, FALSE)</f>
        <v>Criação de bovinos</v>
      </c>
      <c r="E3228" s="4">
        <v>103370.01443770999</v>
      </c>
      <c r="F3228" s="4">
        <v>228692086.62127709</v>
      </c>
    </row>
    <row r="3229" spans="1:6" x14ac:dyDescent="0.3">
      <c r="A3229" s="3" t="s">
        <v>23</v>
      </c>
      <c r="B3229" s="7" t="str">
        <f>VLOOKUP(VALUE(A3229), 'DICIONÁRIO UF'!$A:$B, 2, FALSE)</f>
        <v>São Paulo</v>
      </c>
      <c r="C3229" s="3">
        <v>1202</v>
      </c>
      <c r="D3229" s="5" t="str">
        <f>VLOOKUP(C3229, 'DICIONÁRIO CNAES'!$A:$B, 2, FALSE)</f>
        <v>Criação de outros animais de grande porte não especificados anteriormente</v>
      </c>
      <c r="E3229" s="4">
        <v>9501.1665419599994</v>
      </c>
      <c r="F3229" s="4">
        <v>13720320.017522819</v>
      </c>
    </row>
    <row r="3230" spans="1:6" x14ac:dyDescent="0.3">
      <c r="A3230" s="3" t="s">
        <v>23</v>
      </c>
      <c r="B3230" s="7" t="str">
        <f>VLOOKUP(VALUE(A3230), 'DICIONÁRIO UF'!$A:$B, 2, FALSE)</f>
        <v>São Paulo</v>
      </c>
      <c r="C3230" s="3">
        <v>1204</v>
      </c>
      <c r="D3230" s="5" t="str">
        <f>VLOOKUP(C3230, 'DICIONÁRIO CNAES'!$A:$B, 2, FALSE)</f>
        <v>Criação de suínos</v>
      </c>
      <c r="E3230" s="4">
        <v>4433.2875613699998</v>
      </c>
      <c r="F3230" s="4">
        <v>6292349.5833695</v>
      </c>
    </row>
    <row r="3231" spans="1:6" x14ac:dyDescent="0.3">
      <c r="A3231" s="3" t="s">
        <v>23</v>
      </c>
      <c r="B3231" s="7" t="str">
        <f>VLOOKUP(VALUE(A3231), 'DICIONÁRIO UF'!$A:$B, 2, FALSE)</f>
        <v>São Paulo</v>
      </c>
      <c r="C3231" s="3">
        <v>1205</v>
      </c>
      <c r="D3231" s="5" t="str">
        <f>VLOOKUP(C3231, 'DICIONÁRIO CNAES'!$A:$B, 2, FALSE)</f>
        <v>Criação de aves</v>
      </c>
      <c r="E3231" s="4">
        <v>36682.691691519998</v>
      </c>
      <c r="F3231" s="4">
        <v>64947374.513139248</v>
      </c>
    </row>
    <row r="3232" spans="1:6" x14ac:dyDescent="0.3">
      <c r="A3232" s="3" t="s">
        <v>23</v>
      </c>
      <c r="B3232" s="7" t="str">
        <f>VLOOKUP(VALUE(A3232), 'DICIONÁRIO UF'!$A:$B, 2, FALSE)</f>
        <v>São Paulo</v>
      </c>
      <c r="C3232" s="3">
        <v>1206</v>
      </c>
      <c r="D3232" s="5" t="str">
        <f>VLOOKUP(C3232, 'DICIONÁRIO CNAES'!$A:$B, 2, FALSE)</f>
        <v>Apicultura</v>
      </c>
      <c r="E3232" s="4">
        <v>2514.1885884500002</v>
      </c>
      <c r="F3232" s="4">
        <v>2765607.4472949998</v>
      </c>
    </row>
    <row r="3233" spans="1:6" x14ac:dyDescent="0.3">
      <c r="A3233" s="3" t="s">
        <v>23</v>
      </c>
      <c r="B3233" s="7" t="str">
        <f>VLOOKUP(VALUE(A3233), 'DICIONÁRIO UF'!$A:$B, 2, FALSE)</f>
        <v>São Paulo</v>
      </c>
      <c r="C3233" s="3">
        <v>1208</v>
      </c>
      <c r="D3233" s="5" t="str">
        <f>VLOOKUP(C3233, 'DICIONÁRIO CNAES'!$A:$B, 2, FALSE)</f>
        <v xml:space="preserve">Criação de outros animais não especificados anteriormente </v>
      </c>
      <c r="E3233" s="4">
        <v>1351.46165836</v>
      </c>
      <c r="F3233" s="4">
        <v>135146.165836</v>
      </c>
    </row>
    <row r="3234" spans="1:6" x14ac:dyDescent="0.3">
      <c r="A3234" s="3" t="s">
        <v>23</v>
      </c>
      <c r="B3234" s="7" t="str">
        <f>VLOOKUP(VALUE(A3234), 'DICIONÁRIO UF'!$A:$B, 2, FALSE)</f>
        <v>São Paulo</v>
      </c>
      <c r="C3234" s="3">
        <v>1209</v>
      </c>
      <c r="D3234" s="5" t="str">
        <f>VLOOKUP(C3234, 'DICIONÁRIO CNAES'!$A:$B, 2, FALSE)</f>
        <v>Pecuária não especificada</v>
      </c>
      <c r="E3234" s="4">
        <v>291.85456737999999</v>
      </c>
      <c r="F3234" s="4">
        <v>635397.31898400001</v>
      </c>
    </row>
    <row r="3235" spans="1:6" x14ac:dyDescent="0.3">
      <c r="A3235" s="3" t="s">
        <v>23</v>
      </c>
      <c r="B3235" s="7" t="str">
        <f>VLOOKUP(VALUE(A3235), 'DICIONÁRIO UF'!$A:$B, 2, FALSE)</f>
        <v>São Paulo</v>
      </c>
      <c r="C3235" s="3">
        <v>1401</v>
      </c>
      <c r="D3235" s="5" t="str">
        <f>VLOOKUP(C3235, 'DICIONÁRIO CNAES'!$A:$B, 2, FALSE)</f>
        <v>Atividades de apoio à agricultura e pós-colheita</v>
      </c>
      <c r="E3235" s="4">
        <v>26537.740230110001</v>
      </c>
      <c r="F3235" s="4">
        <v>75022250.928205594</v>
      </c>
    </row>
    <row r="3236" spans="1:6" x14ac:dyDescent="0.3">
      <c r="A3236" s="3" t="s">
        <v>23</v>
      </c>
      <c r="B3236" s="7" t="str">
        <f>VLOOKUP(VALUE(A3236), 'DICIONÁRIO UF'!$A:$B, 2, FALSE)</f>
        <v>São Paulo</v>
      </c>
      <c r="C3236" s="3">
        <v>1402</v>
      </c>
      <c r="D3236" s="5" t="str">
        <f>VLOOKUP(C3236, 'DICIONÁRIO CNAES'!$A:$B, 2, FALSE)</f>
        <v xml:space="preserve">Atividades de apoio à pecuária </v>
      </c>
      <c r="E3236" s="4">
        <v>4368.8550764299998</v>
      </c>
      <c r="F3236" s="4">
        <v>5975593.5133683998</v>
      </c>
    </row>
    <row r="3237" spans="1:6" x14ac:dyDescent="0.3">
      <c r="A3237" s="3" t="s">
        <v>23</v>
      </c>
      <c r="B3237" s="7" t="str">
        <f>VLOOKUP(VALUE(A3237), 'DICIONÁRIO UF'!$A:$B, 2, FALSE)</f>
        <v>São Paulo</v>
      </c>
      <c r="C3237" s="3">
        <v>2000</v>
      </c>
      <c r="D3237" s="5" t="str">
        <f>VLOOKUP(C3237, 'DICIONÁRIO CNAES'!$A:$B, 2, FALSE)</f>
        <v xml:space="preserve">Produção florestal </v>
      </c>
      <c r="E3237" s="4">
        <v>52714.292924870002</v>
      </c>
      <c r="F3237" s="4">
        <v>97004765.939861596</v>
      </c>
    </row>
    <row r="3238" spans="1:6" x14ac:dyDescent="0.3">
      <c r="A3238" s="3" t="s">
        <v>23</v>
      </c>
      <c r="B3238" s="7" t="str">
        <f>VLOOKUP(VALUE(A3238), 'DICIONÁRIO UF'!$A:$B, 2, FALSE)</f>
        <v>São Paulo</v>
      </c>
      <c r="C3238" s="3">
        <v>3001</v>
      </c>
      <c r="D3238" s="5" t="str">
        <f>VLOOKUP(C3238, 'DICIONÁRIO CNAES'!$A:$B, 2, FALSE)</f>
        <v>Pesca</v>
      </c>
      <c r="E3238" s="4">
        <v>4420.6352499200002</v>
      </c>
      <c r="F3238" s="4">
        <v>6379355.3169090003</v>
      </c>
    </row>
    <row r="3239" spans="1:6" x14ac:dyDescent="0.3">
      <c r="A3239" s="3" t="s">
        <v>23</v>
      </c>
      <c r="B3239" s="7" t="str">
        <f>VLOOKUP(VALUE(A3239), 'DICIONÁRIO UF'!$A:$B, 2, FALSE)</f>
        <v>São Paulo</v>
      </c>
      <c r="C3239" s="3">
        <v>3002</v>
      </c>
      <c r="D3239" s="5" t="str">
        <f>VLOOKUP(C3239, 'DICIONÁRIO CNAES'!$A:$B, 2, FALSE)</f>
        <v>Aqüicultura</v>
      </c>
      <c r="E3239" s="4">
        <v>6552.4945886400001</v>
      </c>
      <c r="F3239" s="4">
        <v>6847036.125806001</v>
      </c>
    </row>
    <row r="3240" spans="1:6" x14ac:dyDescent="0.3">
      <c r="A3240" s="3" t="s">
        <v>23</v>
      </c>
      <c r="B3240" s="7" t="str">
        <f>VLOOKUP(VALUE(A3240), 'DICIONÁRIO UF'!$A:$B, 2, FALSE)</f>
        <v>São Paulo</v>
      </c>
      <c r="C3240" s="3">
        <v>5000</v>
      </c>
      <c r="D3240" s="5" t="str">
        <f>VLOOKUP(C3240, 'DICIONÁRIO CNAES'!$A:$B, 2, FALSE)</f>
        <v>Extração de carvão mineral</v>
      </c>
      <c r="E3240" s="4">
        <v>133.06119713999999</v>
      </c>
      <c r="F3240" s="4">
        <v>1064489.57712</v>
      </c>
    </row>
    <row r="3241" spans="1:6" x14ac:dyDescent="0.3">
      <c r="A3241" s="3" t="s">
        <v>23</v>
      </c>
      <c r="B3241" s="7" t="str">
        <f>VLOOKUP(VALUE(A3241), 'DICIONÁRIO UF'!$A:$B, 2, FALSE)</f>
        <v>São Paulo</v>
      </c>
      <c r="C3241" s="3">
        <v>6000</v>
      </c>
      <c r="D3241" s="5" t="str">
        <f>VLOOKUP(C3241, 'DICIONÁRIO CNAES'!$A:$B, 2, FALSE)</f>
        <v xml:space="preserve">Extração de petróleo e gás natural </v>
      </c>
      <c r="E3241" s="4">
        <v>9915.4128973700008</v>
      </c>
      <c r="F3241" s="4">
        <v>99129746.527064994</v>
      </c>
    </row>
    <row r="3242" spans="1:6" x14ac:dyDescent="0.3">
      <c r="A3242" s="3" t="s">
        <v>23</v>
      </c>
      <c r="B3242" s="7" t="str">
        <f>VLOOKUP(VALUE(A3242), 'DICIONÁRIO UF'!$A:$B, 2, FALSE)</f>
        <v>São Paulo</v>
      </c>
      <c r="C3242" s="3">
        <v>7002</v>
      </c>
      <c r="D3242" s="5" t="str">
        <f>VLOOKUP(C3242, 'DICIONÁRIO CNAES'!$A:$B, 2, FALSE)</f>
        <v xml:space="preserve">Extração de minerais metálicos não especificados anteriormente </v>
      </c>
      <c r="E3242" s="4">
        <v>1062.5073161099999</v>
      </c>
      <c r="F3242" s="4">
        <v>1878241.1832999999</v>
      </c>
    </row>
    <row r="3243" spans="1:6" x14ac:dyDescent="0.3">
      <c r="A3243" s="3" t="s">
        <v>23</v>
      </c>
      <c r="B3243" s="7" t="str">
        <f>VLOOKUP(VALUE(A3243), 'DICIONÁRIO UF'!$A:$B, 2, FALSE)</f>
        <v>São Paulo</v>
      </c>
      <c r="C3243" s="3">
        <v>8001</v>
      </c>
      <c r="D3243" s="5" t="str">
        <f>VLOOKUP(C3243, 'DICIONÁRIO CNAES'!$A:$B, 2, FALSE)</f>
        <v>Extração de pedras, areia e argila</v>
      </c>
      <c r="E3243" s="4">
        <v>8660.0084389700005</v>
      </c>
      <c r="F3243" s="4">
        <v>40744326.584710002</v>
      </c>
    </row>
    <row r="3244" spans="1:6" x14ac:dyDescent="0.3">
      <c r="A3244" s="3" t="s">
        <v>23</v>
      </c>
      <c r="B3244" s="7" t="str">
        <f>VLOOKUP(VALUE(A3244), 'DICIONÁRIO UF'!$A:$B, 2, FALSE)</f>
        <v>São Paulo</v>
      </c>
      <c r="C3244" s="3">
        <v>8002</v>
      </c>
      <c r="D3244" s="5" t="str">
        <f>VLOOKUP(C3244, 'DICIONÁRIO CNAES'!$A:$B, 2, FALSE)</f>
        <v>Extração de gemas (pedras preciosas e semi-preciosas)</v>
      </c>
      <c r="E3244" s="4">
        <v>711.19745</v>
      </c>
      <c r="F3244" s="4">
        <v>1031236.3025</v>
      </c>
    </row>
    <row r="3245" spans="1:6" x14ac:dyDescent="0.3">
      <c r="A3245" s="3" t="s">
        <v>23</v>
      </c>
      <c r="B3245" s="7" t="str">
        <f>VLOOKUP(VALUE(A3245), 'DICIONÁRIO UF'!$A:$B, 2, FALSE)</f>
        <v>São Paulo</v>
      </c>
      <c r="C3245" s="3">
        <v>8009</v>
      </c>
      <c r="D3245" s="5" t="str">
        <f>VLOOKUP(C3245, 'DICIONÁRIO CNAES'!$A:$B, 2, FALSE)</f>
        <v xml:space="preserve">Extração de minerais não metálicos não especificados anteriormente </v>
      </c>
      <c r="E3245" s="4">
        <v>232.87256944999999</v>
      </c>
      <c r="F3245" s="4">
        <v>139723.54167000001</v>
      </c>
    </row>
    <row r="3246" spans="1:6" x14ac:dyDescent="0.3">
      <c r="A3246" s="3" t="s">
        <v>23</v>
      </c>
      <c r="B3246" s="7" t="str">
        <f>VLOOKUP(VALUE(A3246), 'DICIONÁRIO UF'!$A:$B, 2, FALSE)</f>
        <v>São Paulo</v>
      </c>
      <c r="C3246" s="3">
        <v>9000</v>
      </c>
      <c r="D3246" s="5" t="str">
        <f>VLOOKUP(C3246, 'DICIONÁRIO CNAES'!$A:$B, 2, FALSE)</f>
        <v>Atividades de apoio à extração de minerais</v>
      </c>
      <c r="E3246" s="4">
        <v>2125.5590843800001</v>
      </c>
      <c r="F3246" s="4">
        <v>6376677.2531400006</v>
      </c>
    </row>
    <row r="3247" spans="1:6" x14ac:dyDescent="0.3">
      <c r="A3247" s="3" t="s">
        <v>23</v>
      </c>
      <c r="B3247" s="7" t="str">
        <f>VLOOKUP(VALUE(A3247), 'DICIONÁRIO UF'!$A:$B, 2, FALSE)</f>
        <v>São Paulo</v>
      </c>
      <c r="C3247" s="3">
        <v>10010</v>
      </c>
      <c r="D3247" s="5" t="str">
        <f>VLOOKUP(C3247, 'DICIONÁRIO CNAES'!$A:$B, 2, FALSE)</f>
        <v xml:space="preserve">Abate e fabricação de produtos de carne e pescado </v>
      </c>
      <c r="E3247" s="4">
        <v>55967.282407840001</v>
      </c>
      <c r="F3247" s="4">
        <v>123184665.5674473</v>
      </c>
    </row>
    <row r="3248" spans="1:6" x14ac:dyDescent="0.3">
      <c r="A3248" s="3" t="s">
        <v>23</v>
      </c>
      <c r="B3248" s="7" t="str">
        <f>VLOOKUP(VALUE(A3248), 'DICIONÁRIO UF'!$A:$B, 2, FALSE)</f>
        <v>São Paulo</v>
      </c>
      <c r="C3248" s="3">
        <v>10021</v>
      </c>
      <c r="D3248" s="5" t="str">
        <f>VLOOKUP(C3248, 'DICIONÁRIO CNAES'!$A:$B, 2, FALSE)</f>
        <v>Fabricação de conservas de frutas, legumes e outros vegetais</v>
      </c>
      <c r="E3248" s="4">
        <v>25032.087779760001</v>
      </c>
      <c r="F3248" s="4">
        <v>53479883.8675984</v>
      </c>
    </row>
    <row r="3249" spans="1:6" x14ac:dyDescent="0.3">
      <c r="A3249" s="3" t="s">
        <v>23</v>
      </c>
      <c r="B3249" s="7" t="str">
        <f>VLOOKUP(VALUE(A3249), 'DICIONÁRIO UF'!$A:$B, 2, FALSE)</f>
        <v>São Paulo</v>
      </c>
      <c r="C3249" s="3">
        <v>10022</v>
      </c>
      <c r="D3249" s="5" t="str">
        <f>VLOOKUP(C3249, 'DICIONÁRIO CNAES'!$A:$B, 2, FALSE)</f>
        <v>Fabricação de óleos vegetais e gorduras vegetais e animais</v>
      </c>
      <c r="E3249" s="4">
        <v>9931.5292464199993</v>
      </c>
      <c r="F3249" s="4">
        <v>20017721.4262596</v>
      </c>
    </row>
    <row r="3250" spans="1:6" x14ac:dyDescent="0.3">
      <c r="A3250" s="3" t="s">
        <v>23</v>
      </c>
      <c r="B3250" s="7" t="str">
        <f>VLOOKUP(VALUE(A3250), 'DICIONÁRIO UF'!$A:$B, 2, FALSE)</f>
        <v>São Paulo</v>
      </c>
      <c r="C3250" s="3">
        <v>10030</v>
      </c>
      <c r="D3250" s="5" t="str">
        <f>VLOOKUP(C3250, 'DICIONÁRIO CNAES'!$A:$B, 2, FALSE)</f>
        <v>Laticínios</v>
      </c>
      <c r="E3250" s="4">
        <v>33963.13869295</v>
      </c>
      <c r="F3250" s="4">
        <v>156932368.5062865</v>
      </c>
    </row>
    <row r="3251" spans="1:6" x14ac:dyDescent="0.3">
      <c r="A3251" s="3" t="s">
        <v>23</v>
      </c>
      <c r="B3251" s="7" t="str">
        <f>VLOOKUP(VALUE(A3251), 'DICIONÁRIO UF'!$A:$B, 2, FALSE)</f>
        <v>São Paulo</v>
      </c>
      <c r="C3251" s="3">
        <v>10091</v>
      </c>
      <c r="D3251" s="5" t="str">
        <f>VLOOKUP(C3251, 'DICIONÁRIO CNAES'!$A:$B, 2, FALSE)</f>
        <v>Moagem, fabricação de produtos amiláceos e de alimentos para animais</v>
      </c>
      <c r="E3251" s="4">
        <v>48739.570517740001</v>
      </c>
      <c r="F3251" s="4">
        <v>121462299.4653022</v>
      </c>
    </row>
    <row r="3252" spans="1:6" x14ac:dyDescent="0.3">
      <c r="A3252" s="3" t="s">
        <v>23</v>
      </c>
      <c r="B3252" s="7" t="str">
        <f>VLOOKUP(VALUE(A3252), 'DICIONÁRIO UF'!$A:$B, 2, FALSE)</f>
        <v>São Paulo</v>
      </c>
      <c r="C3252" s="3">
        <v>10092</v>
      </c>
      <c r="D3252" s="5" t="str">
        <f>VLOOKUP(C3252, 'DICIONÁRIO CNAES'!$A:$B, 2, FALSE)</f>
        <v>Fabricação e refino do açúcar</v>
      </c>
      <c r="E3252" s="4">
        <v>51401.973879639998</v>
      </c>
      <c r="F3252" s="4">
        <v>188778771.0279485</v>
      </c>
    </row>
    <row r="3253" spans="1:6" x14ac:dyDescent="0.3">
      <c r="A3253" s="3" t="s">
        <v>23</v>
      </c>
      <c r="B3253" s="7" t="str">
        <f>VLOOKUP(VALUE(A3253), 'DICIONÁRIO UF'!$A:$B, 2, FALSE)</f>
        <v>São Paulo</v>
      </c>
      <c r="C3253" s="3">
        <v>10093</v>
      </c>
      <c r="D3253" s="5" t="str">
        <f>VLOOKUP(C3253, 'DICIONÁRIO CNAES'!$A:$B, 2, FALSE)</f>
        <v>Torrefação e moagem de café</v>
      </c>
      <c r="E3253" s="4">
        <v>4386.9773479300002</v>
      </c>
      <c r="F3253" s="4">
        <v>32643576.838454999</v>
      </c>
    </row>
    <row r="3254" spans="1:6" x14ac:dyDescent="0.3">
      <c r="A3254" s="3" t="s">
        <v>23</v>
      </c>
      <c r="B3254" s="7" t="str">
        <f>VLOOKUP(VALUE(A3254), 'DICIONÁRIO UF'!$A:$B, 2, FALSE)</f>
        <v>São Paulo</v>
      </c>
      <c r="C3254" s="3">
        <v>10099</v>
      </c>
      <c r="D3254" s="5" t="str">
        <f>VLOOKUP(C3254, 'DICIONÁRIO CNAES'!$A:$B, 2, FALSE)</f>
        <v>Fabricação de outros produtos alimentícios</v>
      </c>
      <c r="E3254" s="4">
        <v>128045.64537244001</v>
      </c>
      <c r="F3254" s="4">
        <v>308275027.23468637</v>
      </c>
    </row>
    <row r="3255" spans="1:6" x14ac:dyDescent="0.3">
      <c r="A3255" s="3" t="s">
        <v>23</v>
      </c>
      <c r="B3255" s="7" t="str">
        <f>VLOOKUP(VALUE(A3255), 'DICIONÁRIO UF'!$A:$B, 2, FALSE)</f>
        <v>São Paulo</v>
      </c>
      <c r="C3255" s="3">
        <v>11000</v>
      </c>
      <c r="D3255" s="5" t="str">
        <f>VLOOKUP(C3255, 'DICIONÁRIO CNAES'!$A:$B, 2, FALSE)</f>
        <v>Fabricação de bebidas</v>
      </c>
      <c r="E3255" s="4">
        <v>47265.105406629998</v>
      </c>
      <c r="F3255" s="4">
        <v>150229936.21131659</v>
      </c>
    </row>
    <row r="3256" spans="1:6" x14ac:dyDescent="0.3">
      <c r="A3256" s="3" t="s">
        <v>23</v>
      </c>
      <c r="B3256" s="7" t="str">
        <f>VLOOKUP(VALUE(A3256), 'DICIONÁRIO UF'!$A:$B, 2, FALSE)</f>
        <v>São Paulo</v>
      </c>
      <c r="C3256" s="3">
        <v>12000</v>
      </c>
      <c r="D3256" s="5" t="str">
        <f>VLOOKUP(C3256, 'DICIONÁRIO CNAES'!$A:$B, 2, FALSE)</f>
        <v>Processamento industrial e fabricação de produtos do fumo</v>
      </c>
      <c r="E3256" s="4">
        <v>6118.8085270299998</v>
      </c>
      <c r="F3256" s="4">
        <v>28040965.170789</v>
      </c>
    </row>
    <row r="3257" spans="1:6" x14ac:dyDescent="0.3">
      <c r="A3257" s="3" t="s">
        <v>23</v>
      </c>
      <c r="B3257" s="7" t="str">
        <f>VLOOKUP(VALUE(A3257), 'DICIONÁRIO UF'!$A:$B, 2, FALSE)</f>
        <v>São Paulo</v>
      </c>
      <c r="C3257" s="3">
        <v>13001</v>
      </c>
      <c r="D3257" s="5" t="str">
        <f>VLOOKUP(C3257, 'DICIONÁRIO CNAES'!$A:$B, 2, FALSE)</f>
        <v>Preparação de fibras, fiação e tecelagem</v>
      </c>
      <c r="E3257" s="4">
        <v>81450.060778569998</v>
      </c>
      <c r="F3257" s="4">
        <v>129389050.08260059</v>
      </c>
    </row>
    <row r="3258" spans="1:6" x14ac:dyDescent="0.3">
      <c r="A3258" s="3" t="s">
        <v>23</v>
      </c>
      <c r="B3258" s="7" t="str">
        <f>VLOOKUP(VALUE(A3258), 'DICIONÁRIO UF'!$A:$B, 2, FALSE)</f>
        <v>São Paulo</v>
      </c>
      <c r="C3258" s="3">
        <v>13002</v>
      </c>
      <c r="D3258" s="5" t="str">
        <f>VLOOKUP(C3258, 'DICIONÁRIO CNAES'!$A:$B, 2, FALSE)</f>
        <v>Fabricação de artefatos têxteis, exceto vestuário</v>
      </c>
      <c r="E3258" s="4">
        <v>86309.769441380005</v>
      </c>
      <c r="F3258" s="4">
        <v>112993287.2602433</v>
      </c>
    </row>
    <row r="3259" spans="1:6" x14ac:dyDescent="0.3">
      <c r="A3259" s="3" t="s">
        <v>23</v>
      </c>
      <c r="B3259" s="7" t="str">
        <f>VLOOKUP(VALUE(A3259), 'DICIONÁRIO UF'!$A:$B, 2, FALSE)</f>
        <v>São Paulo</v>
      </c>
      <c r="C3259" s="3">
        <v>14001</v>
      </c>
      <c r="D3259" s="5" t="str">
        <f>VLOOKUP(C3259, 'DICIONÁRIO CNAES'!$A:$B, 2, FALSE)</f>
        <v>Confecção de artigos do vestuário e acessórios, exceto sob medida</v>
      </c>
      <c r="E3259" s="4">
        <v>213513.99903951</v>
      </c>
      <c r="F3259" s="4">
        <v>358132779.73128182</v>
      </c>
    </row>
    <row r="3260" spans="1:6" x14ac:dyDescent="0.3">
      <c r="A3260" s="3" t="s">
        <v>23</v>
      </c>
      <c r="B3260" s="7" t="str">
        <f>VLOOKUP(VALUE(A3260), 'DICIONÁRIO UF'!$A:$B, 2, FALSE)</f>
        <v>São Paulo</v>
      </c>
      <c r="C3260" s="3">
        <v>14002</v>
      </c>
      <c r="D3260" s="5" t="str">
        <f>VLOOKUP(C3260, 'DICIONÁRIO CNAES'!$A:$B, 2, FALSE)</f>
        <v>Confecção, sob medida, de artigos do vestuário</v>
      </c>
      <c r="E3260" s="4">
        <v>161921.5773761</v>
      </c>
      <c r="F3260" s="4">
        <v>202766050.41820061</v>
      </c>
    </row>
    <row r="3261" spans="1:6" x14ac:dyDescent="0.3">
      <c r="A3261" s="3" t="s">
        <v>23</v>
      </c>
      <c r="B3261" s="7" t="str">
        <f>VLOOKUP(VALUE(A3261), 'DICIONÁRIO UF'!$A:$B, 2, FALSE)</f>
        <v>São Paulo</v>
      </c>
      <c r="C3261" s="3">
        <v>15011</v>
      </c>
      <c r="D3261" s="5" t="str">
        <f>VLOOKUP(C3261, 'DICIONÁRIO CNAES'!$A:$B, 2, FALSE)</f>
        <v>Curtimento e outras preparações de couro</v>
      </c>
      <c r="E3261" s="4">
        <v>11370.1016509</v>
      </c>
      <c r="F3261" s="4">
        <v>20474429.248034</v>
      </c>
    </row>
    <row r="3262" spans="1:6" x14ac:dyDescent="0.3">
      <c r="A3262" s="3" t="s">
        <v>23</v>
      </c>
      <c r="B3262" s="7" t="str">
        <f>VLOOKUP(VALUE(A3262), 'DICIONÁRIO UF'!$A:$B, 2, FALSE)</f>
        <v>São Paulo</v>
      </c>
      <c r="C3262" s="3">
        <v>15012</v>
      </c>
      <c r="D3262" s="5" t="str">
        <f>VLOOKUP(C3262, 'DICIONÁRIO CNAES'!$A:$B, 2, FALSE)</f>
        <v>Fabricação de artigos de viagem e de artefatos diversos de couro</v>
      </c>
      <c r="E3262" s="4">
        <v>10512.497120829999</v>
      </c>
      <c r="F3262" s="4">
        <v>29777717.160411</v>
      </c>
    </row>
    <row r="3263" spans="1:6" x14ac:dyDescent="0.3">
      <c r="A3263" s="3" t="s">
        <v>23</v>
      </c>
      <c r="B3263" s="7" t="str">
        <f>VLOOKUP(VALUE(A3263), 'DICIONÁRIO UF'!$A:$B, 2, FALSE)</f>
        <v>São Paulo</v>
      </c>
      <c r="C3263" s="3">
        <v>15020</v>
      </c>
      <c r="D3263" s="5" t="str">
        <f>VLOOKUP(C3263, 'DICIONÁRIO CNAES'!$A:$B, 2, FALSE)</f>
        <v>Fabricação de calçados e partes para calçados, de qualquer material</v>
      </c>
      <c r="E3263" s="4">
        <v>64319.301413699999</v>
      </c>
      <c r="F3263" s="4">
        <v>118228769.7540836</v>
      </c>
    </row>
    <row r="3264" spans="1:6" x14ac:dyDescent="0.3">
      <c r="A3264" s="3" t="s">
        <v>23</v>
      </c>
      <c r="B3264" s="7" t="str">
        <f>VLOOKUP(VALUE(A3264), 'DICIONÁRIO UF'!$A:$B, 2, FALSE)</f>
        <v>São Paulo</v>
      </c>
      <c r="C3264" s="3">
        <v>16001</v>
      </c>
      <c r="D3264" s="5" t="str">
        <f>VLOOKUP(C3264, 'DICIONÁRIO CNAES'!$A:$B, 2, FALSE)</f>
        <v>Serrarias</v>
      </c>
      <c r="E3264" s="4">
        <v>20923.48721367</v>
      </c>
      <c r="F3264" s="4">
        <v>31518715.928155102</v>
      </c>
    </row>
    <row r="3265" spans="1:6" x14ac:dyDescent="0.3">
      <c r="A3265" s="3" t="s">
        <v>23</v>
      </c>
      <c r="B3265" s="7" t="str">
        <f>VLOOKUP(VALUE(A3265), 'DICIONÁRIO UF'!$A:$B, 2, FALSE)</f>
        <v>São Paulo</v>
      </c>
      <c r="C3265" s="3">
        <v>16002</v>
      </c>
      <c r="D3265" s="5" t="str">
        <f>VLOOKUP(C3265, 'DICIONÁRIO CNAES'!$A:$B, 2, FALSE)</f>
        <v>Fabricação de produtos de madeira, cortiça e material trançado, exceto móveis</v>
      </c>
      <c r="E3265" s="4">
        <v>46816.323135639999</v>
      </c>
      <c r="F3265" s="4">
        <v>75620346.929903254</v>
      </c>
    </row>
    <row r="3266" spans="1:6" x14ac:dyDescent="0.3">
      <c r="A3266" s="3" t="s">
        <v>23</v>
      </c>
      <c r="B3266" s="7" t="str">
        <f>VLOOKUP(VALUE(A3266), 'DICIONÁRIO UF'!$A:$B, 2, FALSE)</f>
        <v>São Paulo</v>
      </c>
      <c r="C3266" s="3">
        <v>17001</v>
      </c>
      <c r="D3266" s="5" t="str">
        <f>VLOOKUP(C3266, 'DICIONÁRIO CNAES'!$A:$B, 2, FALSE)</f>
        <v>Fabricação de celulose, papel, cartolina e papel-cartão</v>
      </c>
      <c r="E3266" s="4">
        <v>16718.192730539999</v>
      </c>
      <c r="F3266" s="4">
        <v>80453816.389656007</v>
      </c>
    </row>
    <row r="3267" spans="1:6" x14ac:dyDescent="0.3">
      <c r="A3267" s="3" t="s">
        <v>23</v>
      </c>
      <c r="B3267" s="7" t="str">
        <f>VLOOKUP(VALUE(A3267), 'DICIONÁRIO UF'!$A:$B, 2, FALSE)</f>
        <v>São Paulo</v>
      </c>
      <c r="C3267" s="3">
        <v>17002</v>
      </c>
      <c r="D3267" s="5" t="str">
        <f>VLOOKUP(C3267, 'DICIONÁRIO CNAES'!$A:$B, 2, FALSE)</f>
        <v>Fabricação de embalagens e de produtos diversos de papel, cartolina, papel-cartão e papelão ondulado</v>
      </c>
      <c r="E3267" s="4">
        <v>66052.002683219995</v>
      </c>
      <c r="F3267" s="4">
        <v>258337927.96981129</v>
      </c>
    </row>
    <row r="3268" spans="1:6" x14ac:dyDescent="0.3">
      <c r="A3268" s="3" t="s">
        <v>23</v>
      </c>
      <c r="B3268" s="7" t="str">
        <f>VLOOKUP(VALUE(A3268), 'DICIONÁRIO UF'!$A:$B, 2, FALSE)</f>
        <v>São Paulo</v>
      </c>
      <c r="C3268" s="3">
        <v>18000</v>
      </c>
      <c r="D3268" s="5" t="str">
        <f>VLOOKUP(C3268, 'DICIONÁRIO CNAES'!$A:$B, 2, FALSE)</f>
        <v>Impressão e reprodução de gravações</v>
      </c>
      <c r="E3268" s="4">
        <v>103543.67671571</v>
      </c>
      <c r="F3268" s="4">
        <v>206337518.19445831</v>
      </c>
    </row>
    <row r="3269" spans="1:6" x14ac:dyDescent="0.3">
      <c r="A3269" s="3" t="s">
        <v>23</v>
      </c>
      <c r="B3269" s="7" t="str">
        <f>VLOOKUP(VALUE(A3269), 'DICIONÁRIO UF'!$A:$B, 2, FALSE)</f>
        <v>São Paulo</v>
      </c>
      <c r="C3269" s="3">
        <v>19020</v>
      </c>
      <c r="D3269" s="5" t="str">
        <f>VLOOKUP(C3269, 'DICIONÁRIO CNAES'!$A:$B, 2, FALSE)</f>
        <v>Fabricação de produtos derivados do petróleo</v>
      </c>
      <c r="E3269" s="4">
        <v>5712.41615585</v>
      </c>
      <c r="F3269" s="4">
        <v>27036327.652380999</v>
      </c>
    </row>
    <row r="3270" spans="1:6" x14ac:dyDescent="0.3">
      <c r="A3270" s="3" t="s">
        <v>23</v>
      </c>
      <c r="B3270" s="7" t="str">
        <f>VLOOKUP(VALUE(A3270), 'DICIONÁRIO UF'!$A:$B, 2, FALSE)</f>
        <v>São Paulo</v>
      </c>
      <c r="C3270" s="3">
        <v>19030</v>
      </c>
      <c r="D3270" s="5" t="str">
        <f>VLOOKUP(C3270, 'DICIONÁRIO CNAES'!$A:$B, 2, FALSE)</f>
        <v>Produção de biocombustíveis</v>
      </c>
      <c r="E3270" s="4">
        <v>71778.464535999999</v>
      </c>
      <c r="F3270" s="4">
        <v>198261596.40967241</v>
      </c>
    </row>
    <row r="3271" spans="1:6" x14ac:dyDescent="0.3">
      <c r="A3271" s="3" t="s">
        <v>23</v>
      </c>
      <c r="B3271" s="7" t="str">
        <f>VLOOKUP(VALUE(A3271), 'DICIONÁRIO UF'!$A:$B, 2, FALSE)</f>
        <v>São Paulo</v>
      </c>
      <c r="C3271" s="3">
        <v>20010</v>
      </c>
      <c r="D3271" s="5" t="str">
        <f>VLOOKUP(C3271, 'DICIONÁRIO CNAES'!$A:$B, 2, FALSE)</f>
        <v>Fabricação de tintas, vernizes, esmaltes, lacas e produtos afins</v>
      </c>
      <c r="E3271" s="4">
        <v>21791.550962509998</v>
      </c>
      <c r="F3271" s="4">
        <v>89663694.762918606</v>
      </c>
    </row>
    <row r="3272" spans="1:6" x14ac:dyDescent="0.3">
      <c r="A3272" s="3" t="s">
        <v>23</v>
      </c>
      <c r="B3272" s="7" t="str">
        <f>VLOOKUP(VALUE(A3272), 'DICIONÁRIO UF'!$A:$B, 2, FALSE)</f>
        <v>São Paulo</v>
      </c>
      <c r="C3272" s="3">
        <v>20020</v>
      </c>
      <c r="D3272" s="5" t="str">
        <f>VLOOKUP(C3272, 'DICIONÁRIO CNAES'!$A:$B, 2, FALSE)</f>
        <v>Fabricação de sabões, detergentes, produtos de limpeza, cosméticos, produtos de perfumaria e de higiene pessoal</v>
      </c>
      <c r="E3272" s="4">
        <v>74074.908794589996</v>
      </c>
      <c r="F3272" s="4">
        <v>286798292.58827609</v>
      </c>
    </row>
    <row r="3273" spans="1:6" x14ac:dyDescent="0.3">
      <c r="A3273" s="3" t="s">
        <v>23</v>
      </c>
      <c r="B3273" s="7" t="str">
        <f>VLOOKUP(VALUE(A3273), 'DICIONÁRIO UF'!$A:$B, 2, FALSE)</f>
        <v>São Paulo</v>
      </c>
      <c r="C3273" s="3">
        <v>20090</v>
      </c>
      <c r="D3273" s="5" t="str">
        <f>VLOOKUP(C3273, 'DICIONÁRIO CNAES'!$A:$B, 2, FALSE)</f>
        <v>Fabricação de outros produtos químicos não especificados anteriormente</v>
      </c>
      <c r="E3273" s="4">
        <v>77938.855649899997</v>
      </c>
      <c r="F3273" s="4">
        <v>306091092.51457649</v>
      </c>
    </row>
    <row r="3274" spans="1:6" x14ac:dyDescent="0.3">
      <c r="A3274" s="3" t="s">
        <v>23</v>
      </c>
      <c r="B3274" s="7" t="str">
        <f>VLOOKUP(VALUE(A3274), 'DICIONÁRIO UF'!$A:$B, 2, FALSE)</f>
        <v>São Paulo</v>
      </c>
      <c r="C3274" s="3">
        <v>21000</v>
      </c>
      <c r="D3274" s="5" t="str">
        <f>VLOOKUP(C3274, 'DICIONÁRIO CNAES'!$A:$B, 2, FALSE)</f>
        <v>Fabricação de produtos farmoquimicos e farmacêuticos</v>
      </c>
      <c r="E3274" s="4">
        <v>83514.002184940007</v>
      </c>
      <c r="F3274" s="4">
        <v>427231541.99977362</v>
      </c>
    </row>
    <row r="3275" spans="1:6" x14ac:dyDescent="0.3">
      <c r="A3275" s="3" t="s">
        <v>23</v>
      </c>
      <c r="B3275" s="7" t="str">
        <f>VLOOKUP(VALUE(A3275), 'DICIONÁRIO UF'!$A:$B, 2, FALSE)</f>
        <v>São Paulo</v>
      </c>
      <c r="C3275" s="3">
        <v>22010</v>
      </c>
      <c r="D3275" s="5" t="str">
        <f>VLOOKUP(C3275, 'DICIONÁRIO CNAES'!$A:$B, 2, FALSE)</f>
        <v>Fabricação de produtos de borracha</v>
      </c>
      <c r="E3275" s="4">
        <v>55630.977275689998</v>
      </c>
      <c r="F3275" s="4">
        <v>140966386.2367835</v>
      </c>
    </row>
    <row r="3276" spans="1:6" x14ac:dyDescent="0.3">
      <c r="A3276" s="3" t="s">
        <v>23</v>
      </c>
      <c r="B3276" s="7" t="str">
        <f>VLOOKUP(VALUE(A3276), 'DICIONÁRIO UF'!$A:$B, 2, FALSE)</f>
        <v>São Paulo</v>
      </c>
      <c r="C3276" s="3">
        <v>22020</v>
      </c>
      <c r="D3276" s="5" t="str">
        <f>VLOOKUP(C3276, 'DICIONÁRIO CNAES'!$A:$B, 2, FALSE)</f>
        <v>Fabricação de produtos de material plástico</v>
      </c>
      <c r="E3276" s="4">
        <v>160503.47692021</v>
      </c>
      <c r="F3276" s="4">
        <v>444733633.03392851</v>
      </c>
    </row>
    <row r="3277" spans="1:6" x14ac:dyDescent="0.3">
      <c r="A3277" s="3" t="s">
        <v>23</v>
      </c>
      <c r="B3277" s="7" t="str">
        <f>VLOOKUP(VALUE(A3277), 'DICIONÁRIO UF'!$A:$B, 2, FALSE)</f>
        <v>São Paulo</v>
      </c>
      <c r="C3277" s="3">
        <v>23010</v>
      </c>
      <c r="D3277" s="5" t="str">
        <f>VLOOKUP(C3277, 'DICIONÁRIO CNAES'!$A:$B, 2, FALSE)</f>
        <v>Fabricação de vidro e produtos de vidro</v>
      </c>
      <c r="E3277" s="4">
        <v>39939.7739019</v>
      </c>
      <c r="F3277" s="4">
        <v>125900075.7613029</v>
      </c>
    </row>
    <row r="3278" spans="1:6" x14ac:dyDescent="0.3">
      <c r="A3278" s="3" t="s">
        <v>23</v>
      </c>
      <c r="B3278" s="7" t="str">
        <f>VLOOKUP(VALUE(A3278), 'DICIONÁRIO UF'!$A:$B, 2, FALSE)</f>
        <v>São Paulo</v>
      </c>
      <c r="C3278" s="3">
        <v>23091</v>
      </c>
      <c r="D3278" s="5" t="str">
        <f>VLOOKUP(C3278, 'DICIONÁRIO CNAES'!$A:$B, 2, FALSE)</f>
        <v>Fabricação de produtos cerâmicos</v>
      </c>
      <c r="E3278" s="4">
        <v>44106.834499379998</v>
      </c>
      <c r="F3278" s="4">
        <v>114203222.9222146</v>
      </c>
    </row>
    <row r="3279" spans="1:6" x14ac:dyDescent="0.3">
      <c r="A3279" s="3" t="s">
        <v>23</v>
      </c>
      <c r="B3279" s="7" t="str">
        <f>VLOOKUP(VALUE(A3279), 'DICIONÁRIO UF'!$A:$B, 2, FALSE)</f>
        <v>São Paulo</v>
      </c>
      <c r="C3279" s="3">
        <v>23099</v>
      </c>
      <c r="D3279" s="5" t="str">
        <f>VLOOKUP(C3279, 'DICIONÁRIO CNAES'!$A:$B, 2, FALSE)</f>
        <v>Fabricação de outros produtos de minerais não-metálicos não especificados anteriormente</v>
      </c>
      <c r="E3279" s="4">
        <v>58583.997488920002</v>
      </c>
      <c r="F3279" s="4">
        <v>129753270.26527441</v>
      </c>
    </row>
    <row r="3280" spans="1:6" x14ac:dyDescent="0.3">
      <c r="A3280" s="3" t="s">
        <v>23</v>
      </c>
      <c r="B3280" s="7" t="str">
        <f>VLOOKUP(VALUE(A3280), 'DICIONÁRIO UF'!$A:$B, 2, FALSE)</f>
        <v>São Paulo</v>
      </c>
      <c r="C3280" s="3">
        <v>24001</v>
      </c>
      <c r="D3280" s="5" t="str">
        <f>VLOOKUP(C3280, 'DICIONÁRIO CNAES'!$A:$B, 2, FALSE)</f>
        <v>Fabricação de produtos siderúrgicos</v>
      </c>
      <c r="E3280" s="4">
        <v>10467.13677245</v>
      </c>
      <c r="F3280" s="4">
        <v>57883519.446084</v>
      </c>
    </row>
    <row r="3281" spans="1:6" x14ac:dyDescent="0.3">
      <c r="A3281" s="3" t="s">
        <v>23</v>
      </c>
      <c r="B3281" s="7" t="str">
        <f>VLOOKUP(VALUE(A3281), 'DICIONÁRIO UF'!$A:$B, 2, FALSE)</f>
        <v>São Paulo</v>
      </c>
      <c r="C3281" s="3">
        <v>24002</v>
      </c>
      <c r="D3281" s="5" t="str">
        <f>VLOOKUP(C3281, 'DICIONÁRIO CNAES'!$A:$B, 2, FALSE)</f>
        <v>Metalurgia dos metais não-ferrosos</v>
      </c>
      <c r="E3281" s="4">
        <v>27402.856320729999</v>
      </c>
      <c r="F3281" s="4">
        <v>76584931.159323201</v>
      </c>
    </row>
    <row r="3282" spans="1:6" x14ac:dyDescent="0.3">
      <c r="A3282" s="3" t="s">
        <v>23</v>
      </c>
      <c r="B3282" s="7" t="str">
        <f>VLOOKUP(VALUE(A3282), 'DICIONÁRIO UF'!$A:$B, 2, FALSE)</f>
        <v>São Paulo</v>
      </c>
      <c r="C3282" s="3">
        <v>24003</v>
      </c>
      <c r="D3282" s="5" t="str">
        <f>VLOOKUP(C3282, 'DICIONÁRIO CNAES'!$A:$B, 2, FALSE)</f>
        <v>Fundição</v>
      </c>
      <c r="E3282" s="4">
        <v>13119.850983709999</v>
      </c>
      <c r="F3282" s="4">
        <v>25467990.802955002</v>
      </c>
    </row>
    <row r="3283" spans="1:6" x14ac:dyDescent="0.3">
      <c r="A3283" s="3" t="s">
        <v>23</v>
      </c>
      <c r="B3283" s="7" t="str">
        <f>VLOOKUP(VALUE(A3283), 'DICIONÁRIO UF'!$A:$B, 2, FALSE)</f>
        <v>São Paulo</v>
      </c>
      <c r="C3283" s="3">
        <v>25001</v>
      </c>
      <c r="D3283" s="5" t="str">
        <f>VLOOKUP(C3283, 'DICIONÁRIO CNAES'!$A:$B, 2, FALSE)</f>
        <v>Fabricação de produtos de metal, exceto máquinas e equipamentos</v>
      </c>
      <c r="E3283" s="4">
        <v>323697.52901984</v>
      </c>
      <c r="F3283" s="4">
        <v>885878051.96381378</v>
      </c>
    </row>
    <row r="3284" spans="1:6" x14ac:dyDescent="0.3">
      <c r="A3284" s="3" t="s">
        <v>23</v>
      </c>
      <c r="B3284" s="7" t="str">
        <f>VLOOKUP(VALUE(A3284), 'DICIONÁRIO UF'!$A:$B, 2, FALSE)</f>
        <v>São Paulo</v>
      </c>
      <c r="C3284" s="3">
        <v>25002</v>
      </c>
      <c r="D3284" s="5" t="str">
        <f>VLOOKUP(C3284, 'DICIONÁRIO CNAES'!$A:$B, 2, FALSE)</f>
        <v>Forjaria, estamparia, metalurgia do pó e serviços de tratamento de metais</v>
      </c>
      <c r="E3284" s="4">
        <v>56498.221704399999</v>
      </c>
      <c r="F3284" s="4">
        <v>141498379.8881714</v>
      </c>
    </row>
    <row r="3285" spans="1:6" x14ac:dyDescent="0.3">
      <c r="A3285" s="3" t="s">
        <v>23</v>
      </c>
      <c r="B3285" s="7" t="str">
        <f>VLOOKUP(VALUE(A3285), 'DICIONÁRIO UF'!$A:$B, 2, FALSE)</f>
        <v>São Paulo</v>
      </c>
      <c r="C3285" s="3">
        <v>26010</v>
      </c>
      <c r="D3285" s="5" t="str">
        <f>VLOOKUP(C3285, 'DICIONÁRIO CNAES'!$A:$B, 2, FALSE)</f>
        <v>Fabricação de componentes eletrônicos</v>
      </c>
      <c r="E3285" s="4">
        <v>13018.187308410001</v>
      </c>
      <c r="F3285" s="4">
        <v>39125607.400689997</v>
      </c>
    </row>
    <row r="3286" spans="1:6" x14ac:dyDescent="0.3">
      <c r="A3286" s="3" t="s">
        <v>23</v>
      </c>
      <c r="B3286" s="7" t="str">
        <f>VLOOKUP(VALUE(A3286), 'DICIONÁRIO UF'!$A:$B, 2, FALSE)</f>
        <v>São Paulo</v>
      </c>
      <c r="C3286" s="3">
        <v>26020</v>
      </c>
      <c r="D3286" s="5" t="str">
        <f>VLOOKUP(C3286, 'DICIONÁRIO CNAES'!$A:$B, 2, FALSE)</f>
        <v>Fabricação de equipamentos de informática e periféricos</v>
      </c>
      <c r="E3286" s="4">
        <v>6772.8329907899997</v>
      </c>
      <c r="F3286" s="4">
        <v>42125361.913585998</v>
      </c>
    </row>
    <row r="3287" spans="1:6" x14ac:dyDescent="0.3">
      <c r="A3287" s="3" t="s">
        <v>23</v>
      </c>
      <c r="B3287" s="7" t="str">
        <f>VLOOKUP(VALUE(A3287), 'DICIONÁRIO UF'!$A:$B, 2, FALSE)</f>
        <v>São Paulo</v>
      </c>
      <c r="C3287" s="3">
        <v>26030</v>
      </c>
      <c r="D3287" s="5" t="str">
        <f>VLOOKUP(C3287, 'DICIONÁRIO CNAES'!$A:$B, 2, FALSE)</f>
        <v>Fabricação de equipamentos de comunicação e de aparelhos de recepção, reprodução, gravação e amplificação de áudio e vídeo</v>
      </c>
      <c r="E3287" s="4">
        <v>15072.72758232</v>
      </c>
      <c r="F3287" s="4">
        <v>37535317.534987003</v>
      </c>
    </row>
    <row r="3288" spans="1:6" x14ac:dyDescent="0.3">
      <c r="A3288" s="3" t="s">
        <v>23</v>
      </c>
      <c r="B3288" s="7" t="str">
        <f>VLOOKUP(VALUE(A3288), 'DICIONÁRIO UF'!$A:$B, 2, FALSE)</f>
        <v>São Paulo</v>
      </c>
      <c r="C3288" s="3">
        <v>26041</v>
      </c>
      <c r="D3288" s="5" t="str">
        <f>VLOOKUP(C3288, 'DICIONÁRIO CNAES'!$A:$B, 2, FALSE)</f>
        <v>Fabricação de aparelhos e instrumentos de medida, teste e controle; cronômetros e relógios e de aparelhos eletromédicos e eletroterapêuticos</v>
      </c>
      <c r="E3288" s="4">
        <v>20334.56850523</v>
      </c>
      <c r="F3288" s="4">
        <v>102699135.409811</v>
      </c>
    </row>
    <row r="3289" spans="1:6" x14ac:dyDescent="0.3">
      <c r="A3289" s="3" t="s">
        <v>23</v>
      </c>
      <c r="B3289" s="7" t="str">
        <f>VLOOKUP(VALUE(A3289), 'DICIONÁRIO UF'!$A:$B, 2, FALSE)</f>
        <v>São Paulo</v>
      </c>
      <c r="C3289" s="3">
        <v>26042</v>
      </c>
      <c r="D3289" s="5" t="str">
        <f>VLOOKUP(C3289, 'DICIONÁRIO CNAES'!$A:$B, 2, FALSE)</f>
        <v>Fabricação de equipamentos e instrumentos ópticos, fotográficos e cinematográficos e de mídias virgens, magnéticas e ópticas</v>
      </c>
      <c r="E3289" s="4">
        <v>1220.6100963399999</v>
      </c>
      <c r="F3289" s="4">
        <v>1708854.134876</v>
      </c>
    </row>
    <row r="3290" spans="1:6" x14ac:dyDescent="0.3">
      <c r="A3290" s="3" t="s">
        <v>23</v>
      </c>
      <c r="B3290" s="7" t="str">
        <f>VLOOKUP(VALUE(A3290), 'DICIONÁRIO UF'!$A:$B, 2, FALSE)</f>
        <v>São Paulo</v>
      </c>
      <c r="C3290" s="3">
        <v>27010</v>
      </c>
      <c r="D3290" s="5" t="str">
        <f>VLOOKUP(C3290, 'DICIONÁRIO CNAES'!$A:$B, 2, FALSE)</f>
        <v>Fabricação de eletrodomesticos</v>
      </c>
      <c r="E3290" s="4">
        <v>24900.426116769999</v>
      </c>
      <c r="F3290" s="4">
        <v>121745198.05718499</v>
      </c>
    </row>
    <row r="3291" spans="1:6" x14ac:dyDescent="0.3">
      <c r="A3291" s="3" t="s">
        <v>23</v>
      </c>
      <c r="B3291" s="7" t="str">
        <f>VLOOKUP(VALUE(A3291), 'DICIONÁRIO UF'!$A:$B, 2, FALSE)</f>
        <v>São Paulo</v>
      </c>
      <c r="C3291" s="3">
        <v>27090</v>
      </c>
      <c r="D3291" s="5" t="str">
        <f>VLOOKUP(C3291, 'DICIONÁRIO CNAES'!$A:$B, 2, FALSE)</f>
        <v>Fabricação de máquinas, aparelhos e materiais elétricos diversos, exceto eletrodomesticos</v>
      </c>
      <c r="E3291" s="4">
        <v>55128.502387799999</v>
      </c>
      <c r="F3291" s="4">
        <v>212440480.47694001</v>
      </c>
    </row>
    <row r="3292" spans="1:6" x14ac:dyDescent="0.3">
      <c r="A3292" s="3" t="s">
        <v>23</v>
      </c>
      <c r="B3292" s="7" t="str">
        <f>VLOOKUP(VALUE(A3292), 'DICIONÁRIO UF'!$A:$B, 2, FALSE)</f>
        <v>São Paulo</v>
      </c>
      <c r="C3292" s="3">
        <v>28000</v>
      </c>
      <c r="D3292" s="5" t="str">
        <f>VLOOKUP(C3292, 'DICIONÁRIO CNAES'!$A:$B, 2, FALSE)</f>
        <v>Fabricação de máquinas e equipamentos</v>
      </c>
      <c r="E3292" s="4">
        <v>144365.48157276001</v>
      </c>
      <c r="F3292" s="4">
        <v>470362623.28658861</v>
      </c>
    </row>
    <row r="3293" spans="1:6" x14ac:dyDescent="0.3">
      <c r="A3293" s="3" t="s">
        <v>23</v>
      </c>
      <c r="B3293" s="7" t="str">
        <f>VLOOKUP(VALUE(A3293), 'DICIONÁRIO UF'!$A:$B, 2, FALSE)</f>
        <v>São Paulo</v>
      </c>
      <c r="C3293" s="3">
        <v>29001</v>
      </c>
      <c r="D3293" s="5" t="str">
        <f>VLOOKUP(C3293, 'DICIONÁRIO CNAES'!$A:$B, 2, FALSE)</f>
        <v>Fabricação e montagem de veículos automotores</v>
      </c>
      <c r="E3293" s="4">
        <v>123756.29456444</v>
      </c>
      <c r="F3293" s="4">
        <v>512451386.47311282</v>
      </c>
    </row>
    <row r="3294" spans="1:6" x14ac:dyDescent="0.3">
      <c r="A3294" s="3" t="s">
        <v>23</v>
      </c>
      <c r="B3294" s="7" t="str">
        <f>VLOOKUP(VALUE(A3294), 'DICIONÁRIO UF'!$A:$B, 2, FALSE)</f>
        <v>São Paulo</v>
      </c>
      <c r="C3294" s="3">
        <v>29002</v>
      </c>
      <c r="D3294" s="5" t="str">
        <f>VLOOKUP(C3294, 'DICIONÁRIO CNAES'!$A:$B, 2, FALSE)</f>
        <v>Fabricação de cabines, carrocerias, reboques e peças para veículos automotores</v>
      </c>
      <c r="E3294" s="4">
        <v>189665.53109301999</v>
      </c>
      <c r="F3294" s="4">
        <v>565053531.613814</v>
      </c>
    </row>
    <row r="3295" spans="1:6" x14ac:dyDescent="0.3">
      <c r="A3295" s="3" t="s">
        <v>23</v>
      </c>
      <c r="B3295" s="7" t="str">
        <f>VLOOKUP(VALUE(A3295), 'DICIONÁRIO UF'!$A:$B, 2, FALSE)</f>
        <v>São Paulo</v>
      </c>
      <c r="C3295" s="3">
        <v>30010</v>
      </c>
      <c r="D3295" s="5" t="str">
        <f>VLOOKUP(C3295, 'DICIONÁRIO CNAES'!$A:$B, 2, FALSE)</f>
        <v xml:space="preserve">Construção de embarcações </v>
      </c>
      <c r="E3295" s="4">
        <v>3824.3370581300001</v>
      </c>
      <c r="F3295" s="4">
        <v>10736752.807301</v>
      </c>
    </row>
    <row r="3296" spans="1:6" x14ac:dyDescent="0.3">
      <c r="A3296" s="3" t="s">
        <v>23</v>
      </c>
      <c r="B3296" s="7" t="str">
        <f>VLOOKUP(VALUE(A3296), 'DICIONÁRIO UF'!$A:$B, 2, FALSE)</f>
        <v>São Paulo</v>
      </c>
      <c r="C3296" s="3">
        <v>30030</v>
      </c>
      <c r="D3296" s="5" t="str">
        <f>VLOOKUP(C3296, 'DICIONÁRIO CNAES'!$A:$B, 2, FALSE)</f>
        <v>Fabricação de aeronaves</v>
      </c>
      <c r="E3296" s="4">
        <v>23640.49081132</v>
      </c>
      <c r="F3296" s="4">
        <v>83715902.191186994</v>
      </c>
    </row>
    <row r="3297" spans="1:6" x14ac:dyDescent="0.3">
      <c r="A3297" s="3" t="s">
        <v>23</v>
      </c>
      <c r="B3297" s="7" t="str">
        <f>VLOOKUP(VALUE(A3297), 'DICIONÁRIO UF'!$A:$B, 2, FALSE)</f>
        <v>São Paulo</v>
      </c>
      <c r="C3297" s="3">
        <v>30090</v>
      </c>
      <c r="D3297" s="5" t="str">
        <f>VLOOKUP(C3297, 'DICIONÁRIO CNAES'!$A:$B, 2, FALSE)</f>
        <v>Fabricação de outros equipamentos de transporte não especificados anteriormente</v>
      </c>
      <c r="E3297" s="4">
        <v>8564.8467783199994</v>
      </c>
      <c r="F3297" s="4">
        <v>14467486.975313</v>
      </c>
    </row>
    <row r="3298" spans="1:6" x14ac:dyDescent="0.3">
      <c r="A3298" s="3" t="s">
        <v>23</v>
      </c>
      <c r="B3298" s="7" t="str">
        <f>VLOOKUP(VALUE(A3298), 'DICIONÁRIO UF'!$A:$B, 2, FALSE)</f>
        <v>São Paulo</v>
      </c>
      <c r="C3298" s="3">
        <v>31000</v>
      </c>
      <c r="D3298" s="5" t="str">
        <f>VLOOKUP(C3298, 'DICIONÁRIO CNAES'!$A:$B, 2, FALSE)</f>
        <v>Fabricação de móveis</v>
      </c>
      <c r="E3298" s="4">
        <v>159485.2925785</v>
      </c>
      <c r="F3298" s="4">
        <v>397886600.46213901</v>
      </c>
    </row>
    <row r="3299" spans="1:6" x14ac:dyDescent="0.3">
      <c r="A3299" s="3" t="s">
        <v>23</v>
      </c>
      <c r="B3299" s="7" t="str">
        <f>VLOOKUP(VALUE(A3299), 'DICIONÁRIO UF'!$A:$B, 2, FALSE)</f>
        <v>São Paulo</v>
      </c>
      <c r="C3299" s="3">
        <v>32001</v>
      </c>
      <c r="D3299" s="5" t="str">
        <f>VLOOKUP(C3299, 'DICIONÁRIO CNAES'!$A:$B, 2, FALSE)</f>
        <v>Fabricação de artigos de joalheria, bijuteria e semelhantes</v>
      </c>
      <c r="E3299" s="4">
        <v>28576.86050902</v>
      </c>
      <c r="F3299" s="4">
        <v>37228805.669705503</v>
      </c>
    </row>
    <row r="3300" spans="1:6" x14ac:dyDescent="0.3">
      <c r="A3300" s="3" t="s">
        <v>23</v>
      </c>
      <c r="B3300" s="7" t="str">
        <f>VLOOKUP(VALUE(A3300), 'DICIONÁRIO UF'!$A:$B, 2, FALSE)</f>
        <v>São Paulo</v>
      </c>
      <c r="C3300" s="3">
        <v>32002</v>
      </c>
      <c r="D3300" s="5" t="str">
        <f>VLOOKUP(C3300, 'DICIONÁRIO CNAES'!$A:$B, 2, FALSE)</f>
        <v>Fabricação de instrumentos musicais</v>
      </c>
      <c r="E3300" s="4">
        <v>521.70772690000001</v>
      </c>
      <c r="F3300" s="4">
        <v>573878.49959000002</v>
      </c>
    </row>
    <row r="3301" spans="1:6" x14ac:dyDescent="0.3">
      <c r="A3301" s="3" t="s">
        <v>23</v>
      </c>
      <c r="B3301" s="7" t="str">
        <f>VLOOKUP(VALUE(A3301), 'DICIONÁRIO UF'!$A:$B, 2, FALSE)</f>
        <v>São Paulo</v>
      </c>
      <c r="C3301" s="3">
        <v>32003</v>
      </c>
      <c r="D3301" s="5" t="str">
        <f>VLOOKUP(C3301, 'DICIONÁRIO CNAES'!$A:$B, 2, FALSE)</f>
        <v>Fabricação de artefatos para pesca e esporte e de brinquedos e jogos recreativos</v>
      </c>
      <c r="E3301" s="4">
        <v>22017.805928329999</v>
      </c>
      <c r="F3301" s="4">
        <v>45543381.884100497</v>
      </c>
    </row>
    <row r="3302" spans="1:6" x14ac:dyDescent="0.3">
      <c r="A3302" s="3" t="s">
        <v>23</v>
      </c>
      <c r="B3302" s="7" t="str">
        <f>VLOOKUP(VALUE(A3302), 'DICIONÁRIO UF'!$A:$B, 2, FALSE)</f>
        <v>São Paulo</v>
      </c>
      <c r="C3302" s="3">
        <v>32009</v>
      </c>
      <c r="D3302" s="5" t="str">
        <f>VLOOKUP(C3302, 'DICIONÁRIO CNAES'!$A:$B, 2, FALSE)</f>
        <v>Fabricação de produtos diversos</v>
      </c>
      <c r="E3302" s="4">
        <v>62204.486189709998</v>
      </c>
      <c r="F3302" s="4">
        <v>172797301.74534261</v>
      </c>
    </row>
    <row r="3303" spans="1:6" x14ac:dyDescent="0.3">
      <c r="A3303" s="3" t="s">
        <v>23</v>
      </c>
      <c r="B3303" s="7" t="str">
        <f>VLOOKUP(VALUE(A3303), 'DICIONÁRIO UF'!$A:$B, 2, FALSE)</f>
        <v>São Paulo</v>
      </c>
      <c r="C3303" s="3">
        <v>33001</v>
      </c>
      <c r="D3303" s="5" t="str">
        <f>VLOOKUP(C3303, 'DICIONÁRIO CNAES'!$A:$B, 2, FALSE)</f>
        <v>Manutenção e reparação de máquinas e equipamentos</v>
      </c>
      <c r="E3303" s="4">
        <v>51713.911976479998</v>
      </c>
      <c r="F3303" s="4">
        <v>178040936.93111819</v>
      </c>
    </row>
    <row r="3304" spans="1:6" x14ac:dyDescent="0.3">
      <c r="A3304" s="3" t="s">
        <v>23</v>
      </c>
      <c r="B3304" s="7" t="str">
        <f>VLOOKUP(VALUE(A3304), 'DICIONÁRIO UF'!$A:$B, 2, FALSE)</f>
        <v>São Paulo</v>
      </c>
      <c r="C3304" s="3">
        <v>33002</v>
      </c>
      <c r="D3304" s="5" t="str">
        <f>VLOOKUP(C3304, 'DICIONÁRIO CNAES'!$A:$B, 2, FALSE)</f>
        <v>Instalação de máquinas e equipamentos</v>
      </c>
      <c r="E3304" s="4">
        <v>26385.15515224</v>
      </c>
      <c r="F3304" s="4">
        <v>91902333.750936806</v>
      </c>
    </row>
    <row r="3305" spans="1:6" x14ac:dyDescent="0.3">
      <c r="A3305" s="3" t="s">
        <v>23</v>
      </c>
      <c r="B3305" s="7" t="str">
        <f>VLOOKUP(VALUE(A3305), 'DICIONÁRIO UF'!$A:$B, 2, FALSE)</f>
        <v>São Paulo</v>
      </c>
      <c r="C3305" s="3">
        <v>35010</v>
      </c>
      <c r="D3305" s="5" t="str">
        <f>VLOOKUP(C3305, 'DICIONÁRIO CNAES'!$A:$B, 2, FALSE)</f>
        <v>Geração, transmissão e distribuição de energia elétrica</v>
      </c>
      <c r="E3305" s="4">
        <v>56360.212221679998</v>
      </c>
      <c r="F3305" s="4">
        <v>151431553.05248991</v>
      </c>
    </row>
    <row r="3306" spans="1:6" x14ac:dyDescent="0.3">
      <c r="A3306" s="3" t="s">
        <v>23</v>
      </c>
      <c r="B3306" s="7" t="str">
        <f>VLOOKUP(VALUE(A3306), 'DICIONÁRIO UF'!$A:$B, 2, FALSE)</f>
        <v>São Paulo</v>
      </c>
      <c r="C3306" s="3">
        <v>36000</v>
      </c>
      <c r="D3306" s="5" t="str">
        <f>VLOOKUP(C3306, 'DICIONÁRIO CNAES'!$A:$B, 2, FALSE)</f>
        <v>Captação, tratamento e distribuição de água</v>
      </c>
      <c r="E3306" s="4">
        <v>27777.267193219999</v>
      </c>
      <c r="F3306" s="4">
        <v>93188636.655757993</v>
      </c>
    </row>
    <row r="3307" spans="1:6" x14ac:dyDescent="0.3">
      <c r="A3307" s="3" t="s">
        <v>23</v>
      </c>
      <c r="B3307" s="7" t="str">
        <f>VLOOKUP(VALUE(A3307), 'DICIONÁRIO UF'!$A:$B, 2, FALSE)</f>
        <v>São Paulo</v>
      </c>
      <c r="C3307" s="3">
        <v>37000</v>
      </c>
      <c r="D3307" s="5" t="str">
        <f>VLOOKUP(C3307, 'DICIONÁRIO CNAES'!$A:$B, 2, FALSE)</f>
        <v>Esgoto e atividades relacionadas</v>
      </c>
      <c r="E3307" s="4">
        <v>2975.8695229599998</v>
      </c>
      <c r="F3307" s="4">
        <v>9328200.5164189991</v>
      </c>
    </row>
    <row r="3308" spans="1:6" x14ac:dyDescent="0.3">
      <c r="A3308" s="3" t="s">
        <v>23</v>
      </c>
      <c r="B3308" s="7" t="str">
        <f>VLOOKUP(VALUE(A3308), 'DICIONÁRIO UF'!$A:$B, 2, FALSE)</f>
        <v>São Paulo</v>
      </c>
      <c r="C3308" s="3">
        <v>38000</v>
      </c>
      <c r="D3308" s="5" t="str">
        <f>VLOOKUP(C3308, 'DICIONÁRIO CNAES'!$A:$B, 2, FALSE)</f>
        <v>Coleta, tratamento e disposição de resíduos; recuperação de materiais</v>
      </c>
      <c r="E3308" s="4">
        <v>114893.37516972001</v>
      </c>
      <c r="F3308" s="4">
        <v>250906618.926218</v>
      </c>
    </row>
    <row r="3309" spans="1:6" x14ac:dyDescent="0.3">
      <c r="A3309" s="3" t="s">
        <v>23</v>
      </c>
      <c r="B3309" s="7" t="str">
        <f>VLOOKUP(VALUE(A3309), 'DICIONÁRIO UF'!$A:$B, 2, FALSE)</f>
        <v>São Paulo</v>
      </c>
      <c r="C3309" s="3">
        <v>39000</v>
      </c>
      <c r="D3309" s="5" t="str">
        <f>VLOOKUP(C3309, 'DICIONÁRIO CNAES'!$A:$B, 2, FALSE)</f>
        <v>Descontaminação e outros serviços de gestão de resíduos</v>
      </c>
      <c r="E3309" s="4">
        <v>1519.1337258599999</v>
      </c>
      <c r="F3309" s="4">
        <v>3190180.824306</v>
      </c>
    </row>
    <row r="3310" spans="1:6" x14ac:dyDescent="0.3">
      <c r="A3310" s="3" t="s">
        <v>23</v>
      </c>
      <c r="B3310" s="7" t="str">
        <f>VLOOKUP(VALUE(A3310), 'DICIONÁRIO UF'!$A:$B, 2, FALSE)</f>
        <v>São Paulo</v>
      </c>
      <c r="C3310" s="3">
        <v>41000</v>
      </c>
      <c r="D3310" s="5" t="str">
        <f>VLOOKUP(C3310, 'DICIONÁRIO CNAES'!$A:$B, 2, FALSE)</f>
        <v>Construção de edifícios</v>
      </c>
      <c r="E3310" s="4">
        <v>997258.03188819997</v>
      </c>
      <c r="F3310" s="4">
        <v>2268764442.0542789</v>
      </c>
    </row>
    <row r="3311" spans="1:6" x14ac:dyDescent="0.3">
      <c r="A3311" s="3" t="s">
        <v>23</v>
      </c>
      <c r="B3311" s="7" t="str">
        <f>VLOOKUP(VALUE(A3311), 'DICIONÁRIO UF'!$A:$B, 2, FALSE)</f>
        <v>São Paulo</v>
      </c>
      <c r="C3311" s="3">
        <v>42000</v>
      </c>
      <c r="D3311" s="5" t="str">
        <f>VLOOKUP(C3311, 'DICIONÁRIO CNAES'!$A:$B, 2, FALSE)</f>
        <v>Construção de obras de infra-estrutura</v>
      </c>
      <c r="E3311" s="4">
        <v>95026.359443769994</v>
      </c>
      <c r="F3311" s="4">
        <v>414681477.0306505</v>
      </c>
    </row>
    <row r="3312" spans="1:6" x14ac:dyDescent="0.3">
      <c r="A3312" s="3" t="s">
        <v>23</v>
      </c>
      <c r="B3312" s="7" t="str">
        <f>VLOOKUP(VALUE(A3312), 'DICIONÁRIO UF'!$A:$B, 2, FALSE)</f>
        <v>São Paulo</v>
      </c>
      <c r="C3312" s="3">
        <v>43000</v>
      </c>
      <c r="D3312" s="5" t="str">
        <f>VLOOKUP(C3312, 'DICIONÁRIO CNAES'!$A:$B, 2, FALSE)</f>
        <v>Serviços especializados para construção</v>
      </c>
      <c r="E3312" s="4">
        <v>551504.12252462003</v>
      </c>
      <c r="F3312" s="4">
        <v>1122163084.4945209</v>
      </c>
    </row>
    <row r="3313" spans="1:6" x14ac:dyDescent="0.3">
      <c r="A3313" s="3" t="s">
        <v>23</v>
      </c>
      <c r="B3313" s="7" t="str">
        <f>VLOOKUP(VALUE(A3313), 'DICIONÁRIO UF'!$A:$B, 2, FALSE)</f>
        <v>São Paulo</v>
      </c>
      <c r="C3313" s="3">
        <v>45010</v>
      </c>
      <c r="D3313" s="5" t="str">
        <f>VLOOKUP(C3313, 'DICIONÁRIO CNAES'!$A:$B, 2, FALSE)</f>
        <v>Comércio de veículos automotores</v>
      </c>
      <c r="E3313" s="4">
        <v>118327.41557873</v>
      </c>
      <c r="F3313" s="4">
        <v>354420942.66894501</v>
      </c>
    </row>
    <row r="3314" spans="1:6" x14ac:dyDescent="0.3">
      <c r="A3314" s="3" t="s">
        <v>23</v>
      </c>
      <c r="B3314" s="7" t="str">
        <f>VLOOKUP(VALUE(A3314), 'DICIONÁRIO UF'!$A:$B, 2, FALSE)</f>
        <v>São Paulo</v>
      </c>
      <c r="C3314" s="3">
        <v>45020</v>
      </c>
      <c r="D3314" s="5" t="str">
        <f>VLOOKUP(C3314, 'DICIONÁRIO CNAES'!$A:$B, 2, FALSE)</f>
        <v>Manutenção e reparação de veículos automotores</v>
      </c>
      <c r="E3314" s="4">
        <v>408309.27403915999</v>
      </c>
      <c r="F3314" s="4">
        <v>908887315.27498627</v>
      </c>
    </row>
    <row r="3315" spans="1:6" x14ac:dyDescent="0.3">
      <c r="A3315" s="3" t="s">
        <v>23</v>
      </c>
      <c r="B3315" s="7" t="str">
        <f>VLOOKUP(VALUE(A3315), 'DICIONÁRIO UF'!$A:$B, 2, FALSE)</f>
        <v>São Paulo</v>
      </c>
      <c r="C3315" s="3">
        <v>45030</v>
      </c>
      <c r="D3315" s="5" t="str">
        <f>VLOOKUP(C3315, 'DICIONÁRIO CNAES'!$A:$B, 2, FALSE)</f>
        <v>Comércio de peças e acessórios para veículos automotores</v>
      </c>
      <c r="E3315" s="4">
        <v>95278.635777810006</v>
      </c>
      <c r="F3315" s="4">
        <v>231331222.99648431</v>
      </c>
    </row>
    <row r="3316" spans="1:6" x14ac:dyDescent="0.3">
      <c r="A3316" s="3" t="s">
        <v>23</v>
      </c>
      <c r="B3316" s="7" t="str">
        <f>VLOOKUP(VALUE(A3316), 'DICIONÁRIO UF'!$A:$B, 2, FALSE)</f>
        <v>São Paulo</v>
      </c>
      <c r="C3316" s="3">
        <v>45040</v>
      </c>
      <c r="D3316" s="5" t="str">
        <f>VLOOKUP(C3316, 'DICIONÁRIO CNAES'!$A:$B, 2, FALSE)</f>
        <v>Comércio, manutenção e reparação de motocicletas, peças e acessórios</v>
      </c>
      <c r="E3316" s="4">
        <v>38369.657515630002</v>
      </c>
      <c r="F3316" s="4">
        <v>94130410.488092005</v>
      </c>
    </row>
    <row r="3317" spans="1:6" x14ac:dyDescent="0.3">
      <c r="A3317" s="3" t="s">
        <v>23</v>
      </c>
      <c r="B3317" s="7" t="str">
        <f>VLOOKUP(VALUE(A3317), 'DICIONÁRIO UF'!$A:$B, 2, FALSE)</f>
        <v>São Paulo</v>
      </c>
      <c r="C3317" s="3">
        <v>48010</v>
      </c>
      <c r="D3317" s="5" t="str">
        <f>VLOOKUP(C3317, 'DICIONÁRIO CNAES'!$A:$B, 2, FALSE)</f>
        <v>Representantes comerciais e agentes do comércio, exceto de veículos automotores e motocicletas</v>
      </c>
      <c r="E3317" s="4">
        <v>54321.434271760001</v>
      </c>
      <c r="F3317" s="4">
        <v>245014016.76068601</v>
      </c>
    </row>
    <row r="3318" spans="1:6" x14ac:dyDescent="0.3">
      <c r="A3318" s="3" t="s">
        <v>23</v>
      </c>
      <c r="B3318" s="7" t="str">
        <f>VLOOKUP(VALUE(A3318), 'DICIONÁRIO UF'!$A:$B, 2, FALSE)</f>
        <v>São Paulo</v>
      </c>
      <c r="C3318" s="3">
        <v>48020</v>
      </c>
      <c r="D3318" s="5" t="str">
        <f>VLOOKUP(C3318, 'DICIONÁRIO CNAES'!$A:$B, 2, FALSE)</f>
        <v>Comércio de matérias-primas agrícolas e animais vivos</v>
      </c>
      <c r="E3318" s="4">
        <v>33978.495837930001</v>
      </c>
      <c r="F3318" s="4">
        <v>76465006.144304574</v>
      </c>
    </row>
    <row r="3319" spans="1:6" x14ac:dyDescent="0.3">
      <c r="A3319" s="3" t="s">
        <v>23</v>
      </c>
      <c r="B3319" s="7" t="str">
        <f>VLOOKUP(VALUE(A3319), 'DICIONÁRIO UF'!$A:$B, 2, FALSE)</f>
        <v>São Paulo</v>
      </c>
      <c r="C3319" s="3">
        <v>48030</v>
      </c>
      <c r="D3319" s="5" t="str">
        <f>VLOOKUP(C3319, 'DICIONÁRIO CNAES'!$A:$B, 2, FALSE)</f>
        <v>Comércio de produtos alimentícios, bebidas e fumo</v>
      </c>
      <c r="E3319" s="4">
        <v>676024.89751670999</v>
      </c>
      <c r="F3319" s="4">
        <v>1628108489.892498</v>
      </c>
    </row>
    <row r="3320" spans="1:6" x14ac:dyDescent="0.3">
      <c r="A3320" s="3" t="s">
        <v>23</v>
      </c>
      <c r="B3320" s="7" t="str">
        <f>VLOOKUP(VALUE(A3320), 'DICIONÁRIO UF'!$A:$B, 2, FALSE)</f>
        <v>São Paulo</v>
      </c>
      <c r="C3320" s="3">
        <v>48041</v>
      </c>
      <c r="D3320" s="5" t="str">
        <f>VLOOKUP(C3320, 'DICIONÁRIO CNAES'!$A:$B, 2, FALSE)</f>
        <v>Comércio de tecidos, artefatos de tecidos e armarinho</v>
      </c>
      <c r="E3320" s="4">
        <v>30566.423005050001</v>
      </c>
      <c r="F3320" s="4">
        <v>107290503.99252</v>
      </c>
    </row>
    <row r="3321" spans="1:6" x14ac:dyDescent="0.3">
      <c r="A3321" s="3" t="s">
        <v>23</v>
      </c>
      <c r="B3321" s="7" t="str">
        <f>VLOOKUP(VALUE(A3321), 'DICIONÁRIO UF'!$A:$B, 2, FALSE)</f>
        <v>São Paulo</v>
      </c>
      <c r="C3321" s="3">
        <v>48042</v>
      </c>
      <c r="D3321" s="5" t="str">
        <f>VLOOKUP(C3321, 'DICIONÁRIO CNAES'!$A:$B, 2, FALSE)</f>
        <v>Comércio de artigos do vestuário, complementos, calçados e artigos de viagem</v>
      </c>
      <c r="E3321" s="4">
        <v>494339.81513598998</v>
      </c>
      <c r="F3321" s="4">
        <v>1113704067.4732959</v>
      </c>
    </row>
    <row r="3322" spans="1:6" x14ac:dyDescent="0.3">
      <c r="A3322" s="3" t="s">
        <v>23</v>
      </c>
      <c r="B3322" s="7" t="str">
        <f>VLOOKUP(VALUE(A3322), 'DICIONÁRIO UF'!$A:$B, 2, FALSE)</f>
        <v>São Paulo</v>
      </c>
      <c r="C3322" s="3">
        <v>48050</v>
      </c>
      <c r="D3322" s="5" t="str">
        <f>VLOOKUP(C3322, 'DICIONÁRIO CNAES'!$A:$B, 2, FALSE)</f>
        <v>Comércio de madeira, material de construção, ferragens e ferramentas</v>
      </c>
      <c r="E3322" s="4">
        <v>237656.48542665</v>
      </c>
      <c r="F3322" s="4">
        <v>602416655.43064213</v>
      </c>
    </row>
    <row r="3323" spans="1:6" x14ac:dyDescent="0.3">
      <c r="A3323" s="3" t="s">
        <v>23</v>
      </c>
      <c r="B3323" s="7" t="str">
        <f>VLOOKUP(VALUE(A3323), 'DICIONÁRIO UF'!$A:$B, 2, FALSE)</f>
        <v>São Paulo</v>
      </c>
      <c r="C3323" s="3">
        <v>48060</v>
      </c>
      <c r="D3323" s="5" t="str">
        <f>VLOOKUP(C3323, 'DICIONÁRIO CNAES'!$A:$B, 2, FALSE)</f>
        <v>Comércio de combustíveis para veículos automotores</v>
      </c>
      <c r="E3323" s="4">
        <v>94822.902434839998</v>
      </c>
      <c r="F3323" s="4">
        <v>197375956.96833149</v>
      </c>
    </row>
    <row r="3324" spans="1:6" x14ac:dyDescent="0.3">
      <c r="A3324" s="3" t="s">
        <v>23</v>
      </c>
      <c r="B3324" s="7" t="str">
        <f>VLOOKUP(VALUE(A3324), 'DICIONÁRIO UF'!$A:$B, 2, FALSE)</f>
        <v>São Paulo</v>
      </c>
      <c r="C3324" s="3">
        <v>48071</v>
      </c>
      <c r="D3324" s="5" t="str">
        <f>VLOOKUP(C3324, 'DICIONÁRIO CNAES'!$A:$B, 2, FALSE)</f>
        <v>Comércio de produtos farmaceuticos, médicos, ortopédicos, odontológicos e de cosméticos e perfumaria</v>
      </c>
      <c r="E3324" s="4">
        <v>330846.44229236001</v>
      </c>
      <c r="F3324" s="4">
        <v>735507036.10574651</v>
      </c>
    </row>
    <row r="3325" spans="1:6" x14ac:dyDescent="0.3">
      <c r="A3325" s="3" t="s">
        <v>23</v>
      </c>
      <c r="B3325" s="7" t="str">
        <f>VLOOKUP(VALUE(A3325), 'DICIONÁRIO UF'!$A:$B, 2, FALSE)</f>
        <v>São Paulo</v>
      </c>
      <c r="C3325" s="3">
        <v>48072</v>
      </c>
      <c r="D3325" s="5" t="str">
        <f>VLOOKUP(C3325, 'DICIONÁRIO CNAES'!$A:$B, 2, FALSE)</f>
        <v>Comércio de artigos de escritório e de papelaria; livros, jornais e outras publicações</v>
      </c>
      <c r="E3325" s="4">
        <v>62000.816600389997</v>
      </c>
      <c r="F3325" s="4">
        <v>144549437.7242313</v>
      </c>
    </row>
    <row r="3326" spans="1:6" x14ac:dyDescent="0.3">
      <c r="A3326" s="3" t="s">
        <v>23</v>
      </c>
      <c r="B3326" s="7" t="str">
        <f>VLOOKUP(VALUE(A3326), 'DICIONÁRIO UF'!$A:$B, 2, FALSE)</f>
        <v>São Paulo</v>
      </c>
      <c r="C3326" s="3">
        <v>48073</v>
      </c>
      <c r="D3326" s="5" t="str">
        <f>VLOOKUP(C3326, 'DICIONÁRIO CNAES'!$A:$B, 2, FALSE)</f>
        <v>Comércio de eletrodomésticos, móveis e outros artigos de residência</v>
      </c>
      <c r="E3326" s="4">
        <v>231424.77627656999</v>
      </c>
      <c r="F3326" s="4">
        <v>799049803.20505762</v>
      </c>
    </row>
    <row r="3327" spans="1:6" x14ac:dyDescent="0.3">
      <c r="A3327" s="3" t="s">
        <v>23</v>
      </c>
      <c r="B3327" s="7" t="str">
        <f>VLOOKUP(VALUE(A3327), 'DICIONÁRIO UF'!$A:$B, 2, FALSE)</f>
        <v>São Paulo</v>
      </c>
      <c r="C3327" s="3">
        <v>48074</v>
      </c>
      <c r="D3327" s="5" t="str">
        <f>VLOOKUP(C3327, 'DICIONÁRIO CNAES'!$A:$B, 2, FALSE)</f>
        <v>Comércio de equipamentos e produtos de tecnologias de informação e comunicação</v>
      </c>
      <c r="E3327" s="4">
        <v>70129.211882660005</v>
      </c>
      <c r="F3327" s="4">
        <v>336523754.07063401</v>
      </c>
    </row>
    <row r="3328" spans="1:6" x14ac:dyDescent="0.3">
      <c r="A3328" s="3" t="s">
        <v>23</v>
      </c>
      <c r="B3328" s="7" t="str">
        <f>VLOOKUP(VALUE(A3328), 'DICIONÁRIO UF'!$A:$B, 2, FALSE)</f>
        <v>São Paulo</v>
      </c>
      <c r="C3328" s="3">
        <v>48075</v>
      </c>
      <c r="D3328" s="5" t="str">
        <f>VLOOKUP(C3328, 'DICIONÁRIO CNAES'!$A:$B, 2, FALSE)</f>
        <v xml:space="preserve">Comércio de máquinas, aparelhos e equipamentos, exceto eletrodomésticos </v>
      </c>
      <c r="E3328" s="4">
        <v>85339.841162299999</v>
      </c>
      <c r="F3328" s="4">
        <v>263890842.12252221</v>
      </c>
    </row>
    <row r="3329" spans="1:6" x14ac:dyDescent="0.3">
      <c r="A3329" s="3" t="s">
        <v>23</v>
      </c>
      <c r="B3329" s="7" t="str">
        <f>VLOOKUP(VALUE(A3329), 'DICIONÁRIO UF'!$A:$B, 2, FALSE)</f>
        <v>São Paulo</v>
      </c>
      <c r="C3329" s="3">
        <v>48076</v>
      </c>
      <c r="D3329" s="5" t="str">
        <f>VLOOKUP(C3329, 'DICIONÁRIO CNAES'!$A:$B, 2, FALSE)</f>
        <v>Comércio de combustíveis sólidos, líquidos e gasosos, exceto para veículos automotores</v>
      </c>
      <c r="E3329" s="4">
        <v>28142.96317196</v>
      </c>
      <c r="F3329" s="4">
        <v>152692472.85392711</v>
      </c>
    </row>
    <row r="3330" spans="1:6" x14ac:dyDescent="0.3">
      <c r="A3330" s="3" t="s">
        <v>23</v>
      </c>
      <c r="B3330" s="7" t="str">
        <f>VLOOKUP(VALUE(A3330), 'DICIONÁRIO UF'!$A:$B, 2, FALSE)</f>
        <v>São Paulo</v>
      </c>
      <c r="C3330" s="3">
        <v>48077</v>
      </c>
      <c r="D3330" s="5" t="str">
        <f>VLOOKUP(C3330, 'DICIONÁRIO CNAES'!$A:$B, 2, FALSE)</f>
        <v>Comércio de produtos usados</v>
      </c>
      <c r="E3330" s="4">
        <v>11202.449131720001</v>
      </c>
      <c r="F3330" s="4">
        <v>41884071.154135004</v>
      </c>
    </row>
    <row r="3331" spans="1:6" x14ac:dyDescent="0.3">
      <c r="A3331" s="3" t="s">
        <v>23</v>
      </c>
      <c r="B3331" s="7" t="str">
        <f>VLOOKUP(VALUE(A3331), 'DICIONÁRIO UF'!$A:$B, 2, FALSE)</f>
        <v>São Paulo</v>
      </c>
      <c r="C3331" s="3">
        <v>48078</v>
      </c>
      <c r="D3331" s="5" t="str">
        <f>VLOOKUP(C3331, 'DICIONÁRIO CNAES'!$A:$B, 2, FALSE)</f>
        <v>Comercio de residuos e sucatas</v>
      </c>
      <c r="E3331" s="4">
        <v>74595.525636460006</v>
      </c>
      <c r="F3331" s="4">
        <v>83327056.574686095</v>
      </c>
    </row>
    <row r="3332" spans="1:6" x14ac:dyDescent="0.3">
      <c r="A3332" s="3" t="s">
        <v>23</v>
      </c>
      <c r="B3332" s="7" t="str">
        <f>VLOOKUP(VALUE(A3332), 'DICIONÁRIO UF'!$A:$B, 2, FALSE)</f>
        <v>São Paulo</v>
      </c>
      <c r="C3332" s="3">
        <v>48079</v>
      </c>
      <c r="D3332" s="5" t="str">
        <f>VLOOKUP(C3332, 'DICIONÁRIO CNAES'!$A:$B, 2, FALSE)</f>
        <v>Comércio de produtos novos não especificados anteriormente</v>
      </c>
      <c r="E3332" s="4">
        <v>257874.46852508999</v>
      </c>
      <c r="F3332" s="4">
        <v>716743377.33399451</v>
      </c>
    </row>
    <row r="3333" spans="1:6" x14ac:dyDescent="0.3">
      <c r="A3333" s="3" t="s">
        <v>23</v>
      </c>
      <c r="B3333" s="7" t="str">
        <f>VLOOKUP(VALUE(A3333), 'DICIONÁRIO UF'!$A:$B, 2, FALSE)</f>
        <v>São Paulo</v>
      </c>
      <c r="C3333" s="3">
        <v>48080</v>
      </c>
      <c r="D3333" s="5" t="str">
        <f>VLOOKUP(C3333, 'DICIONÁRIO CNAES'!$A:$B, 2, FALSE)</f>
        <v>Supermercado e hipermercado</v>
      </c>
      <c r="E3333" s="4">
        <v>538375.97649021004</v>
      </c>
      <c r="F3333" s="4">
        <v>966896969.44595015</v>
      </c>
    </row>
    <row r="3334" spans="1:6" x14ac:dyDescent="0.3">
      <c r="A3334" s="3" t="s">
        <v>23</v>
      </c>
      <c r="B3334" s="7" t="str">
        <f>VLOOKUP(VALUE(A3334), 'DICIONÁRIO UF'!$A:$B, 2, FALSE)</f>
        <v>São Paulo</v>
      </c>
      <c r="C3334" s="3">
        <v>48090</v>
      </c>
      <c r="D3334" s="5" t="str">
        <f>VLOOKUP(C3334, 'DICIONÁRIO CNAES'!$A:$B, 2, FALSE)</f>
        <v>Lojas de departamento e outros comércios não especializados, sem predominância de produtos alimentícios</v>
      </c>
      <c r="E3334" s="4">
        <v>37116.524768290001</v>
      </c>
      <c r="F3334" s="4">
        <v>92522003.403893694</v>
      </c>
    </row>
    <row r="3335" spans="1:6" x14ac:dyDescent="0.3">
      <c r="A3335" s="3" t="s">
        <v>23</v>
      </c>
      <c r="B3335" s="7" t="str">
        <f>VLOOKUP(VALUE(A3335), 'DICIONÁRIO UF'!$A:$B, 2, FALSE)</f>
        <v>São Paulo</v>
      </c>
      <c r="C3335" s="3">
        <v>48100</v>
      </c>
      <c r="D3335" s="5" t="str">
        <f>VLOOKUP(C3335, 'DICIONÁRIO CNAES'!$A:$B, 2, FALSE)</f>
        <v>Comércio ambulante e feiras</v>
      </c>
      <c r="E3335" s="4">
        <v>159017.82281396</v>
      </c>
      <c r="F3335" s="4">
        <v>208113082.4783487</v>
      </c>
    </row>
    <row r="3336" spans="1:6" x14ac:dyDescent="0.3">
      <c r="A3336" s="3" t="s">
        <v>23</v>
      </c>
      <c r="B3336" s="7" t="str">
        <f>VLOOKUP(VALUE(A3336), 'DICIONÁRIO UF'!$A:$B, 2, FALSE)</f>
        <v>São Paulo</v>
      </c>
      <c r="C3336" s="3">
        <v>49010</v>
      </c>
      <c r="D3336" s="5" t="str">
        <f>VLOOKUP(C3336, 'DICIONÁRIO CNAES'!$A:$B, 2, FALSE)</f>
        <v>Transporte ferroviário e metroferroviário</v>
      </c>
      <c r="E3336" s="4">
        <v>26602.66938865</v>
      </c>
      <c r="F3336" s="4">
        <v>87861266.241300002</v>
      </c>
    </row>
    <row r="3337" spans="1:6" x14ac:dyDescent="0.3">
      <c r="A3337" s="3" t="s">
        <v>23</v>
      </c>
      <c r="B3337" s="7" t="str">
        <f>VLOOKUP(VALUE(A3337), 'DICIONÁRIO UF'!$A:$B, 2, FALSE)</f>
        <v>São Paulo</v>
      </c>
      <c r="C3337" s="3">
        <v>49030</v>
      </c>
      <c r="D3337" s="5" t="str">
        <f>VLOOKUP(C3337, 'DICIONÁRIO CNAES'!$A:$B, 2, FALSE)</f>
        <v>Transporte rodoviário de passageiros</v>
      </c>
      <c r="E3337" s="4">
        <v>402986.83980463003</v>
      </c>
      <c r="F3337" s="4">
        <v>939170040.33622849</v>
      </c>
    </row>
    <row r="3338" spans="1:6" x14ac:dyDescent="0.3">
      <c r="A3338" s="3" t="s">
        <v>23</v>
      </c>
      <c r="B3338" s="7" t="str">
        <f>VLOOKUP(VALUE(A3338), 'DICIONÁRIO UF'!$A:$B, 2, FALSE)</f>
        <v>São Paulo</v>
      </c>
      <c r="C3338" s="3">
        <v>49040</v>
      </c>
      <c r="D3338" s="5" t="str">
        <f>VLOOKUP(C3338, 'DICIONÁRIO CNAES'!$A:$B, 2, FALSE)</f>
        <v>Transporte rodoviário de carga</v>
      </c>
      <c r="E3338" s="4">
        <v>483168.90996766998</v>
      </c>
      <c r="F3338" s="4">
        <v>1328212447.6249239</v>
      </c>
    </row>
    <row r="3339" spans="1:6" x14ac:dyDescent="0.3">
      <c r="A3339" s="3" t="s">
        <v>23</v>
      </c>
      <c r="B3339" s="7" t="str">
        <f>VLOOKUP(VALUE(A3339), 'DICIONÁRIO UF'!$A:$B, 2, FALSE)</f>
        <v>São Paulo</v>
      </c>
      <c r="C3339" s="3">
        <v>50000</v>
      </c>
      <c r="D3339" s="5" t="str">
        <f>VLOOKUP(C3339, 'DICIONÁRIO CNAES'!$A:$B, 2, FALSE)</f>
        <v>Transporte Aquaviário</v>
      </c>
      <c r="E3339" s="4">
        <v>20387.358725990001</v>
      </c>
      <c r="F3339" s="4">
        <v>82607643.905582801</v>
      </c>
    </row>
    <row r="3340" spans="1:6" x14ac:dyDescent="0.3">
      <c r="A3340" s="3" t="s">
        <v>23</v>
      </c>
      <c r="B3340" s="7" t="str">
        <f>VLOOKUP(VALUE(A3340), 'DICIONÁRIO UF'!$A:$B, 2, FALSE)</f>
        <v>São Paulo</v>
      </c>
      <c r="C3340" s="3">
        <v>51000</v>
      </c>
      <c r="D3340" s="5" t="str">
        <f>VLOOKUP(C3340, 'DICIONÁRIO CNAES'!$A:$B, 2, FALSE)</f>
        <v>Transporte Aéreo</v>
      </c>
      <c r="E3340" s="4">
        <v>27991.852735749999</v>
      </c>
      <c r="F3340" s="4">
        <v>114685210.019605</v>
      </c>
    </row>
    <row r="3341" spans="1:6" x14ac:dyDescent="0.3">
      <c r="A3341" s="3" t="s">
        <v>23</v>
      </c>
      <c r="B3341" s="7" t="str">
        <f>VLOOKUP(VALUE(A3341), 'DICIONÁRIO UF'!$A:$B, 2, FALSE)</f>
        <v>São Paulo</v>
      </c>
      <c r="C3341" s="3">
        <v>52010</v>
      </c>
      <c r="D3341" s="5" t="str">
        <f>VLOOKUP(C3341, 'DICIONÁRIO CNAES'!$A:$B, 2, FALSE)</f>
        <v>Armazenamento, carga e descarga</v>
      </c>
      <c r="E3341" s="4">
        <v>15957.6755653</v>
      </c>
      <c r="F3341" s="4">
        <v>30598751.34387736</v>
      </c>
    </row>
    <row r="3342" spans="1:6" x14ac:dyDescent="0.3">
      <c r="A3342" s="3" t="s">
        <v>23</v>
      </c>
      <c r="B3342" s="7" t="str">
        <f>VLOOKUP(VALUE(A3342), 'DICIONÁRIO UF'!$A:$B, 2, FALSE)</f>
        <v>São Paulo</v>
      </c>
      <c r="C3342" s="3">
        <v>52020</v>
      </c>
      <c r="D3342" s="5" t="str">
        <f>VLOOKUP(C3342, 'DICIONÁRIO CNAES'!$A:$B, 2, FALSE)</f>
        <v xml:space="preserve">Atividades auxiliares dos transportes e atividades relacionadas à organização do transporte de carga </v>
      </c>
      <c r="E3342" s="4">
        <v>169487.39987960001</v>
      </c>
      <c r="F3342" s="4">
        <v>792699012.34334171</v>
      </c>
    </row>
    <row r="3343" spans="1:6" x14ac:dyDescent="0.3">
      <c r="A3343" s="3" t="s">
        <v>23</v>
      </c>
      <c r="B3343" s="7" t="str">
        <f>VLOOKUP(VALUE(A3343), 'DICIONÁRIO UF'!$A:$B, 2, FALSE)</f>
        <v>São Paulo</v>
      </c>
      <c r="C3343" s="3">
        <v>53001</v>
      </c>
      <c r="D3343" s="5" t="str">
        <f>VLOOKUP(C3343, 'DICIONÁRIO CNAES'!$A:$B, 2, FALSE)</f>
        <v>Atividades de Correio</v>
      </c>
      <c r="E3343" s="4">
        <v>23670.24397507</v>
      </c>
      <c r="F3343" s="4">
        <v>94944772.434195191</v>
      </c>
    </row>
    <row r="3344" spans="1:6" x14ac:dyDescent="0.3">
      <c r="A3344" s="3" t="s">
        <v>23</v>
      </c>
      <c r="B3344" s="7" t="str">
        <f>VLOOKUP(VALUE(A3344), 'DICIONÁRIO UF'!$A:$B, 2, FALSE)</f>
        <v>São Paulo</v>
      </c>
      <c r="C3344" s="3">
        <v>53002</v>
      </c>
      <c r="D3344" s="5" t="str">
        <f>VLOOKUP(C3344, 'DICIONÁRIO CNAES'!$A:$B, 2, FALSE)</f>
        <v>Atividades de malote e de entrega</v>
      </c>
      <c r="E3344" s="4">
        <v>162920.84413382001</v>
      </c>
      <c r="F3344" s="4">
        <v>280690625.27259523</v>
      </c>
    </row>
    <row r="3345" spans="1:6" x14ac:dyDescent="0.3">
      <c r="A3345" s="3" t="s">
        <v>23</v>
      </c>
      <c r="B3345" s="7" t="str">
        <f>VLOOKUP(VALUE(A3345), 'DICIONÁRIO UF'!$A:$B, 2, FALSE)</f>
        <v>São Paulo</v>
      </c>
      <c r="C3345" s="3">
        <v>55000</v>
      </c>
      <c r="D3345" s="5" t="str">
        <f>VLOOKUP(C3345, 'DICIONÁRIO CNAES'!$A:$B, 2, FALSE)</f>
        <v>Alojamento</v>
      </c>
      <c r="E3345" s="4">
        <v>69161.53374323</v>
      </c>
      <c r="F3345" s="4">
        <v>139982189.17129859</v>
      </c>
    </row>
    <row r="3346" spans="1:6" x14ac:dyDescent="0.3">
      <c r="A3346" s="3" t="s">
        <v>23</v>
      </c>
      <c r="B3346" s="7" t="str">
        <f>VLOOKUP(VALUE(A3346), 'DICIONÁRIO UF'!$A:$B, 2, FALSE)</f>
        <v>São Paulo</v>
      </c>
      <c r="C3346" s="3">
        <v>56011</v>
      </c>
      <c r="D3346" s="5" t="str">
        <f>VLOOKUP(C3346, 'DICIONÁRIO CNAES'!$A:$B, 2, FALSE)</f>
        <v>Restaurantes e outros estabelecimentos de serviços de alimentação e bebidas</v>
      </c>
      <c r="E3346" s="4">
        <v>799259.36562816997</v>
      </c>
      <c r="F3346" s="4">
        <v>1614607652.052222</v>
      </c>
    </row>
    <row r="3347" spans="1:6" x14ac:dyDescent="0.3">
      <c r="A3347" s="3" t="s">
        <v>23</v>
      </c>
      <c r="B3347" s="7" t="str">
        <f>VLOOKUP(VALUE(A3347), 'DICIONÁRIO UF'!$A:$B, 2, FALSE)</f>
        <v>São Paulo</v>
      </c>
      <c r="C3347" s="3">
        <v>56012</v>
      </c>
      <c r="D3347" s="5" t="str">
        <f>VLOOKUP(C3347, 'DICIONÁRIO CNAES'!$A:$B, 2, FALSE)</f>
        <v>Serviços de catering, bufê e outros serviços de comida preparada</v>
      </c>
      <c r="E3347" s="4">
        <v>221052.37377028001</v>
      </c>
      <c r="F3347" s="4">
        <v>327938534.71154708</v>
      </c>
    </row>
    <row r="3348" spans="1:6" x14ac:dyDescent="0.3">
      <c r="A3348" s="3" t="s">
        <v>23</v>
      </c>
      <c r="B3348" s="7" t="str">
        <f>VLOOKUP(VALUE(A3348), 'DICIONÁRIO UF'!$A:$B, 2, FALSE)</f>
        <v>São Paulo</v>
      </c>
      <c r="C3348" s="3">
        <v>56020</v>
      </c>
      <c r="D3348" s="5" t="str">
        <f>VLOOKUP(C3348, 'DICIONÁRIO CNAES'!$A:$B, 2, FALSE)</f>
        <v>Serviços ambulantes de alimentação</v>
      </c>
      <c r="E3348" s="4">
        <v>66416.207288610007</v>
      </c>
      <c r="F3348" s="4">
        <v>73729922.955148697</v>
      </c>
    </row>
    <row r="3349" spans="1:6" x14ac:dyDescent="0.3">
      <c r="A3349" s="3" t="s">
        <v>23</v>
      </c>
      <c r="B3349" s="7" t="str">
        <f>VLOOKUP(VALUE(A3349), 'DICIONÁRIO UF'!$A:$B, 2, FALSE)</f>
        <v>São Paulo</v>
      </c>
      <c r="C3349" s="3">
        <v>58000</v>
      </c>
      <c r="D3349" s="5" t="str">
        <f>VLOOKUP(C3349, 'DICIONÁRIO CNAES'!$A:$B, 2, FALSE)</f>
        <v xml:space="preserve">Edição e Edição integrada à impressão </v>
      </c>
      <c r="E3349" s="4">
        <v>36780.072690380002</v>
      </c>
      <c r="F3349" s="4">
        <v>135318073.18838379</v>
      </c>
    </row>
    <row r="3350" spans="1:6" x14ac:dyDescent="0.3">
      <c r="A3350" s="3" t="s">
        <v>23</v>
      </c>
      <c r="B3350" s="7" t="str">
        <f>VLOOKUP(VALUE(A3350), 'DICIONÁRIO UF'!$A:$B, 2, FALSE)</f>
        <v>São Paulo</v>
      </c>
      <c r="C3350" s="3">
        <v>59000</v>
      </c>
      <c r="D3350" s="5" t="str">
        <f>VLOOKUP(C3350, 'DICIONÁRIO CNAES'!$A:$B, 2, FALSE)</f>
        <v>Atividades cinematográficas, produção de vídeos e de programas de televisão, gravação de som e de música</v>
      </c>
      <c r="E3350" s="4">
        <v>23993.605632260002</v>
      </c>
      <c r="F3350" s="4">
        <v>135674421.759536</v>
      </c>
    </row>
    <row r="3351" spans="1:6" x14ac:dyDescent="0.3">
      <c r="A3351" s="3" t="s">
        <v>23</v>
      </c>
      <c r="B3351" s="7" t="str">
        <f>VLOOKUP(VALUE(A3351), 'DICIONÁRIO UF'!$A:$B, 2, FALSE)</f>
        <v>São Paulo</v>
      </c>
      <c r="C3351" s="3">
        <v>60001</v>
      </c>
      <c r="D3351" s="5" t="str">
        <f>VLOOKUP(C3351, 'DICIONÁRIO CNAES'!$A:$B, 2, FALSE)</f>
        <v>Atividades de rádio</v>
      </c>
      <c r="E3351" s="4">
        <v>13271.643255749999</v>
      </c>
      <c r="F3351" s="4">
        <v>40943929.497400999</v>
      </c>
    </row>
    <row r="3352" spans="1:6" x14ac:dyDescent="0.3">
      <c r="A3352" s="3" t="s">
        <v>23</v>
      </c>
      <c r="B3352" s="7" t="str">
        <f>VLOOKUP(VALUE(A3352), 'DICIONÁRIO UF'!$A:$B, 2, FALSE)</f>
        <v>São Paulo</v>
      </c>
      <c r="C3352" s="3">
        <v>60002</v>
      </c>
      <c r="D3352" s="5" t="str">
        <f>VLOOKUP(C3352, 'DICIONÁRIO CNAES'!$A:$B, 2, FALSE)</f>
        <v>Atividades de televisão</v>
      </c>
      <c r="E3352" s="4">
        <v>24134.028864420001</v>
      </c>
      <c r="F3352" s="4">
        <v>328401242.65691</v>
      </c>
    </row>
    <row r="3353" spans="1:6" x14ac:dyDescent="0.3">
      <c r="A3353" s="3" t="s">
        <v>23</v>
      </c>
      <c r="B3353" s="7" t="str">
        <f>VLOOKUP(VALUE(A3353), 'DICIONÁRIO UF'!$A:$B, 2, FALSE)</f>
        <v>São Paulo</v>
      </c>
      <c r="C3353" s="3">
        <v>61000</v>
      </c>
      <c r="D3353" s="5" t="str">
        <f>VLOOKUP(C3353, 'DICIONÁRIO CNAES'!$A:$B, 2, FALSE)</f>
        <v>Telecomunicações</v>
      </c>
      <c r="E3353" s="4">
        <v>140323.68978211001</v>
      </c>
      <c r="F3353" s="4">
        <v>483046413.87754518</v>
      </c>
    </row>
    <row r="3354" spans="1:6" x14ac:dyDescent="0.3">
      <c r="A3354" s="3" t="s">
        <v>23</v>
      </c>
      <c r="B3354" s="7" t="str">
        <f>VLOOKUP(VALUE(A3354), 'DICIONÁRIO UF'!$A:$B, 2, FALSE)</f>
        <v>São Paulo</v>
      </c>
      <c r="C3354" s="3">
        <v>62000</v>
      </c>
      <c r="D3354" s="5" t="str">
        <f>VLOOKUP(C3354, 'DICIONÁRIO CNAES'!$A:$B, 2, FALSE)</f>
        <v>Atividades dos serviços de tecnologia da informação</v>
      </c>
      <c r="E3354" s="4">
        <v>387189.67219128</v>
      </c>
      <c r="F3354" s="4">
        <v>2228551510.2757812</v>
      </c>
    </row>
    <row r="3355" spans="1:6" x14ac:dyDescent="0.3">
      <c r="A3355" s="3" t="s">
        <v>23</v>
      </c>
      <c r="B3355" s="7" t="str">
        <f>VLOOKUP(VALUE(A3355), 'DICIONÁRIO UF'!$A:$B, 2, FALSE)</f>
        <v>São Paulo</v>
      </c>
      <c r="C3355" s="3">
        <v>63000</v>
      </c>
      <c r="D3355" s="5" t="str">
        <f>VLOOKUP(C3355, 'DICIONÁRIO CNAES'!$A:$B, 2, FALSE)</f>
        <v>Atividades de prestação de serviços de informação</v>
      </c>
      <c r="E3355" s="4">
        <v>20649.00956635</v>
      </c>
      <c r="F3355" s="4">
        <v>131049025.644656</v>
      </c>
    </row>
    <row r="3356" spans="1:6" x14ac:dyDescent="0.3">
      <c r="A3356" s="3" t="s">
        <v>23</v>
      </c>
      <c r="B3356" s="7" t="str">
        <f>VLOOKUP(VALUE(A3356), 'DICIONÁRIO UF'!$A:$B, 2, FALSE)</f>
        <v>São Paulo</v>
      </c>
      <c r="C3356" s="3">
        <v>64000</v>
      </c>
      <c r="D3356" s="5" t="str">
        <f>VLOOKUP(C3356, 'DICIONÁRIO CNAES'!$A:$B, 2, FALSE)</f>
        <v>Serviços financeiros</v>
      </c>
      <c r="E3356" s="4">
        <v>337301.52163144998</v>
      </c>
      <c r="F3356" s="4">
        <v>2112171982.527025</v>
      </c>
    </row>
    <row r="3357" spans="1:6" x14ac:dyDescent="0.3">
      <c r="A3357" s="3" t="s">
        <v>23</v>
      </c>
      <c r="B3357" s="7" t="str">
        <f>VLOOKUP(VALUE(A3357), 'DICIONÁRIO UF'!$A:$B, 2, FALSE)</f>
        <v>São Paulo</v>
      </c>
      <c r="C3357" s="3">
        <v>65000</v>
      </c>
      <c r="D3357" s="5" t="str">
        <f>VLOOKUP(C3357, 'DICIONÁRIO CNAES'!$A:$B, 2, FALSE)</f>
        <v>Seguros e previdência privada</v>
      </c>
      <c r="E3357" s="4">
        <v>96472.621825509996</v>
      </c>
      <c r="F3357" s="4">
        <v>326328949.94458199</v>
      </c>
    </row>
    <row r="3358" spans="1:6" x14ac:dyDescent="0.3">
      <c r="A3358" s="3" t="s">
        <v>23</v>
      </c>
      <c r="B3358" s="7" t="str">
        <f>VLOOKUP(VALUE(A3358), 'DICIONÁRIO UF'!$A:$B, 2, FALSE)</f>
        <v>São Paulo</v>
      </c>
      <c r="C3358" s="3">
        <v>66001</v>
      </c>
      <c r="D3358" s="5" t="str">
        <f>VLOOKUP(C3358, 'DICIONÁRIO CNAES'!$A:$B, 2, FALSE)</f>
        <v>Atividades auxiliares dos serviços financeiros</v>
      </c>
      <c r="E3358" s="4">
        <v>46841.648808890001</v>
      </c>
      <c r="F3358" s="4">
        <v>351877264.62123102</v>
      </c>
    </row>
    <row r="3359" spans="1:6" x14ac:dyDescent="0.3">
      <c r="A3359" s="3" t="s">
        <v>23</v>
      </c>
      <c r="B3359" s="7" t="str">
        <f>VLOOKUP(VALUE(A3359), 'DICIONÁRIO UF'!$A:$B, 2, FALSE)</f>
        <v>São Paulo</v>
      </c>
      <c r="C3359" s="3">
        <v>66002</v>
      </c>
      <c r="D3359" s="5" t="str">
        <f>VLOOKUP(C3359, 'DICIONÁRIO CNAES'!$A:$B, 2, FALSE)</f>
        <v>Atividades auxiliares dos seguros, da previdência complementar e dos planos de saúde</v>
      </c>
      <c r="E3359" s="4">
        <v>54486.184870719997</v>
      </c>
      <c r="F3359" s="4">
        <v>276219791.4274627</v>
      </c>
    </row>
    <row r="3360" spans="1:6" x14ac:dyDescent="0.3">
      <c r="A3360" s="3" t="s">
        <v>23</v>
      </c>
      <c r="B3360" s="7" t="str">
        <f>VLOOKUP(VALUE(A3360), 'DICIONÁRIO UF'!$A:$B, 2, FALSE)</f>
        <v>São Paulo</v>
      </c>
      <c r="C3360" s="3">
        <v>68000</v>
      </c>
      <c r="D3360" s="5" t="str">
        <f>VLOOKUP(C3360, 'DICIONÁRIO CNAES'!$A:$B, 2, FALSE)</f>
        <v>Atividades imobiliárias</v>
      </c>
      <c r="E3360" s="4">
        <v>207406.66140534999</v>
      </c>
      <c r="F3360" s="4">
        <v>760506244.80406117</v>
      </c>
    </row>
    <row r="3361" spans="1:6" x14ac:dyDescent="0.3">
      <c r="A3361" s="3" t="s">
        <v>23</v>
      </c>
      <c r="B3361" s="7" t="str">
        <f>VLOOKUP(VALUE(A3361), 'DICIONÁRIO UF'!$A:$B, 2, FALSE)</f>
        <v>São Paulo</v>
      </c>
      <c r="C3361" s="3">
        <v>69000</v>
      </c>
      <c r="D3361" s="5" t="str">
        <f>VLOOKUP(C3361, 'DICIONÁRIO CNAES'!$A:$B, 2, FALSE)</f>
        <v xml:space="preserve">Atividades jurídicas, de contabilidade e de auditoria </v>
      </c>
      <c r="E3361" s="4">
        <v>557180.03026711999</v>
      </c>
      <c r="F3361" s="4">
        <v>2438034917.040185</v>
      </c>
    </row>
    <row r="3362" spans="1:6" x14ac:dyDescent="0.3">
      <c r="A3362" s="3" t="s">
        <v>23</v>
      </c>
      <c r="B3362" s="7" t="str">
        <f>VLOOKUP(VALUE(A3362), 'DICIONÁRIO UF'!$A:$B, 2, FALSE)</f>
        <v>São Paulo</v>
      </c>
      <c r="C3362" s="3">
        <v>70000</v>
      </c>
      <c r="D3362" s="5" t="str">
        <f>VLOOKUP(C3362, 'DICIONÁRIO CNAES'!$A:$B, 2, FALSE)</f>
        <v>Atividades de consultoria em gestão empresarial</v>
      </c>
      <c r="E3362" s="4">
        <v>72702.404277559996</v>
      </c>
      <c r="F3362" s="4">
        <v>570910940.73107505</v>
      </c>
    </row>
    <row r="3363" spans="1:6" x14ac:dyDescent="0.3">
      <c r="A3363" s="3" t="s">
        <v>23</v>
      </c>
      <c r="B3363" s="7" t="str">
        <f>VLOOKUP(VALUE(A3363), 'DICIONÁRIO UF'!$A:$B, 2, FALSE)</f>
        <v>São Paulo</v>
      </c>
      <c r="C3363" s="3">
        <v>71000</v>
      </c>
      <c r="D3363" s="5" t="str">
        <f>VLOOKUP(C3363, 'DICIONÁRIO CNAES'!$A:$B, 2, FALSE)</f>
        <v>Serviços de arquitetura e engenharia e atividades técnicas relacionadas; Testes e análises técnicas</v>
      </c>
      <c r="E3363" s="4">
        <v>220763.72228367001</v>
      </c>
      <c r="F3363" s="4">
        <v>1175606271.734889</v>
      </c>
    </row>
    <row r="3364" spans="1:6" x14ac:dyDescent="0.3">
      <c r="A3364" s="3" t="s">
        <v>23</v>
      </c>
      <c r="B3364" s="7" t="str">
        <f>VLOOKUP(VALUE(A3364), 'DICIONÁRIO UF'!$A:$B, 2, FALSE)</f>
        <v>São Paulo</v>
      </c>
      <c r="C3364" s="3">
        <v>72000</v>
      </c>
      <c r="D3364" s="5" t="str">
        <f>VLOOKUP(C3364, 'DICIONÁRIO CNAES'!$A:$B, 2, FALSE)</f>
        <v>Pesquisa e desenvolvimento científico</v>
      </c>
      <c r="E3364" s="4">
        <v>6742.2717294800004</v>
      </c>
      <c r="F3364" s="4">
        <v>28366865.793403</v>
      </c>
    </row>
    <row r="3365" spans="1:6" x14ac:dyDescent="0.3">
      <c r="A3365" s="3" t="s">
        <v>23</v>
      </c>
      <c r="B3365" s="7" t="str">
        <f>VLOOKUP(VALUE(A3365), 'DICIONÁRIO UF'!$A:$B, 2, FALSE)</f>
        <v>São Paulo</v>
      </c>
      <c r="C3365" s="3">
        <v>73010</v>
      </c>
      <c r="D3365" s="5" t="str">
        <f>VLOOKUP(C3365, 'DICIONÁRIO CNAES'!$A:$B, 2, FALSE)</f>
        <v>Publicidade</v>
      </c>
      <c r="E3365" s="4">
        <v>143496.46091333</v>
      </c>
      <c r="F3365" s="4">
        <v>883095674.40817904</v>
      </c>
    </row>
    <row r="3366" spans="1:6" x14ac:dyDescent="0.3">
      <c r="A3366" s="3" t="s">
        <v>23</v>
      </c>
      <c r="B3366" s="7" t="str">
        <f>VLOOKUP(VALUE(A3366), 'DICIONÁRIO UF'!$A:$B, 2, FALSE)</f>
        <v>São Paulo</v>
      </c>
      <c r="C3366" s="3">
        <v>73020</v>
      </c>
      <c r="D3366" s="5" t="str">
        <f>VLOOKUP(C3366, 'DICIONÁRIO CNAES'!$A:$B, 2, FALSE)</f>
        <v>Pesquisas de mercado e opinião pública</v>
      </c>
      <c r="E3366" s="4">
        <v>9527.5000355100001</v>
      </c>
      <c r="F3366" s="4">
        <v>50749399.588647999</v>
      </c>
    </row>
    <row r="3367" spans="1:6" x14ac:dyDescent="0.3">
      <c r="A3367" s="3" t="s">
        <v>23</v>
      </c>
      <c r="B3367" s="7" t="str">
        <f>VLOOKUP(VALUE(A3367), 'DICIONÁRIO UF'!$A:$B, 2, FALSE)</f>
        <v>São Paulo</v>
      </c>
      <c r="C3367" s="3">
        <v>74000</v>
      </c>
      <c r="D3367" s="5" t="str">
        <f>VLOOKUP(C3367, 'DICIONÁRIO CNAES'!$A:$B, 2, FALSE)</f>
        <v>Outras atividades profissionais, científicas e técnicas não especificadas anteriormente</v>
      </c>
      <c r="E3367" s="4">
        <v>115719.6778427</v>
      </c>
      <c r="F3367" s="4">
        <v>406014344.65250218</v>
      </c>
    </row>
    <row r="3368" spans="1:6" x14ac:dyDescent="0.3">
      <c r="A3368" s="3" t="s">
        <v>23</v>
      </c>
      <c r="B3368" s="7" t="str">
        <f>VLOOKUP(VALUE(A3368), 'DICIONÁRIO UF'!$A:$B, 2, FALSE)</f>
        <v>São Paulo</v>
      </c>
      <c r="C3368" s="3">
        <v>75000</v>
      </c>
      <c r="D3368" s="5" t="str">
        <f>VLOOKUP(C3368, 'DICIONÁRIO CNAES'!$A:$B, 2, FALSE)</f>
        <v>Atividades veterinárias</v>
      </c>
      <c r="E3368" s="4">
        <v>48731.019606139998</v>
      </c>
      <c r="F3368" s="4">
        <v>169617540.528714</v>
      </c>
    </row>
    <row r="3369" spans="1:6" x14ac:dyDescent="0.3">
      <c r="A3369" s="3" t="s">
        <v>23</v>
      </c>
      <c r="B3369" s="7" t="str">
        <f>VLOOKUP(VALUE(A3369), 'DICIONÁRIO UF'!$A:$B, 2, FALSE)</f>
        <v>São Paulo</v>
      </c>
      <c r="C3369" s="3">
        <v>77010</v>
      </c>
      <c r="D3369" s="5" t="str">
        <f>VLOOKUP(C3369, 'DICIONÁRIO CNAES'!$A:$B, 2, FALSE)</f>
        <v>Aluguel de objetos pessoais e domésticos</v>
      </c>
      <c r="E3369" s="4">
        <v>14455.533176000001</v>
      </c>
      <c r="F3369" s="4">
        <v>120772198.14023</v>
      </c>
    </row>
    <row r="3370" spans="1:6" x14ac:dyDescent="0.3">
      <c r="A3370" s="3" t="s">
        <v>23</v>
      </c>
      <c r="B3370" s="7" t="str">
        <f>VLOOKUP(VALUE(A3370), 'DICIONÁRIO UF'!$A:$B, 2, FALSE)</f>
        <v>São Paulo</v>
      </c>
      <c r="C3370" s="3">
        <v>77020</v>
      </c>
      <c r="D3370" s="5" t="str">
        <f>VLOOKUP(C3370, 'DICIONÁRIO CNAES'!$A:$B, 2, FALSE)</f>
        <v>Aluguel de meios de transportes, maquinas e equipamentos sem operador e gestão de ativos intangíveis não financeiros</v>
      </c>
      <c r="E3370" s="4">
        <v>29987.520936059998</v>
      </c>
      <c r="F3370" s="4">
        <v>78951043.192507595</v>
      </c>
    </row>
    <row r="3371" spans="1:6" x14ac:dyDescent="0.3">
      <c r="A3371" s="3" t="s">
        <v>23</v>
      </c>
      <c r="B3371" s="7" t="str">
        <f>VLOOKUP(VALUE(A3371), 'DICIONÁRIO UF'!$A:$B, 2, FALSE)</f>
        <v>São Paulo</v>
      </c>
      <c r="C3371" s="3">
        <v>78000</v>
      </c>
      <c r="D3371" s="5" t="str">
        <f>VLOOKUP(C3371, 'DICIONÁRIO CNAES'!$A:$B, 2, FALSE)</f>
        <v>Seleção, agenciamento e locação de mão-de-obra</v>
      </c>
      <c r="E3371" s="4">
        <v>161113.81896192001</v>
      </c>
      <c r="F3371" s="4">
        <v>316947139.93918008</v>
      </c>
    </row>
    <row r="3372" spans="1:6" x14ac:dyDescent="0.3">
      <c r="A3372" s="3" t="s">
        <v>23</v>
      </c>
      <c r="B3372" s="7" t="str">
        <f>VLOOKUP(VALUE(A3372), 'DICIONÁRIO UF'!$A:$B, 2, FALSE)</f>
        <v>São Paulo</v>
      </c>
      <c r="C3372" s="3">
        <v>79000</v>
      </c>
      <c r="D3372" s="5" t="str">
        <f>VLOOKUP(C3372, 'DICIONÁRIO CNAES'!$A:$B, 2, FALSE)</f>
        <v>Agências de viagens, operadores turísticos e serviços de reservas</v>
      </c>
      <c r="E3372" s="4">
        <v>29814.017813930001</v>
      </c>
      <c r="F3372" s="4">
        <v>76049340.605923995</v>
      </c>
    </row>
    <row r="3373" spans="1:6" x14ac:dyDescent="0.3">
      <c r="A3373" s="3" t="s">
        <v>23</v>
      </c>
      <c r="B3373" s="7" t="str">
        <f>VLOOKUP(VALUE(A3373), 'DICIONÁRIO UF'!$A:$B, 2, FALSE)</f>
        <v>São Paulo</v>
      </c>
      <c r="C3373" s="3">
        <v>80000</v>
      </c>
      <c r="D3373" s="5" t="str">
        <f>VLOOKUP(C3373, 'DICIONÁRIO CNAES'!$A:$B, 2, FALSE)</f>
        <v>Atividades de vigilância, segurança, transporte de valores e investigação</v>
      </c>
      <c r="E3373" s="4">
        <v>242781.34831706001</v>
      </c>
      <c r="F3373" s="4">
        <v>533308482.71779788</v>
      </c>
    </row>
    <row r="3374" spans="1:6" x14ac:dyDescent="0.3">
      <c r="A3374" s="3" t="s">
        <v>23</v>
      </c>
      <c r="B3374" s="7" t="str">
        <f>VLOOKUP(VALUE(A3374), 'DICIONÁRIO UF'!$A:$B, 2, FALSE)</f>
        <v>São Paulo</v>
      </c>
      <c r="C3374" s="3">
        <v>81011</v>
      </c>
      <c r="D3374" s="5" t="str">
        <f>VLOOKUP(C3374, 'DICIONÁRIO CNAES'!$A:$B, 2, FALSE)</f>
        <v>Serviços de limpeza e de apoio a edifícios, exceto condomínios prediais</v>
      </c>
      <c r="E3374" s="4">
        <v>254542.46180185</v>
      </c>
      <c r="F3374" s="4">
        <v>402585752.7742275</v>
      </c>
    </row>
    <row r="3375" spans="1:6" x14ac:dyDescent="0.3">
      <c r="A3375" s="3" t="s">
        <v>23</v>
      </c>
      <c r="B3375" s="7" t="str">
        <f>VLOOKUP(VALUE(A3375), 'DICIONÁRIO UF'!$A:$B, 2, FALSE)</f>
        <v>São Paulo</v>
      </c>
      <c r="C3375" s="3">
        <v>81012</v>
      </c>
      <c r="D3375" s="5" t="str">
        <f>VLOOKUP(C3375, 'DICIONÁRIO CNAES'!$A:$B, 2, FALSE)</f>
        <v>Condomínios prediais</v>
      </c>
      <c r="E3375" s="4">
        <v>141758.98702211</v>
      </c>
      <c r="F3375" s="4">
        <v>271387633.4583708</v>
      </c>
    </row>
    <row r="3376" spans="1:6" x14ac:dyDescent="0.3">
      <c r="A3376" s="3" t="s">
        <v>23</v>
      </c>
      <c r="B3376" s="7" t="str">
        <f>VLOOKUP(VALUE(A3376), 'DICIONÁRIO UF'!$A:$B, 2, FALSE)</f>
        <v>São Paulo</v>
      </c>
      <c r="C3376" s="3">
        <v>81020</v>
      </c>
      <c r="D3376" s="5" t="str">
        <f>VLOOKUP(C3376, 'DICIONÁRIO CNAES'!$A:$B, 2, FALSE)</f>
        <v>Atividades paisagísticas</v>
      </c>
      <c r="E3376" s="4">
        <v>47395.833582970001</v>
      </c>
      <c r="F3376" s="4">
        <v>112802714.20593441</v>
      </c>
    </row>
    <row r="3377" spans="1:6" x14ac:dyDescent="0.3">
      <c r="A3377" s="3" t="s">
        <v>23</v>
      </c>
      <c r="B3377" s="7" t="str">
        <f>VLOOKUP(VALUE(A3377), 'DICIONÁRIO UF'!$A:$B, 2, FALSE)</f>
        <v>São Paulo</v>
      </c>
      <c r="C3377" s="3">
        <v>82001</v>
      </c>
      <c r="D3377" s="5" t="str">
        <f>VLOOKUP(C3377, 'DICIONÁRIO CNAES'!$A:$B, 2, FALSE)</f>
        <v>Serviços de escritório e apoio administrativo</v>
      </c>
      <c r="E3377" s="4">
        <v>14467.79658414</v>
      </c>
      <c r="F3377" s="4">
        <v>49206515.163153</v>
      </c>
    </row>
    <row r="3378" spans="1:6" x14ac:dyDescent="0.3">
      <c r="A3378" s="3" t="s">
        <v>23</v>
      </c>
      <c r="B3378" s="7" t="str">
        <f>VLOOKUP(VALUE(A3378), 'DICIONÁRIO UF'!$A:$B, 2, FALSE)</f>
        <v>São Paulo</v>
      </c>
      <c r="C3378" s="3">
        <v>82002</v>
      </c>
      <c r="D3378" s="5" t="str">
        <f>VLOOKUP(C3378, 'DICIONÁRIO CNAES'!$A:$B, 2, FALSE)</f>
        <v>Atividades de teleatendimento</v>
      </c>
      <c r="E3378" s="4">
        <v>189706.26184915999</v>
      </c>
      <c r="F3378" s="4">
        <v>321986379.03057969</v>
      </c>
    </row>
    <row r="3379" spans="1:6" x14ac:dyDescent="0.3">
      <c r="A3379" s="3" t="s">
        <v>23</v>
      </c>
      <c r="B3379" s="7" t="str">
        <f>VLOOKUP(VALUE(A3379), 'DICIONÁRIO UF'!$A:$B, 2, FALSE)</f>
        <v>São Paulo</v>
      </c>
      <c r="C3379" s="3">
        <v>82003</v>
      </c>
      <c r="D3379" s="5" t="str">
        <f>VLOOKUP(C3379, 'DICIONÁRIO CNAES'!$A:$B, 2, FALSE)</f>
        <v>Atividades de organização de eventos, exceto culturais e esportivos</v>
      </c>
      <c r="E3379" s="4">
        <v>32607.90542056</v>
      </c>
      <c r="F3379" s="4">
        <v>138573446.99060741</v>
      </c>
    </row>
    <row r="3380" spans="1:6" x14ac:dyDescent="0.3">
      <c r="A3380" s="3" t="s">
        <v>23</v>
      </c>
      <c r="B3380" s="7" t="str">
        <f>VLOOKUP(VALUE(A3380), 'DICIONÁRIO UF'!$A:$B, 2, FALSE)</f>
        <v>São Paulo</v>
      </c>
      <c r="C3380" s="3">
        <v>82009</v>
      </c>
      <c r="D3380" s="5" t="str">
        <f>VLOOKUP(C3380, 'DICIONÁRIO CNAES'!$A:$B, 2, FALSE)</f>
        <v>Outras atividades de serviços prestados principalmente às empresas</v>
      </c>
      <c r="E3380" s="4">
        <v>79124.851547379993</v>
      </c>
      <c r="F3380" s="4">
        <v>244426210.34160891</v>
      </c>
    </row>
    <row r="3381" spans="1:6" x14ac:dyDescent="0.3">
      <c r="A3381" s="3" t="s">
        <v>23</v>
      </c>
      <c r="B3381" s="7" t="str">
        <f>VLOOKUP(VALUE(A3381), 'DICIONÁRIO UF'!$A:$B, 2, FALSE)</f>
        <v>São Paulo</v>
      </c>
      <c r="C3381" s="3">
        <v>84011</v>
      </c>
      <c r="D3381" s="5" t="str">
        <f>VLOOKUP(C3381, 'DICIONÁRIO CNAES'!$A:$B, 2, FALSE)</f>
        <v>Administração publica e regulação da política econômica e social - Federal</v>
      </c>
      <c r="E3381" s="4">
        <v>29526.25349196</v>
      </c>
      <c r="F3381" s="4">
        <v>308957062.32104182</v>
      </c>
    </row>
    <row r="3382" spans="1:6" x14ac:dyDescent="0.3">
      <c r="A3382" s="3" t="s">
        <v>23</v>
      </c>
      <c r="B3382" s="7" t="str">
        <f>VLOOKUP(VALUE(A3382), 'DICIONÁRIO UF'!$A:$B, 2, FALSE)</f>
        <v>São Paulo</v>
      </c>
      <c r="C3382" s="3">
        <v>84012</v>
      </c>
      <c r="D3382" s="5" t="str">
        <f>VLOOKUP(C3382, 'DICIONÁRIO CNAES'!$A:$B, 2, FALSE)</f>
        <v>Administração publica e regulação da política econômica e social - Estadual</v>
      </c>
      <c r="E3382" s="4">
        <v>54047.991639729997</v>
      </c>
      <c r="F3382" s="4">
        <v>205385384.0184373</v>
      </c>
    </row>
    <row r="3383" spans="1:6" x14ac:dyDescent="0.3">
      <c r="A3383" s="3" t="s">
        <v>23</v>
      </c>
      <c r="B3383" s="7" t="str">
        <f>VLOOKUP(VALUE(A3383), 'DICIONÁRIO UF'!$A:$B, 2, FALSE)</f>
        <v>São Paulo</v>
      </c>
      <c r="C3383" s="3">
        <v>84013</v>
      </c>
      <c r="D3383" s="5" t="str">
        <f>VLOOKUP(C3383, 'DICIONÁRIO CNAES'!$A:$B, 2, FALSE)</f>
        <v>Administração publica e regulação da política econômica e social - Municipal</v>
      </c>
      <c r="E3383" s="4">
        <v>475395.41950860003</v>
      </c>
      <c r="F3383" s="4">
        <v>1524242117.9358959</v>
      </c>
    </row>
    <row r="3384" spans="1:6" x14ac:dyDescent="0.3">
      <c r="A3384" s="3" t="s">
        <v>23</v>
      </c>
      <c r="B3384" s="7" t="str">
        <f>VLOOKUP(VALUE(A3384), 'DICIONÁRIO UF'!$A:$B, 2, FALSE)</f>
        <v>São Paulo</v>
      </c>
      <c r="C3384" s="3">
        <v>84014</v>
      </c>
      <c r="D3384" s="5" t="str">
        <f>VLOOKUP(C3384, 'DICIONÁRIO CNAES'!$A:$B, 2, FALSE)</f>
        <v>Defesa</v>
      </c>
      <c r="E3384" s="4">
        <v>34597.970011079997</v>
      </c>
      <c r="F3384" s="4">
        <v>138884789.80609101</v>
      </c>
    </row>
    <row r="3385" spans="1:6" x14ac:dyDescent="0.3">
      <c r="A3385" s="3" t="s">
        <v>23</v>
      </c>
      <c r="B3385" s="7" t="str">
        <f>VLOOKUP(VALUE(A3385), 'DICIONÁRIO UF'!$A:$B, 2, FALSE)</f>
        <v>São Paulo</v>
      </c>
      <c r="C3385" s="3">
        <v>84015</v>
      </c>
      <c r="D3385" s="5" t="str">
        <f>VLOOKUP(C3385, 'DICIONÁRIO CNAES'!$A:$B, 2, FALSE)</f>
        <v>Outros serviços coletivos prestados pela administração pública - Federal</v>
      </c>
      <c r="E3385" s="4">
        <v>11949.42306531</v>
      </c>
      <c r="F3385" s="4">
        <v>118030405.698516</v>
      </c>
    </row>
    <row r="3386" spans="1:6" x14ac:dyDescent="0.3">
      <c r="A3386" s="3" t="s">
        <v>23</v>
      </c>
      <c r="B3386" s="7" t="str">
        <f>VLOOKUP(VALUE(A3386), 'DICIONÁRIO UF'!$A:$B, 2, FALSE)</f>
        <v>São Paulo</v>
      </c>
      <c r="C3386" s="3">
        <v>84016</v>
      </c>
      <c r="D3386" s="5" t="str">
        <f>VLOOKUP(C3386, 'DICIONÁRIO CNAES'!$A:$B, 2, FALSE)</f>
        <v>Outros serviços coletivos prestados pela administração pública - Estadual</v>
      </c>
      <c r="E3386" s="4">
        <v>190215.43346361999</v>
      </c>
      <c r="F3386" s="4">
        <v>1203501341.231288</v>
      </c>
    </row>
    <row r="3387" spans="1:6" x14ac:dyDescent="0.3">
      <c r="A3387" s="3" t="s">
        <v>23</v>
      </c>
      <c r="B3387" s="7" t="str">
        <f>VLOOKUP(VALUE(A3387), 'DICIONÁRIO UF'!$A:$B, 2, FALSE)</f>
        <v>São Paulo</v>
      </c>
      <c r="C3387" s="3">
        <v>84017</v>
      </c>
      <c r="D3387" s="5" t="str">
        <f>VLOOKUP(C3387, 'DICIONÁRIO CNAES'!$A:$B, 2, FALSE)</f>
        <v>Outros serviços coletivos prestados pela administração pública - Municipal</v>
      </c>
      <c r="E3387" s="4">
        <v>25365.033557070001</v>
      </c>
      <c r="F3387" s="4">
        <v>81845864.011387497</v>
      </c>
    </row>
    <row r="3388" spans="1:6" x14ac:dyDescent="0.3">
      <c r="A3388" s="3" t="s">
        <v>23</v>
      </c>
      <c r="B3388" s="7" t="str">
        <f>VLOOKUP(VALUE(A3388), 'DICIONÁRIO UF'!$A:$B, 2, FALSE)</f>
        <v>São Paulo</v>
      </c>
      <c r="C3388" s="3">
        <v>84020</v>
      </c>
      <c r="D3388" s="5" t="str">
        <f>VLOOKUP(C3388, 'DICIONÁRIO CNAES'!$A:$B, 2, FALSE)</f>
        <v>Seguridade social obrigatória</v>
      </c>
      <c r="E3388" s="4">
        <v>6637.2125238099998</v>
      </c>
      <c r="F3388" s="4">
        <v>51463620.127034999</v>
      </c>
    </row>
    <row r="3389" spans="1:6" x14ac:dyDescent="0.3">
      <c r="A3389" s="3" t="s">
        <v>23</v>
      </c>
      <c r="B3389" s="7" t="str">
        <f>VLOOKUP(VALUE(A3389), 'DICIONÁRIO UF'!$A:$B, 2, FALSE)</f>
        <v>São Paulo</v>
      </c>
      <c r="C3389" s="3">
        <v>85011</v>
      </c>
      <c r="D3389" s="5" t="str">
        <f>VLOOKUP(C3389, 'DICIONÁRIO CNAES'!$A:$B, 2, FALSE)</f>
        <v>Creche</v>
      </c>
      <c r="E3389" s="4">
        <v>139007.87191464999</v>
      </c>
      <c r="F3389" s="4">
        <v>293181912.39804751</v>
      </c>
    </row>
    <row r="3390" spans="1:6" x14ac:dyDescent="0.3">
      <c r="A3390" s="3" t="s">
        <v>23</v>
      </c>
      <c r="B3390" s="7" t="str">
        <f>VLOOKUP(VALUE(A3390), 'DICIONÁRIO UF'!$A:$B, 2, FALSE)</f>
        <v>São Paulo</v>
      </c>
      <c r="C3390" s="3">
        <v>85012</v>
      </c>
      <c r="D3390" s="5" t="str">
        <f>VLOOKUP(C3390, 'DICIONÁRIO CNAES'!$A:$B, 2, FALSE)</f>
        <v>Pré-escola e ensino fundamental</v>
      </c>
      <c r="E3390" s="4">
        <v>608408.71841256996</v>
      </c>
      <c r="F3390" s="4">
        <v>1893297597.7044179</v>
      </c>
    </row>
    <row r="3391" spans="1:6" x14ac:dyDescent="0.3">
      <c r="A3391" s="3" t="s">
        <v>23</v>
      </c>
      <c r="B3391" s="7" t="str">
        <f>VLOOKUP(VALUE(A3391), 'DICIONÁRIO UF'!$A:$B, 2, FALSE)</f>
        <v>São Paulo</v>
      </c>
      <c r="C3391" s="3">
        <v>85013</v>
      </c>
      <c r="D3391" s="5" t="str">
        <f>VLOOKUP(C3391, 'DICIONÁRIO CNAES'!$A:$B, 2, FALSE)</f>
        <v>Ensino médio</v>
      </c>
      <c r="E3391" s="4">
        <v>287537.72423826001</v>
      </c>
      <c r="F3391" s="4">
        <v>1082846649.0169361</v>
      </c>
    </row>
    <row r="3392" spans="1:6" x14ac:dyDescent="0.3">
      <c r="A3392" s="3" t="s">
        <v>23</v>
      </c>
      <c r="B3392" s="7" t="str">
        <f>VLOOKUP(VALUE(A3392), 'DICIONÁRIO UF'!$A:$B, 2, FALSE)</f>
        <v>São Paulo</v>
      </c>
      <c r="C3392" s="3">
        <v>85014</v>
      </c>
      <c r="D3392" s="5" t="str">
        <f>VLOOKUP(C3392, 'DICIONÁRIO CNAES'!$A:$B, 2, FALSE)</f>
        <v>Educação superior</v>
      </c>
      <c r="E3392" s="4">
        <v>147898.23971599</v>
      </c>
      <c r="F3392" s="4">
        <v>807876289.1443001</v>
      </c>
    </row>
    <row r="3393" spans="1:6" x14ac:dyDescent="0.3">
      <c r="A3393" s="3" t="s">
        <v>23</v>
      </c>
      <c r="B3393" s="7" t="str">
        <f>VLOOKUP(VALUE(A3393), 'DICIONÁRIO UF'!$A:$B, 2, FALSE)</f>
        <v>São Paulo</v>
      </c>
      <c r="C3393" s="3">
        <v>85021</v>
      </c>
      <c r="D3393" s="5" t="str">
        <f>VLOOKUP(C3393, 'DICIONÁRIO CNAES'!$A:$B, 2, FALSE)</f>
        <v>Serviços auxiliares à educação</v>
      </c>
      <c r="E3393" s="4">
        <v>13471.59666732</v>
      </c>
      <c r="F3393" s="4">
        <v>68410809.404298991</v>
      </c>
    </row>
    <row r="3394" spans="1:6" x14ac:dyDescent="0.3">
      <c r="A3394" s="3" t="s">
        <v>23</v>
      </c>
      <c r="B3394" s="7" t="str">
        <f>VLOOKUP(VALUE(A3394), 'DICIONÁRIO UF'!$A:$B, 2, FALSE)</f>
        <v>São Paulo</v>
      </c>
      <c r="C3394" s="3">
        <v>85029</v>
      </c>
      <c r="D3394" s="5" t="str">
        <f>VLOOKUP(C3394, 'DICIONÁRIO CNAES'!$A:$B, 2, FALSE)</f>
        <v>Outras atividades de ensino</v>
      </c>
      <c r="E3394" s="4">
        <v>177427.08980245001</v>
      </c>
      <c r="F3394" s="4">
        <v>611050059.89241135</v>
      </c>
    </row>
    <row r="3395" spans="1:6" x14ac:dyDescent="0.3">
      <c r="A3395" s="3" t="s">
        <v>23</v>
      </c>
      <c r="B3395" s="7" t="str">
        <f>VLOOKUP(VALUE(A3395), 'DICIONÁRIO UF'!$A:$B, 2, FALSE)</f>
        <v>São Paulo</v>
      </c>
      <c r="C3395" s="3">
        <v>86001</v>
      </c>
      <c r="D3395" s="5" t="str">
        <f>VLOOKUP(C3395, 'DICIONÁRIO CNAES'!$A:$B, 2, FALSE)</f>
        <v>Atividades de atendimento hospitalar</v>
      </c>
      <c r="E3395" s="4">
        <v>666645.01198753004</v>
      </c>
      <c r="F3395" s="4">
        <v>3002670117.4218702</v>
      </c>
    </row>
    <row r="3396" spans="1:6" x14ac:dyDescent="0.3">
      <c r="A3396" s="3" t="s">
        <v>23</v>
      </c>
      <c r="B3396" s="7" t="str">
        <f>VLOOKUP(VALUE(A3396), 'DICIONÁRIO UF'!$A:$B, 2, FALSE)</f>
        <v>São Paulo</v>
      </c>
      <c r="C3396" s="3">
        <v>86002</v>
      </c>
      <c r="D3396" s="5" t="str">
        <f>VLOOKUP(C3396, 'DICIONÁRIO CNAES'!$A:$B, 2, FALSE)</f>
        <v>Atividades de atenção ambulatorial executadas por médicos e odontólogos</v>
      </c>
      <c r="E3396" s="4">
        <v>416407.85290643002</v>
      </c>
      <c r="F3396" s="4">
        <v>2166441873.5602498</v>
      </c>
    </row>
    <row r="3397" spans="1:6" x14ac:dyDescent="0.3">
      <c r="A3397" s="3" t="s">
        <v>23</v>
      </c>
      <c r="B3397" s="7" t="str">
        <f>VLOOKUP(VALUE(A3397), 'DICIONÁRIO UF'!$A:$B, 2, FALSE)</f>
        <v>São Paulo</v>
      </c>
      <c r="C3397" s="3">
        <v>86003</v>
      </c>
      <c r="D3397" s="5" t="str">
        <f>VLOOKUP(C3397, 'DICIONÁRIO CNAES'!$A:$B, 2, FALSE)</f>
        <v>Atividades de serviços de complementação diagnóstica e terapêutica</v>
      </c>
      <c r="E3397" s="4">
        <v>49713.796072290002</v>
      </c>
      <c r="F3397" s="4">
        <v>134377863.24527061</v>
      </c>
    </row>
    <row r="3398" spans="1:6" x14ac:dyDescent="0.3">
      <c r="A3398" s="3" t="s">
        <v>23</v>
      </c>
      <c r="B3398" s="7" t="str">
        <f>VLOOKUP(VALUE(A3398), 'DICIONÁRIO UF'!$A:$B, 2, FALSE)</f>
        <v>São Paulo</v>
      </c>
      <c r="C3398" s="3">
        <v>86004</v>
      </c>
      <c r="D3398" s="5" t="str">
        <f>VLOOKUP(C3398, 'DICIONÁRIO CNAES'!$A:$B, 2, FALSE)</f>
        <v>Atividades de profissionais da área de saúde, exceto médicos e odontólogos</v>
      </c>
      <c r="E3398" s="4">
        <v>151320.24092621001</v>
      </c>
      <c r="F3398" s="4">
        <v>787945509.78731525</v>
      </c>
    </row>
    <row r="3399" spans="1:6" x14ac:dyDescent="0.3">
      <c r="A3399" s="3" t="s">
        <v>23</v>
      </c>
      <c r="B3399" s="7" t="str">
        <f>VLOOKUP(VALUE(A3399), 'DICIONÁRIO UF'!$A:$B, 2, FALSE)</f>
        <v>São Paulo</v>
      </c>
      <c r="C3399" s="3">
        <v>86009</v>
      </c>
      <c r="D3399" s="5" t="str">
        <f>VLOOKUP(C3399, 'DICIONÁRIO CNAES'!$A:$B, 2, FALSE)</f>
        <v>Atividades de atenção à saúde humana não especificadas anteriormente</v>
      </c>
      <c r="E3399" s="4">
        <v>25471.310083969998</v>
      </c>
      <c r="F3399" s="4">
        <v>83750033.030779004</v>
      </c>
    </row>
    <row r="3400" spans="1:6" x14ac:dyDescent="0.3">
      <c r="A3400" s="3" t="s">
        <v>23</v>
      </c>
      <c r="B3400" s="7" t="str">
        <f>VLOOKUP(VALUE(A3400), 'DICIONÁRIO UF'!$A:$B, 2, FALSE)</f>
        <v>São Paulo</v>
      </c>
      <c r="C3400" s="3">
        <v>87000</v>
      </c>
      <c r="D3400" s="5" t="str">
        <f>VLOOKUP(C3400, 'DICIONÁRIO CNAES'!$A:$B, 2, FALSE)</f>
        <v>Atividades de assistência à saude humana integradas com assistencia social, inclusive prestadas em residencias</v>
      </c>
      <c r="E3400" s="4">
        <v>99084.260295030006</v>
      </c>
      <c r="F3400" s="4">
        <v>232992307.6617395</v>
      </c>
    </row>
    <row r="3401" spans="1:6" x14ac:dyDescent="0.3">
      <c r="A3401" s="3" t="s">
        <v>23</v>
      </c>
      <c r="B3401" s="7" t="str">
        <f>VLOOKUP(VALUE(A3401), 'DICIONÁRIO UF'!$A:$B, 2, FALSE)</f>
        <v>São Paulo</v>
      </c>
      <c r="C3401" s="3">
        <v>88000</v>
      </c>
      <c r="D3401" s="5" t="str">
        <f>VLOOKUP(C3401, 'DICIONÁRIO CNAES'!$A:$B, 2, FALSE)</f>
        <v>Serviços de assistência social sem alojamento</v>
      </c>
      <c r="E3401" s="4">
        <v>8654.7629280900001</v>
      </c>
      <c r="F3401" s="4">
        <v>16855236.880029999</v>
      </c>
    </row>
    <row r="3402" spans="1:6" x14ac:dyDescent="0.3">
      <c r="A3402" s="3" t="s">
        <v>23</v>
      </c>
      <c r="B3402" s="7" t="str">
        <f>VLOOKUP(VALUE(A3402), 'DICIONÁRIO UF'!$A:$B, 2, FALSE)</f>
        <v>São Paulo</v>
      </c>
      <c r="C3402" s="3">
        <v>90000</v>
      </c>
      <c r="D3402" s="5" t="str">
        <f>VLOOKUP(C3402, 'DICIONÁRIO CNAES'!$A:$B, 2, FALSE)</f>
        <v>Atividades artísticas, criativas e de espetáculos</v>
      </c>
      <c r="E3402" s="4">
        <v>78745.500626520006</v>
      </c>
      <c r="F3402" s="4">
        <v>317316244.18492579</v>
      </c>
    </row>
    <row r="3403" spans="1:6" x14ac:dyDescent="0.3">
      <c r="A3403" s="3" t="s">
        <v>23</v>
      </c>
      <c r="B3403" s="7" t="str">
        <f>VLOOKUP(VALUE(A3403), 'DICIONÁRIO UF'!$A:$B, 2, FALSE)</f>
        <v>São Paulo</v>
      </c>
      <c r="C3403" s="3">
        <v>91000</v>
      </c>
      <c r="D3403" s="5" t="str">
        <f>VLOOKUP(C3403, 'DICIONÁRIO CNAES'!$A:$B, 2, FALSE)</f>
        <v>Atividades ligadas ao patrimônio cultural e ambiental</v>
      </c>
      <c r="E3403" s="4">
        <v>8678.9256078599992</v>
      </c>
      <c r="F3403" s="4">
        <v>16784952.356787</v>
      </c>
    </row>
    <row r="3404" spans="1:6" x14ac:dyDescent="0.3">
      <c r="A3404" s="3" t="s">
        <v>23</v>
      </c>
      <c r="B3404" s="7" t="str">
        <f>VLOOKUP(VALUE(A3404), 'DICIONÁRIO UF'!$A:$B, 2, FALSE)</f>
        <v>São Paulo</v>
      </c>
      <c r="C3404" s="3">
        <v>92000</v>
      </c>
      <c r="D3404" s="5" t="str">
        <f>VLOOKUP(C3404, 'DICIONÁRIO CNAES'!$A:$B, 2, FALSE)</f>
        <v>Atividades de exploração de jogos de azar e apostas</v>
      </c>
      <c r="E3404" s="4">
        <v>13748.846472089999</v>
      </c>
      <c r="F3404" s="4">
        <v>22745800.172823001</v>
      </c>
    </row>
    <row r="3405" spans="1:6" x14ac:dyDescent="0.3">
      <c r="A3405" s="3" t="s">
        <v>23</v>
      </c>
      <c r="B3405" s="7" t="str">
        <f>VLOOKUP(VALUE(A3405), 'DICIONÁRIO UF'!$A:$B, 2, FALSE)</f>
        <v>São Paulo</v>
      </c>
      <c r="C3405" s="3">
        <v>93011</v>
      </c>
      <c r="D3405" s="5" t="str">
        <f>VLOOKUP(C3405, 'DICIONÁRIO CNAES'!$A:$B, 2, FALSE)</f>
        <v>Atividades esportivas</v>
      </c>
      <c r="E3405" s="4">
        <v>35390.936326039999</v>
      </c>
      <c r="F3405" s="4">
        <v>93209183.098928228</v>
      </c>
    </row>
    <row r="3406" spans="1:6" x14ac:dyDescent="0.3">
      <c r="A3406" s="3" t="s">
        <v>23</v>
      </c>
      <c r="B3406" s="7" t="str">
        <f>VLOOKUP(VALUE(A3406), 'DICIONÁRIO UF'!$A:$B, 2, FALSE)</f>
        <v>São Paulo</v>
      </c>
      <c r="C3406" s="3">
        <v>93012</v>
      </c>
      <c r="D3406" s="5" t="str">
        <f>VLOOKUP(C3406, 'DICIONÁRIO CNAES'!$A:$B, 2, FALSE)</f>
        <v>Atividades de condicionamento físico</v>
      </c>
      <c r="E3406" s="4">
        <v>64564.092695430001</v>
      </c>
      <c r="F3406" s="4">
        <v>166231357.58453181</v>
      </c>
    </row>
    <row r="3407" spans="1:6" x14ac:dyDescent="0.3">
      <c r="A3407" s="3" t="s">
        <v>23</v>
      </c>
      <c r="B3407" s="7" t="str">
        <f>VLOOKUP(VALUE(A3407), 'DICIONÁRIO UF'!$A:$B, 2, FALSE)</f>
        <v>São Paulo</v>
      </c>
      <c r="C3407" s="3">
        <v>93020</v>
      </c>
      <c r="D3407" s="5" t="str">
        <f>VLOOKUP(C3407, 'DICIONÁRIO CNAES'!$A:$B, 2, FALSE)</f>
        <v>Atividades de recreação e lazer</v>
      </c>
      <c r="E3407" s="4">
        <v>30005.849810079999</v>
      </c>
      <c r="F3407" s="4">
        <v>54517181.418520927</v>
      </c>
    </row>
    <row r="3408" spans="1:6" x14ac:dyDescent="0.3">
      <c r="A3408" s="3" t="s">
        <v>23</v>
      </c>
      <c r="B3408" s="7" t="str">
        <f>VLOOKUP(VALUE(A3408), 'DICIONÁRIO UF'!$A:$B, 2, FALSE)</f>
        <v>São Paulo</v>
      </c>
      <c r="C3408" s="3">
        <v>94010</v>
      </c>
      <c r="D3408" s="5" t="str">
        <f>VLOOKUP(C3408, 'DICIONÁRIO CNAES'!$A:$B, 2, FALSE)</f>
        <v>Atividades de organizações associativas patronais, empresariais e profissionais</v>
      </c>
      <c r="E3408" s="4">
        <v>13199.741426729999</v>
      </c>
      <c r="F3408" s="4">
        <v>71461097.956892401</v>
      </c>
    </row>
    <row r="3409" spans="1:6" x14ac:dyDescent="0.3">
      <c r="A3409" s="3" t="s">
        <v>23</v>
      </c>
      <c r="B3409" s="7" t="str">
        <f>VLOOKUP(VALUE(A3409), 'DICIONÁRIO UF'!$A:$B, 2, FALSE)</f>
        <v>São Paulo</v>
      </c>
      <c r="C3409" s="3">
        <v>94020</v>
      </c>
      <c r="D3409" s="5" t="str">
        <f>VLOOKUP(C3409, 'DICIONÁRIO CNAES'!$A:$B, 2, FALSE)</f>
        <v>Atividades de organizações sindicais</v>
      </c>
      <c r="E3409" s="4">
        <v>13455.658647419999</v>
      </c>
      <c r="F3409" s="4">
        <v>61602357.544171996</v>
      </c>
    </row>
    <row r="3410" spans="1:6" x14ac:dyDescent="0.3">
      <c r="A3410" s="3" t="s">
        <v>23</v>
      </c>
      <c r="B3410" s="7" t="str">
        <f>VLOOKUP(VALUE(A3410), 'DICIONÁRIO UF'!$A:$B, 2, FALSE)</f>
        <v>São Paulo</v>
      </c>
      <c r="C3410" s="3">
        <v>94091</v>
      </c>
      <c r="D3410" s="5" t="str">
        <f>VLOOKUP(C3410, 'DICIONÁRIO CNAES'!$A:$B, 2, FALSE)</f>
        <v>Atividades de organizações religiosas e filosóficas</v>
      </c>
      <c r="E3410" s="4">
        <v>47085.640726969999</v>
      </c>
      <c r="F3410" s="4">
        <v>96816220.495079562</v>
      </c>
    </row>
    <row r="3411" spans="1:6" x14ac:dyDescent="0.3">
      <c r="A3411" s="3" t="s">
        <v>23</v>
      </c>
      <c r="B3411" s="7" t="str">
        <f>VLOOKUP(VALUE(A3411), 'DICIONÁRIO UF'!$A:$B, 2, FALSE)</f>
        <v>São Paulo</v>
      </c>
      <c r="C3411" s="3">
        <v>94099</v>
      </c>
      <c r="D3411" s="5" t="str">
        <f>VLOOKUP(C3411, 'DICIONÁRIO CNAES'!$A:$B, 2, FALSE)</f>
        <v xml:space="preserve">Outras atividades associativas não especificadas anteriormente </v>
      </c>
      <c r="E3411" s="4">
        <v>38309.39641306</v>
      </c>
      <c r="F3411" s="4">
        <v>83285993.728918985</v>
      </c>
    </row>
    <row r="3412" spans="1:6" x14ac:dyDescent="0.3">
      <c r="A3412" s="3" t="s">
        <v>23</v>
      </c>
      <c r="B3412" s="7" t="str">
        <f>VLOOKUP(VALUE(A3412), 'DICIONÁRIO UF'!$A:$B, 2, FALSE)</f>
        <v>São Paulo</v>
      </c>
      <c r="C3412" s="3">
        <v>95010</v>
      </c>
      <c r="D3412" s="5" t="str">
        <f>VLOOKUP(C3412, 'DICIONÁRIO CNAES'!$A:$B, 2, FALSE)</f>
        <v>Reparação e manutenção de equipamentos de informática e comunicação</v>
      </c>
      <c r="E3412" s="4">
        <v>42430.540448699998</v>
      </c>
      <c r="F3412" s="4">
        <v>93256522.686500996</v>
      </c>
    </row>
    <row r="3413" spans="1:6" x14ac:dyDescent="0.3">
      <c r="A3413" s="3" t="s">
        <v>23</v>
      </c>
      <c r="B3413" s="7" t="str">
        <f>VLOOKUP(VALUE(A3413), 'DICIONÁRIO UF'!$A:$B, 2, FALSE)</f>
        <v>São Paulo</v>
      </c>
      <c r="C3413" s="3">
        <v>95030</v>
      </c>
      <c r="D3413" s="5" t="str">
        <f>VLOOKUP(C3413, 'DICIONÁRIO CNAES'!$A:$B, 2, FALSE)</f>
        <v>Reparação e manutenção de objetos e equipamentos pessoais e domésticos</v>
      </c>
      <c r="E3413" s="4">
        <v>105568.64682853001</v>
      </c>
      <c r="F3413" s="4">
        <v>195563950.99858299</v>
      </c>
    </row>
    <row r="3414" spans="1:6" x14ac:dyDescent="0.3">
      <c r="A3414" s="3" t="s">
        <v>23</v>
      </c>
      <c r="B3414" s="7" t="str">
        <f>VLOOKUP(VALUE(A3414), 'DICIONÁRIO UF'!$A:$B, 2, FALSE)</f>
        <v>São Paulo</v>
      </c>
      <c r="C3414" s="3">
        <v>96010</v>
      </c>
      <c r="D3414" s="5" t="str">
        <f>VLOOKUP(C3414, 'DICIONÁRIO CNAES'!$A:$B, 2, FALSE)</f>
        <v>Lavanderias, tinturarias e toalheiros</v>
      </c>
      <c r="E3414" s="4">
        <v>29081.647771989999</v>
      </c>
      <c r="F3414" s="4">
        <v>53860000.345079117</v>
      </c>
    </row>
    <row r="3415" spans="1:6" x14ac:dyDescent="0.3">
      <c r="A3415" s="3" t="s">
        <v>23</v>
      </c>
      <c r="B3415" s="7" t="str">
        <f>VLOOKUP(VALUE(A3415), 'DICIONÁRIO UF'!$A:$B, 2, FALSE)</f>
        <v>São Paulo</v>
      </c>
      <c r="C3415" s="3">
        <v>96020</v>
      </c>
      <c r="D3415" s="5" t="str">
        <f>VLOOKUP(C3415, 'DICIONÁRIO CNAES'!$A:$B, 2, FALSE)</f>
        <v>Cabeleireiros e outras atividades de tratamento de beleza</v>
      </c>
      <c r="E3415" s="4">
        <v>535674.20592433005</v>
      </c>
      <c r="F3415" s="4">
        <v>825359692.99830878</v>
      </c>
    </row>
    <row r="3416" spans="1:6" x14ac:dyDescent="0.3">
      <c r="A3416" s="3" t="s">
        <v>23</v>
      </c>
      <c r="B3416" s="7" t="str">
        <f>VLOOKUP(VALUE(A3416), 'DICIONÁRIO UF'!$A:$B, 2, FALSE)</f>
        <v>São Paulo</v>
      </c>
      <c r="C3416" s="3">
        <v>96030</v>
      </c>
      <c r="D3416" s="5" t="str">
        <f>VLOOKUP(C3416, 'DICIONÁRIO CNAES'!$A:$B, 2, FALSE)</f>
        <v xml:space="preserve">Atividades funerárias e serviços relacionados </v>
      </c>
      <c r="E3416" s="4">
        <v>11870.29778685</v>
      </c>
      <c r="F3416" s="4">
        <v>31474764.048071999</v>
      </c>
    </row>
    <row r="3417" spans="1:6" x14ac:dyDescent="0.3">
      <c r="A3417" s="3" t="s">
        <v>23</v>
      </c>
      <c r="B3417" s="7" t="str">
        <f>VLOOKUP(VALUE(A3417), 'DICIONÁRIO UF'!$A:$B, 2, FALSE)</f>
        <v>São Paulo</v>
      </c>
      <c r="C3417" s="3">
        <v>96090</v>
      </c>
      <c r="D3417" s="5" t="str">
        <f>VLOOKUP(C3417, 'DICIONÁRIO CNAES'!$A:$B, 2, FALSE)</f>
        <v>Outras atividades de serviços pessoais</v>
      </c>
      <c r="E3417" s="4">
        <v>159577.80724173001</v>
      </c>
      <c r="F3417" s="4">
        <v>320776188.36884952</v>
      </c>
    </row>
    <row r="3418" spans="1:6" x14ac:dyDescent="0.3">
      <c r="A3418" s="3" t="s">
        <v>23</v>
      </c>
      <c r="B3418" s="7" t="str">
        <f>VLOOKUP(VALUE(A3418), 'DICIONÁRIO UF'!$A:$B, 2, FALSE)</f>
        <v>São Paulo</v>
      </c>
      <c r="C3418" s="3">
        <v>97000</v>
      </c>
      <c r="D3418" s="5" t="str">
        <f>VLOOKUP(C3418, 'DICIONÁRIO CNAES'!$A:$B, 2, FALSE)</f>
        <v>Serviços domésticos</v>
      </c>
      <c r="E3418" s="4">
        <v>1377822.6186685499</v>
      </c>
      <c r="F3418" s="4">
        <v>1589081973.597559</v>
      </c>
    </row>
    <row r="3419" spans="1:6" x14ac:dyDescent="0.3">
      <c r="A3419" s="3" t="s">
        <v>24</v>
      </c>
      <c r="B3419" s="7" t="str">
        <f>VLOOKUP(VALUE(A3419), 'DICIONÁRIO UF'!$A:$B, 2, FALSE)</f>
        <v>Paraná</v>
      </c>
      <c r="C3419" s="3">
        <v>0</v>
      </c>
      <c r="D3419" s="5" t="str">
        <f>VLOOKUP(C3419, 'DICIONÁRIO CNAES'!$A:$B, 2, FALSE)</f>
        <v xml:space="preserve">Atividades mal definidas </v>
      </c>
      <c r="E3419" s="4">
        <v>4603.1490139699999</v>
      </c>
      <c r="F3419" s="4">
        <v>24612514.837618001</v>
      </c>
    </row>
    <row r="3420" spans="1:6" x14ac:dyDescent="0.3">
      <c r="A3420" s="3" t="s">
        <v>24</v>
      </c>
      <c r="B3420" s="7" t="str">
        <f>VLOOKUP(VALUE(A3420), 'DICIONÁRIO UF'!$A:$B, 2, FALSE)</f>
        <v>Paraná</v>
      </c>
      <c r="C3420" s="3">
        <v>1102</v>
      </c>
      <c r="D3420" s="5" t="str">
        <f>VLOOKUP(C3420, 'DICIONÁRIO CNAES'!$A:$B, 2, FALSE)</f>
        <v>Cultivo de milho</v>
      </c>
      <c r="E3420" s="4">
        <v>59338.858744910001</v>
      </c>
      <c r="F3420" s="4">
        <v>93115944.299469694</v>
      </c>
    </row>
    <row r="3421" spans="1:6" x14ac:dyDescent="0.3">
      <c r="A3421" s="3" t="s">
        <v>24</v>
      </c>
      <c r="B3421" s="7" t="str">
        <f>VLOOKUP(VALUE(A3421), 'DICIONÁRIO UF'!$A:$B, 2, FALSE)</f>
        <v>Paraná</v>
      </c>
      <c r="C3421" s="3">
        <v>1103</v>
      </c>
      <c r="D3421" s="5" t="str">
        <f>VLOOKUP(C3421, 'DICIONÁRIO CNAES'!$A:$B, 2, FALSE)</f>
        <v>Cultivo de outros cereais</v>
      </c>
      <c r="E3421" s="4">
        <v>1156.3437633599999</v>
      </c>
      <c r="F3421" s="4">
        <v>3483807.8372869999</v>
      </c>
    </row>
    <row r="3422" spans="1:6" x14ac:dyDescent="0.3">
      <c r="A3422" s="3" t="s">
        <v>24</v>
      </c>
      <c r="B3422" s="7" t="str">
        <f>VLOOKUP(VALUE(A3422), 'DICIONÁRIO UF'!$A:$B, 2, FALSE)</f>
        <v>Paraná</v>
      </c>
      <c r="C3422" s="3">
        <v>1105</v>
      </c>
      <c r="D3422" s="5" t="str">
        <f>VLOOKUP(C3422, 'DICIONÁRIO CNAES'!$A:$B, 2, FALSE)</f>
        <v>Cultivo de cana-de-açúcar</v>
      </c>
      <c r="E3422" s="4">
        <v>17510.136604250001</v>
      </c>
      <c r="F3422" s="4">
        <v>36616285.742731817</v>
      </c>
    </row>
    <row r="3423" spans="1:6" x14ac:dyDescent="0.3">
      <c r="A3423" s="3" t="s">
        <v>24</v>
      </c>
      <c r="B3423" s="7" t="str">
        <f>VLOOKUP(VALUE(A3423), 'DICIONÁRIO UF'!$A:$B, 2, FALSE)</f>
        <v>Paraná</v>
      </c>
      <c r="C3423" s="3">
        <v>1106</v>
      </c>
      <c r="D3423" s="5" t="str">
        <f>VLOOKUP(C3423, 'DICIONÁRIO CNAES'!$A:$B, 2, FALSE)</f>
        <v>Cultivo de fumo</v>
      </c>
      <c r="E3423" s="4">
        <v>71939.238040609998</v>
      </c>
      <c r="F3423" s="4">
        <v>95386647.012504444</v>
      </c>
    </row>
    <row r="3424" spans="1:6" x14ac:dyDescent="0.3">
      <c r="A3424" s="3" t="s">
        <v>24</v>
      </c>
      <c r="B3424" s="7" t="str">
        <f>VLOOKUP(VALUE(A3424), 'DICIONÁRIO UF'!$A:$B, 2, FALSE)</f>
        <v>Paraná</v>
      </c>
      <c r="C3424" s="3">
        <v>1107</v>
      </c>
      <c r="D3424" s="5" t="str">
        <f>VLOOKUP(C3424, 'DICIONÁRIO CNAES'!$A:$B, 2, FALSE)</f>
        <v>Cultivo de soja</v>
      </c>
      <c r="E3424" s="4">
        <v>125730.45046839</v>
      </c>
      <c r="F3424" s="4">
        <v>326359522.59056258</v>
      </c>
    </row>
    <row r="3425" spans="1:6" x14ac:dyDescent="0.3">
      <c r="A3425" s="3" t="s">
        <v>24</v>
      </c>
      <c r="B3425" s="7" t="str">
        <f>VLOOKUP(VALUE(A3425), 'DICIONÁRIO UF'!$A:$B, 2, FALSE)</f>
        <v>Paraná</v>
      </c>
      <c r="C3425" s="3">
        <v>1108</v>
      </c>
      <c r="D3425" s="5" t="str">
        <f>VLOOKUP(C3425, 'DICIONÁRIO CNAES'!$A:$B, 2, FALSE)</f>
        <v>Cultivo de mandioca</v>
      </c>
      <c r="E3425" s="4">
        <v>13757.86329942</v>
      </c>
      <c r="F3425" s="4">
        <v>17669191.679919772</v>
      </c>
    </row>
    <row r="3426" spans="1:6" x14ac:dyDescent="0.3">
      <c r="A3426" s="3" t="s">
        <v>24</v>
      </c>
      <c r="B3426" s="7" t="str">
        <f>VLOOKUP(VALUE(A3426), 'DICIONÁRIO UF'!$A:$B, 2, FALSE)</f>
        <v>Paraná</v>
      </c>
      <c r="C3426" s="3">
        <v>1109</v>
      </c>
      <c r="D3426" s="5" t="str">
        <f>VLOOKUP(C3426, 'DICIONÁRIO CNAES'!$A:$B, 2, FALSE)</f>
        <v>Cultivo de outras lavouras temporárias não especificadas anteriormente</v>
      </c>
      <c r="E3426" s="4">
        <v>25733.363667829999</v>
      </c>
      <c r="F3426" s="4">
        <v>22967937.755393472</v>
      </c>
    </row>
    <row r="3427" spans="1:6" x14ac:dyDescent="0.3">
      <c r="A3427" s="3" t="s">
        <v>24</v>
      </c>
      <c r="B3427" s="7" t="str">
        <f>VLOOKUP(VALUE(A3427), 'DICIONÁRIO UF'!$A:$B, 2, FALSE)</f>
        <v>Paraná</v>
      </c>
      <c r="C3427" s="3">
        <v>1110</v>
      </c>
      <c r="D3427" s="5" t="str">
        <f>VLOOKUP(C3427, 'DICIONÁRIO CNAES'!$A:$B, 2, FALSE)</f>
        <v>Horticultura</v>
      </c>
      <c r="E3427" s="4">
        <v>30122.54003118</v>
      </c>
      <c r="F3427" s="4">
        <v>51577810.119709998</v>
      </c>
    </row>
    <row r="3428" spans="1:6" x14ac:dyDescent="0.3">
      <c r="A3428" s="3" t="s">
        <v>24</v>
      </c>
      <c r="B3428" s="7" t="str">
        <f>VLOOKUP(VALUE(A3428), 'DICIONÁRIO UF'!$A:$B, 2, FALSE)</f>
        <v>Paraná</v>
      </c>
      <c r="C3428" s="3">
        <v>1111</v>
      </c>
      <c r="D3428" s="5" t="str">
        <f>VLOOKUP(C3428, 'DICIONÁRIO CNAES'!$A:$B, 2, FALSE)</f>
        <v>Cultivo de flores e plantas ornamentais</v>
      </c>
      <c r="E3428" s="4">
        <v>931.00425646999997</v>
      </c>
      <c r="F3428" s="4">
        <v>1226819.797765</v>
      </c>
    </row>
    <row r="3429" spans="1:6" x14ac:dyDescent="0.3">
      <c r="A3429" s="3" t="s">
        <v>24</v>
      </c>
      <c r="B3429" s="7" t="str">
        <f>VLOOKUP(VALUE(A3429), 'DICIONÁRIO UF'!$A:$B, 2, FALSE)</f>
        <v>Paraná</v>
      </c>
      <c r="C3429" s="3">
        <v>1112</v>
      </c>
      <c r="D3429" s="5" t="str">
        <f>VLOOKUP(C3429, 'DICIONÁRIO CNAES'!$A:$B, 2, FALSE)</f>
        <v>Cultivo de frutas cítricas</v>
      </c>
      <c r="E3429" s="4">
        <v>5898.58586087</v>
      </c>
      <c r="F3429" s="4">
        <v>11018776.648528</v>
      </c>
    </row>
    <row r="3430" spans="1:6" x14ac:dyDescent="0.3">
      <c r="A3430" s="3" t="s">
        <v>24</v>
      </c>
      <c r="B3430" s="7" t="str">
        <f>VLOOKUP(VALUE(A3430), 'DICIONÁRIO UF'!$A:$B, 2, FALSE)</f>
        <v>Paraná</v>
      </c>
      <c r="C3430" s="3">
        <v>1113</v>
      </c>
      <c r="D3430" s="5" t="str">
        <f>VLOOKUP(C3430, 'DICIONÁRIO CNAES'!$A:$B, 2, FALSE)</f>
        <v>Cultivo de café</v>
      </c>
      <c r="E3430" s="4">
        <v>11253.37232142</v>
      </c>
      <c r="F3430" s="4">
        <v>13557574.5856597</v>
      </c>
    </row>
    <row r="3431" spans="1:6" x14ac:dyDescent="0.3">
      <c r="A3431" s="3" t="s">
        <v>24</v>
      </c>
      <c r="B3431" s="7" t="str">
        <f>VLOOKUP(VALUE(A3431), 'DICIONÁRIO UF'!$A:$B, 2, FALSE)</f>
        <v>Paraná</v>
      </c>
      <c r="C3431" s="3">
        <v>1115</v>
      </c>
      <c r="D3431" s="5" t="str">
        <f>VLOOKUP(C3431, 'DICIONÁRIO CNAES'!$A:$B, 2, FALSE)</f>
        <v>Cultivo de uva</v>
      </c>
      <c r="E3431" s="4">
        <v>900.00491609999995</v>
      </c>
      <c r="F3431" s="4">
        <v>667234.29687199998</v>
      </c>
    </row>
    <row r="3432" spans="1:6" x14ac:dyDescent="0.3">
      <c r="A3432" s="3" t="s">
        <v>24</v>
      </c>
      <c r="B3432" s="7" t="str">
        <f>VLOOKUP(VALUE(A3432), 'DICIONÁRIO UF'!$A:$B, 2, FALSE)</f>
        <v>Paraná</v>
      </c>
      <c r="C3432" s="3">
        <v>1116</v>
      </c>
      <c r="D3432" s="5" t="str">
        <f>VLOOKUP(C3432, 'DICIONÁRIO CNAES'!$A:$B, 2, FALSE)</f>
        <v>Cultivo de banana</v>
      </c>
      <c r="E3432" s="4">
        <v>1519.5175537299999</v>
      </c>
      <c r="F3432" s="4">
        <v>2151874.3967030002</v>
      </c>
    </row>
    <row r="3433" spans="1:6" x14ac:dyDescent="0.3">
      <c r="A3433" s="3" t="s">
        <v>24</v>
      </c>
      <c r="B3433" s="7" t="str">
        <f>VLOOKUP(VALUE(A3433), 'DICIONÁRIO UF'!$A:$B, 2, FALSE)</f>
        <v>Paraná</v>
      </c>
      <c r="C3433" s="3">
        <v>1117</v>
      </c>
      <c r="D3433" s="5" t="str">
        <f>VLOOKUP(C3433, 'DICIONÁRIO CNAES'!$A:$B, 2, FALSE)</f>
        <v>Cultivo de outras plantas e frutas de lavoura permanente não especificadas anteriormente</v>
      </c>
      <c r="E3433" s="4">
        <v>8207.9067166099994</v>
      </c>
      <c r="F3433" s="4">
        <v>11641015.93976479</v>
      </c>
    </row>
    <row r="3434" spans="1:6" x14ac:dyDescent="0.3">
      <c r="A3434" s="3" t="s">
        <v>24</v>
      </c>
      <c r="B3434" s="7" t="str">
        <f>VLOOKUP(VALUE(A3434), 'DICIONÁRIO UF'!$A:$B, 2, FALSE)</f>
        <v>Paraná</v>
      </c>
      <c r="C3434" s="3">
        <v>1119</v>
      </c>
      <c r="D3434" s="5" t="str">
        <f>VLOOKUP(C3434, 'DICIONÁRIO CNAES'!$A:$B, 2, FALSE)</f>
        <v>Lavoura não especificada</v>
      </c>
      <c r="E3434" s="4">
        <v>4065.5552814799998</v>
      </c>
      <c r="F3434" s="4">
        <v>10354046.966914</v>
      </c>
    </row>
    <row r="3435" spans="1:6" x14ac:dyDescent="0.3">
      <c r="A3435" s="3" t="s">
        <v>24</v>
      </c>
      <c r="B3435" s="7" t="str">
        <f>VLOOKUP(VALUE(A3435), 'DICIONÁRIO UF'!$A:$B, 2, FALSE)</f>
        <v>Paraná</v>
      </c>
      <c r="C3435" s="3">
        <v>1201</v>
      </c>
      <c r="D3435" s="5" t="str">
        <f>VLOOKUP(C3435, 'DICIONÁRIO CNAES'!$A:$B, 2, FALSE)</f>
        <v>Criação de bovinos</v>
      </c>
      <c r="E3435" s="4">
        <v>127611.64255493</v>
      </c>
      <c r="F3435" s="4">
        <v>283465008.08538342</v>
      </c>
    </row>
    <row r="3436" spans="1:6" x14ac:dyDescent="0.3">
      <c r="A3436" s="3" t="s">
        <v>24</v>
      </c>
      <c r="B3436" s="7" t="str">
        <f>VLOOKUP(VALUE(A3436), 'DICIONÁRIO UF'!$A:$B, 2, FALSE)</f>
        <v>Paraná</v>
      </c>
      <c r="C3436" s="3">
        <v>1202</v>
      </c>
      <c r="D3436" s="5" t="str">
        <f>VLOOKUP(C3436, 'DICIONÁRIO CNAES'!$A:$B, 2, FALSE)</f>
        <v>Criação de outros animais de grande porte não especificados anteriormente</v>
      </c>
      <c r="E3436" s="4">
        <v>1561.8479175299999</v>
      </c>
      <c r="F3436" s="4">
        <v>3559061.9697360001</v>
      </c>
    </row>
    <row r="3437" spans="1:6" x14ac:dyDescent="0.3">
      <c r="A3437" s="3" t="s">
        <v>24</v>
      </c>
      <c r="B3437" s="7" t="str">
        <f>VLOOKUP(VALUE(A3437), 'DICIONÁRIO UF'!$A:$B, 2, FALSE)</f>
        <v>Paraná</v>
      </c>
      <c r="C3437" s="3">
        <v>1203</v>
      </c>
      <c r="D3437" s="5" t="str">
        <f>VLOOKUP(C3437, 'DICIONÁRIO CNAES'!$A:$B, 2, FALSE)</f>
        <v>Criação de caprinos e ovinos</v>
      </c>
      <c r="E3437" s="4">
        <v>1088.8288439299999</v>
      </c>
      <c r="F3437" s="4">
        <v>1276410.1435519999</v>
      </c>
    </row>
    <row r="3438" spans="1:6" x14ac:dyDescent="0.3">
      <c r="A3438" s="3" t="s">
        <v>24</v>
      </c>
      <c r="B3438" s="7" t="str">
        <f>VLOOKUP(VALUE(A3438), 'DICIONÁRIO UF'!$A:$B, 2, FALSE)</f>
        <v>Paraná</v>
      </c>
      <c r="C3438" s="3">
        <v>1204</v>
      </c>
      <c r="D3438" s="5" t="str">
        <f>VLOOKUP(C3438, 'DICIONÁRIO CNAES'!$A:$B, 2, FALSE)</f>
        <v>Criação de suínos</v>
      </c>
      <c r="E3438" s="4">
        <v>10780.12260409</v>
      </c>
      <c r="F3438" s="4">
        <v>25556478.024111919</v>
      </c>
    </row>
    <row r="3439" spans="1:6" x14ac:dyDescent="0.3">
      <c r="A3439" s="3" t="s">
        <v>24</v>
      </c>
      <c r="B3439" s="7" t="str">
        <f>VLOOKUP(VALUE(A3439), 'DICIONÁRIO UF'!$A:$B, 2, FALSE)</f>
        <v>Paraná</v>
      </c>
      <c r="C3439" s="3">
        <v>1205</v>
      </c>
      <c r="D3439" s="5" t="str">
        <f>VLOOKUP(C3439, 'DICIONÁRIO CNAES'!$A:$B, 2, FALSE)</f>
        <v>Criação de aves</v>
      </c>
      <c r="E3439" s="4">
        <v>46072.499777650002</v>
      </c>
      <c r="F3439" s="4">
        <v>107632490.343652</v>
      </c>
    </row>
    <row r="3440" spans="1:6" x14ac:dyDescent="0.3">
      <c r="A3440" s="3" t="s">
        <v>24</v>
      </c>
      <c r="B3440" s="7" t="str">
        <f>VLOOKUP(VALUE(A3440), 'DICIONÁRIO UF'!$A:$B, 2, FALSE)</f>
        <v>Paraná</v>
      </c>
      <c r="C3440" s="3">
        <v>1206</v>
      </c>
      <c r="D3440" s="5" t="str">
        <f>VLOOKUP(C3440, 'DICIONÁRIO CNAES'!$A:$B, 2, FALSE)</f>
        <v>Apicultura</v>
      </c>
      <c r="E3440" s="4">
        <v>599.36754761999998</v>
      </c>
      <c r="F3440" s="4">
        <v>149841.88690499999</v>
      </c>
    </row>
    <row r="3441" spans="1:6" x14ac:dyDescent="0.3">
      <c r="A3441" s="3" t="s">
        <v>24</v>
      </c>
      <c r="B3441" s="7" t="str">
        <f>VLOOKUP(VALUE(A3441), 'DICIONÁRIO UF'!$A:$B, 2, FALSE)</f>
        <v>Paraná</v>
      </c>
      <c r="C3441" s="3">
        <v>1207</v>
      </c>
      <c r="D3441" s="5" t="str">
        <f>VLOOKUP(C3441, 'DICIONÁRIO CNAES'!$A:$B, 2, FALSE)</f>
        <v>Sericicultura</v>
      </c>
      <c r="E3441" s="4">
        <v>3529.5582383000001</v>
      </c>
      <c r="F3441" s="4">
        <v>3913303.46324025</v>
      </c>
    </row>
    <row r="3442" spans="1:6" x14ac:dyDescent="0.3">
      <c r="A3442" s="3" t="s">
        <v>24</v>
      </c>
      <c r="B3442" s="7" t="str">
        <f>VLOOKUP(VALUE(A3442), 'DICIONÁRIO UF'!$A:$B, 2, FALSE)</f>
        <v>Paraná</v>
      </c>
      <c r="C3442" s="3">
        <v>1208</v>
      </c>
      <c r="D3442" s="5" t="str">
        <f>VLOOKUP(C3442, 'DICIONÁRIO CNAES'!$A:$B, 2, FALSE)</f>
        <v xml:space="preserve">Criação de outros animais não especificados anteriormente </v>
      </c>
      <c r="E3442" s="4">
        <v>213.69398376999999</v>
      </c>
      <c r="F3442" s="4">
        <v>213693.98376999999</v>
      </c>
    </row>
    <row r="3443" spans="1:6" x14ac:dyDescent="0.3">
      <c r="A3443" s="3" t="s">
        <v>24</v>
      </c>
      <c r="B3443" s="7" t="str">
        <f>VLOOKUP(VALUE(A3443), 'DICIONÁRIO UF'!$A:$B, 2, FALSE)</f>
        <v>Paraná</v>
      </c>
      <c r="C3443" s="3">
        <v>1401</v>
      </c>
      <c r="D3443" s="5" t="str">
        <f>VLOOKUP(C3443, 'DICIONÁRIO CNAES'!$A:$B, 2, FALSE)</f>
        <v>Atividades de apoio à agricultura e pós-colheita</v>
      </c>
      <c r="E3443" s="4">
        <v>10209.73534548</v>
      </c>
      <c r="F3443" s="4">
        <v>12604229.135077501</v>
      </c>
    </row>
    <row r="3444" spans="1:6" x14ac:dyDescent="0.3">
      <c r="A3444" s="3" t="s">
        <v>24</v>
      </c>
      <c r="B3444" s="7" t="str">
        <f>VLOOKUP(VALUE(A3444), 'DICIONÁRIO UF'!$A:$B, 2, FALSE)</f>
        <v>Paraná</v>
      </c>
      <c r="C3444" s="3">
        <v>1402</v>
      </c>
      <c r="D3444" s="5" t="str">
        <f>VLOOKUP(C3444, 'DICIONÁRIO CNAES'!$A:$B, 2, FALSE)</f>
        <v xml:space="preserve">Atividades de apoio à pecuária </v>
      </c>
      <c r="E3444" s="4">
        <v>3405.5260304499998</v>
      </c>
      <c r="F3444" s="4">
        <v>4245096.9141528001</v>
      </c>
    </row>
    <row r="3445" spans="1:6" x14ac:dyDescent="0.3">
      <c r="A3445" s="3" t="s">
        <v>24</v>
      </c>
      <c r="B3445" s="7" t="str">
        <f>VLOOKUP(VALUE(A3445), 'DICIONÁRIO UF'!$A:$B, 2, FALSE)</f>
        <v>Paraná</v>
      </c>
      <c r="C3445" s="3">
        <v>1999</v>
      </c>
      <c r="D3445" s="5" t="str">
        <f>VLOOKUP(C3445, 'DICIONÁRIO CNAES'!$A:$B, 2, FALSE)</f>
        <v>Agropecuária</v>
      </c>
      <c r="E3445" s="4">
        <v>1559.54614255</v>
      </c>
      <c r="F3445" s="4">
        <v>3174093.9250619998</v>
      </c>
    </row>
    <row r="3446" spans="1:6" x14ac:dyDescent="0.3">
      <c r="A3446" s="3" t="s">
        <v>24</v>
      </c>
      <c r="B3446" s="7" t="str">
        <f>VLOOKUP(VALUE(A3446), 'DICIONÁRIO UF'!$A:$B, 2, FALSE)</f>
        <v>Paraná</v>
      </c>
      <c r="C3446" s="3">
        <v>2000</v>
      </c>
      <c r="D3446" s="5" t="str">
        <f>VLOOKUP(C3446, 'DICIONÁRIO CNAES'!$A:$B, 2, FALSE)</f>
        <v xml:space="preserve">Produção florestal </v>
      </c>
      <c r="E3446" s="4">
        <v>19551.101788200001</v>
      </c>
      <c r="F3446" s="4">
        <v>25196584.76869157</v>
      </c>
    </row>
    <row r="3447" spans="1:6" x14ac:dyDescent="0.3">
      <c r="A3447" s="3" t="s">
        <v>24</v>
      </c>
      <c r="B3447" s="7" t="str">
        <f>VLOOKUP(VALUE(A3447), 'DICIONÁRIO UF'!$A:$B, 2, FALSE)</f>
        <v>Paraná</v>
      </c>
      <c r="C3447" s="3">
        <v>3001</v>
      </c>
      <c r="D3447" s="5" t="str">
        <f>VLOOKUP(C3447, 'DICIONÁRIO CNAES'!$A:$B, 2, FALSE)</f>
        <v>Pesca</v>
      </c>
      <c r="E3447" s="4">
        <v>1883.0197573600001</v>
      </c>
      <c r="F3447" s="4">
        <v>2251679.3145925002</v>
      </c>
    </row>
    <row r="3448" spans="1:6" x14ac:dyDescent="0.3">
      <c r="A3448" s="3" t="s">
        <v>24</v>
      </c>
      <c r="B3448" s="7" t="str">
        <f>VLOOKUP(VALUE(A3448), 'DICIONÁRIO UF'!$A:$B, 2, FALSE)</f>
        <v>Paraná</v>
      </c>
      <c r="C3448" s="3">
        <v>3002</v>
      </c>
      <c r="D3448" s="5" t="str">
        <f>VLOOKUP(C3448, 'DICIONÁRIO CNAES'!$A:$B, 2, FALSE)</f>
        <v>Aqüicultura</v>
      </c>
      <c r="E3448" s="4">
        <v>1975.6558399</v>
      </c>
      <c r="F3448" s="4">
        <v>4293802.0217869999</v>
      </c>
    </row>
    <row r="3449" spans="1:6" x14ac:dyDescent="0.3">
      <c r="A3449" s="3" t="s">
        <v>24</v>
      </c>
      <c r="B3449" s="7" t="str">
        <f>VLOOKUP(VALUE(A3449), 'DICIONÁRIO UF'!$A:$B, 2, FALSE)</f>
        <v>Paraná</v>
      </c>
      <c r="C3449" s="3">
        <v>5000</v>
      </c>
      <c r="D3449" s="5" t="str">
        <f>VLOOKUP(C3449, 'DICIONÁRIO CNAES'!$A:$B, 2, FALSE)</f>
        <v>Extração de carvão mineral</v>
      </c>
      <c r="E3449" s="4">
        <v>1683.4762907500001</v>
      </c>
      <c r="F3449" s="4">
        <v>4842639.8523559999</v>
      </c>
    </row>
    <row r="3450" spans="1:6" x14ac:dyDescent="0.3">
      <c r="A3450" s="3" t="s">
        <v>24</v>
      </c>
      <c r="B3450" s="7" t="str">
        <f>VLOOKUP(VALUE(A3450), 'DICIONÁRIO UF'!$A:$B, 2, FALSE)</f>
        <v>Paraná</v>
      </c>
      <c r="C3450" s="3">
        <v>6000</v>
      </c>
      <c r="D3450" s="5" t="str">
        <f>VLOOKUP(C3450, 'DICIONÁRIO CNAES'!$A:$B, 2, FALSE)</f>
        <v xml:space="preserve">Extração de petróleo e gás natural </v>
      </c>
      <c r="E3450" s="4">
        <v>1327.42825406</v>
      </c>
      <c r="F3450" s="4">
        <v>3149820.0937890001</v>
      </c>
    </row>
    <row r="3451" spans="1:6" x14ac:dyDescent="0.3">
      <c r="A3451" s="3" t="s">
        <v>24</v>
      </c>
      <c r="B3451" s="7" t="str">
        <f>VLOOKUP(VALUE(A3451), 'DICIONÁRIO UF'!$A:$B, 2, FALSE)</f>
        <v>Paraná</v>
      </c>
      <c r="C3451" s="3">
        <v>7002</v>
      </c>
      <c r="D3451" s="5" t="str">
        <f>VLOOKUP(C3451, 'DICIONÁRIO CNAES'!$A:$B, 2, FALSE)</f>
        <v xml:space="preserve">Extração de minerais metálicos não especificados anteriormente </v>
      </c>
      <c r="E3451" s="4">
        <v>375.84206317000002</v>
      </c>
      <c r="F3451" s="4">
        <v>1390615.6337290001</v>
      </c>
    </row>
    <row r="3452" spans="1:6" x14ac:dyDescent="0.3">
      <c r="A3452" s="3" t="s">
        <v>24</v>
      </c>
      <c r="B3452" s="7" t="str">
        <f>VLOOKUP(VALUE(A3452), 'DICIONÁRIO UF'!$A:$B, 2, FALSE)</f>
        <v>Paraná</v>
      </c>
      <c r="C3452" s="3">
        <v>8001</v>
      </c>
      <c r="D3452" s="5" t="str">
        <f>VLOOKUP(C3452, 'DICIONÁRIO CNAES'!$A:$B, 2, FALSE)</f>
        <v>Extração de pedras, areia e argila</v>
      </c>
      <c r="E3452" s="4">
        <v>10935.67913287</v>
      </c>
      <c r="F3452" s="4">
        <v>25782664.389188401</v>
      </c>
    </row>
    <row r="3453" spans="1:6" x14ac:dyDescent="0.3">
      <c r="A3453" s="3" t="s">
        <v>24</v>
      </c>
      <c r="B3453" s="7" t="str">
        <f>VLOOKUP(VALUE(A3453), 'DICIONÁRIO UF'!$A:$B, 2, FALSE)</f>
        <v>Paraná</v>
      </c>
      <c r="C3453" s="3">
        <v>8009</v>
      </c>
      <c r="D3453" s="5" t="str">
        <f>VLOOKUP(C3453, 'DICIONÁRIO CNAES'!$A:$B, 2, FALSE)</f>
        <v xml:space="preserve">Extração de minerais não metálicos não especificados anteriormente </v>
      </c>
      <c r="E3453" s="4">
        <v>535.96425892000002</v>
      </c>
      <c r="F3453" s="4">
        <v>482367.83302800002</v>
      </c>
    </row>
    <row r="3454" spans="1:6" x14ac:dyDescent="0.3">
      <c r="A3454" s="3" t="s">
        <v>24</v>
      </c>
      <c r="B3454" s="7" t="str">
        <f>VLOOKUP(VALUE(A3454), 'DICIONÁRIO UF'!$A:$B, 2, FALSE)</f>
        <v>Paraná</v>
      </c>
      <c r="C3454" s="3">
        <v>10010</v>
      </c>
      <c r="D3454" s="5" t="str">
        <f>VLOOKUP(C3454, 'DICIONÁRIO CNAES'!$A:$B, 2, FALSE)</f>
        <v xml:space="preserve">Abate e fabricação de produtos de carne e pescado </v>
      </c>
      <c r="E3454" s="4">
        <v>111499.71690323</v>
      </c>
      <c r="F3454" s="4">
        <v>219533825.8353785</v>
      </c>
    </row>
    <row r="3455" spans="1:6" x14ac:dyDescent="0.3">
      <c r="A3455" s="3" t="s">
        <v>24</v>
      </c>
      <c r="B3455" s="7" t="str">
        <f>VLOOKUP(VALUE(A3455), 'DICIONÁRIO UF'!$A:$B, 2, FALSE)</f>
        <v>Paraná</v>
      </c>
      <c r="C3455" s="3">
        <v>10021</v>
      </c>
      <c r="D3455" s="5" t="str">
        <f>VLOOKUP(C3455, 'DICIONÁRIO CNAES'!$A:$B, 2, FALSE)</f>
        <v>Fabricação de conservas de frutas, legumes e outros vegetais</v>
      </c>
      <c r="E3455" s="4">
        <v>1261.03824921</v>
      </c>
      <c r="F3455" s="4">
        <v>1405003.7058079999</v>
      </c>
    </row>
    <row r="3456" spans="1:6" x14ac:dyDescent="0.3">
      <c r="A3456" s="3" t="s">
        <v>24</v>
      </c>
      <c r="B3456" s="7" t="str">
        <f>VLOOKUP(VALUE(A3456), 'DICIONÁRIO UF'!$A:$B, 2, FALSE)</f>
        <v>Paraná</v>
      </c>
      <c r="C3456" s="3">
        <v>10022</v>
      </c>
      <c r="D3456" s="5" t="str">
        <f>VLOOKUP(C3456, 'DICIONÁRIO CNAES'!$A:$B, 2, FALSE)</f>
        <v>Fabricação de óleos vegetais e gorduras vegetais e animais</v>
      </c>
      <c r="E3456" s="4">
        <v>3457.97491339</v>
      </c>
      <c r="F3456" s="4">
        <v>8540617.6919810008</v>
      </c>
    </row>
    <row r="3457" spans="1:6" x14ac:dyDescent="0.3">
      <c r="A3457" s="3" t="s">
        <v>24</v>
      </c>
      <c r="B3457" s="7" t="str">
        <f>VLOOKUP(VALUE(A3457), 'DICIONÁRIO UF'!$A:$B, 2, FALSE)</f>
        <v>Paraná</v>
      </c>
      <c r="C3457" s="3">
        <v>10030</v>
      </c>
      <c r="D3457" s="5" t="str">
        <f>VLOOKUP(C3457, 'DICIONÁRIO CNAES'!$A:$B, 2, FALSE)</f>
        <v>Laticínios</v>
      </c>
      <c r="E3457" s="4">
        <v>25304.9429409</v>
      </c>
      <c r="F3457" s="4">
        <v>55913239.028804839</v>
      </c>
    </row>
    <row r="3458" spans="1:6" x14ac:dyDescent="0.3">
      <c r="A3458" s="3" t="s">
        <v>24</v>
      </c>
      <c r="B3458" s="7" t="str">
        <f>VLOOKUP(VALUE(A3458), 'DICIONÁRIO UF'!$A:$B, 2, FALSE)</f>
        <v>Paraná</v>
      </c>
      <c r="C3458" s="3">
        <v>10091</v>
      </c>
      <c r="D3458" s="5" t="str">
        <f>VLOOKUP(C3458, 'DICIONÁRIO CNAES'!$A:$B, 2, FALSE)</f>
        <v>Moagem, fabricação de produtos amiláceos e de alimentos para animais</v>
      </c>
      <c r="E3458" s="4">
        <v>16368.87733139</v>
      </c>
      <c r="F3458" s="4">
        <v>34219135.096307002</v>
      </c>
    </row>
    <row r="3459" spans="1:6" x14ac:dyDescent="0.3">
      <c r="A3459" s="3" t="s">
        <v>24</v>
      </c>
      <c r="B3459" s="7" t="str">
        <f>VLOOKUP(VALUE(A3459), 'DICIONÁRIO UF'!$A:$B, 2, FALSE)</f>
        <v>Paraná</v>
      </c>
      <c r="C3459" s="3">
        <v>10092</v>
      </c>
      <c r="D3459" s="5" t="str">
        <f>VLOOKUP(C3459, 'DICIONÁRIO CNAES'!$A:$B, 2, FALSE)</f>
        <v>Fabricação e refino do açúcar</v>
      </c>
      <c r="E3459" s="4">
        <v>6851.4881539600001</v>
      </c>
      <c r="F3459" s="4">
        <v>11542127.124615001</v>
      </c>
    </row>
    <row r="3460" spans="1:6" x14ac:dyDescent="0.3">
      <c r="A3460" s="3" t="s">
        <v>24</v>
      </c>
      <c r="B3460" s="7" t="str">
        <f>VLOOKUP(VALUE(A3460), 'DICIONÁRIO UF'!$A:$B, 2, FALSE)</f>
        <v>Paraná</v>
      </c>
      <c r="C3460" s="3">
        <v>10093</v>
      </c>
      <c r="D3460" s="5" t="str">
        <f>VLOOKUP(C3460, 'DICIONÁRIO CNAES'!$A:$B, 2, FALSE)</f>
        <v>Torrefação e moagem de café</v>
      </c>
      <c r="E3460" s="4">
        <v>489.78790617999999</v>
      </c>
      <c r="F3460" s="4">
        <v>685703.06865200005</v>
      </c>
    </row>
    <row r="3461" spans="1:6" x14ac:dyDescent="0.3">
      <c r="A3461" s="3" t="s">
        <v>24</v>
      </c>
      <c r="B3461" s="7" t="str">
        <f>VLOOKUP(VALUE(A3461), 'DICIONÁRIO UF'!$A:$B, 2, FALSE)</f>
        <v>Paraná</v>
      </c>
      <c r="C3461" s="3">
        <v>10099</v>
      </c>
      <c r="D3461" s="5" t="str">
        <f>VLOOKUP(C3461, 'DICIONÁRIO CNAES'!$A:$B, 2, FALSE)</f>
        <v>Fabricação de outros produtos alimentícios</v>
      </c>
      <c r="E3461" s="4">
        <v>29755.389582989999</v>
      </c>
      <c r="F3461" s="4">
        <v>52426288.869806103</v>
      </c>
    </row>
    <row r="3462" spans="1:6" x14ac:dyDescent="0.3">
      <c r="A3462" s="3" t="s">
        <v>24</v>
      </c>
      <c r="B3462" s="7" t="str">
        <f>VLOOKUP(VALUE(A3462), 'DICIONÁRIO UF'!$A:$B, 2, FALSE)</f>
        <v>Paraná</v>
      </c>
      <c r="C3462" s="3">
        <v>11000</v>
      </c>
      <c r="D3462" s="5" t="str">
        <f>VLOOKUP(C3462, 'DICIONÁRIO CNAES'!$A:$B, 2, FALSE)</f>
        <v>Fabricação de bebidas</v>
      </c>
      <c r="E3462" s="4">
        <v>2111.3707677399998</v>
      </c>
      <c r="F3462" s="4">
        <v>6221187.6629879996</v>
      </c>
    </row>
    <row r="3463" spans="1:6" x14ac:dyDescent="0.3">
      <c r="A3463" s="3" t="s">
        <v>24</v>
      </c>
      <c r="B3463" s="7" t="str">
        <f>VLOOKUP(VALUE(A3463), 'DICIONÁRIO UF'!$A:$B, 2, FALSE)</f>
        <v>Paraná</v>
      </c>
      <c r="C3463" s="3">
        <v>12000</v>
      </c>
      <c r="D3463" s="5" t="str">
        <f>VLOOKUP(C3463, 'DICIONÁRIO CNAES'!$A:$B, 2, FALSE)</f>
        <v>Processamento industrial e fabricação de produtos do fumo</v>
      </c>
      <c r="E3463" s="4">
        <v>437.81357642</v>
      </c>
      <c r="F3463" s="4">
        <v>612939.00698800001</v>
      </c>
    </row>
    <row r="3464" spans="1:6" x14ac:dyDescent="0.3">
      <c r="A3464" s="3" t="s">
        <v>24</v>
      </c>
      <c r="B3464" s="7" t="str">
        <f>VLOOKUP(VALUE(A3464), 'DICIONÁRIO UF'!$A:$B, 2, FALSE)</f>
        <v>Paraná</v>
      </c>
      <c r="C3464" s="3">
        <v>13001</v>
      </c>
      <c r="D3464" s="5" t="str">
        <f>VLOOKUP(C3464, 'DICIONÁRIO CNAES'!$A:$B, 2, FALSE)</f>
        <v>Preparação de fibras, fiação e tecelagem</v>
      </c>
      <c r="E3464" s="4">
        <v>6397.90615058</v>
      </c>
      <c r="F3464" s="4">
        <v>10507879.845197</v>
      </c>
    </row>
    <row r="3465" spans="1:6" x14ac:dyDescent="0.3">
      <c r="A3465" s="3" t="s">
        <v>24</v>
      </c>
      <c r="B3465" s="7" t="str">
        <f>VLOOKUP(VALUE(A3465), 'DICIONÁRIO UF'!$A:$B, 2, FALSE)</f>
        <v>Paraná</v>
      </c>
      <c r="C3465" s="3">
        <v>13002</v>
      </c>
      <c r="D3465" s="5" t="str">
        <f>VLOOKUP(C3465, 'DICIONÁRIO CNAES'!$A:$B, 2, FALSE)</f>
        <v>Fabricação de artefatos têxteis, exceto vestuário</v>
      </c>
      <c r="E3465" s="4">
        <v>18528.598263219999</v>
      </c>
      <c r="F3465" s="4">
        <v>20231961.558897801</v>
      </c>
    </row>
    <row r="3466" spans="1:6" x14ac:dyDescent="0.3">
      <c r="A3466" s="3" t="s">
        <v>24</v>
      </c>
      <c r="B3466" s="7" t="str">
        <f>VLOOKUP(VALUE(A3466), 'DICIONÁRIO UF'!$A:$B, 2, FALSE)</f>
        <v>Paraná</v>
      </c>
      <c r="C3466" s="3">
        <v>14001</v>
      </c>
      <c r="D3466" s="5" t="str">
        <f>VLOOKUP(C3466, 'DICIONÁRIO CNAES'!$A:$B, 2, FALSE)</f>
        <v>Confecção de artigos do vestuário e acessórios, exceto sob medida</v>
      </c>
      <c r="E3466" s="4">
        <v>73883.109576810006</v>
      </c>
      <c r="F3466" s="4">
        <v>124272574.02821431</v>
      </c>
    </row>
    <row r="3467" spans="1:6" x14ac:dyDescent="0.3">
      <c r="A3467" s="3" t="s">
        <v>24</v>
      </c>
      <c r="B3467" s="7" t="str">
        <f>VLOOKUP(VALUE(A3467), 'DICIONÁRIO UF'!$A:$B, 2, FALSE)</f>
        <v>Paraná</v>
      </c>
      <c r="C3467" s="3">
        <v>14002</v>
      </c>
      <c r="D3467" s="5" t="str">
        <f>VLOOKUP(C3467, 'DICIONÁRIO CNAES'!$A:$B, 2, FALSE)</f>
        <v>Confecção, sob medida, de artigos do vestuário</v>
      </c>
      <c r="E3467" s="4">
        <v>44468.364595320003</v>
      </c>
      <c r="F3467" s="4">
        <v>69759244.853855044</v>
      </c>
    </row>
    <row r="3468" spans="1:6" x14ac:dyDescent="0.3">
      <c r="A3468" s="3" t="s">
        <v>24</v>
      </c>
      <c r="B3468" s="7" t="str">
        <f>VLOOKUP(VALUE(A3468), 'DICIONÁRIO UF'!$A:$B, 2, FALSE)</f>
        <v>Paraná</v>
      </c>
      <c r="C3468" s="3">
        <v>15012</v>
      </c>
      <c r="D3468" s="5" t="str">
        <f>VLOOKUP(C3468, 'DICIONÁRIO CNAES'!$A:$B, 2, FALSE)</f>
        <v>Fabricação de artigos de viagem e de artefatos diversos de couro</v>
      </c>
      <c r="E3468" s="4">
        <v>1592.9005606999999</v>
      </c>
      <c r="F3468" s="4">
        <v>1511423.351088</v>
      </c>
    </row>
    <row r="3469" spans="1:6" x14ac:dyDescent="0.3">
      <c r="A3469" s="3" t="s">
        <v>24</v>
      </c>
      <c r="B3469" s="7" t="str">
        <f>VLOOKUP(VALUE(A3469), 'DICIONÁRIO UF'!$A:$B, 2, FALSE)</f>
        <v>Paraná</v>
      </c>
      <c r="C3469" s="3">
        <v>15020</v>
      </c>
      <c r="D3469" s="5" t="str">
        <f>VLOOKUP(C3469, 'DICIONÁRIO CNAES'!$A:$B, 2, FALSE)</f>
        <v>Fabricação de calçados e partes para calçados, de qualquer material</v>
      </c>
      <c r="E3469" s="4">
        <v>2618.2191309300001</v>
      </c>
      <c r="F3469" s="4">
        <v>3935250.241068</v>
      </c>
    </row>
    <row r="3470" spans="1:6" x14ac:dyDescent="0.3">
      <c r="A3470" s="3" t="s">
        <v>24</v>
      </c>
      <c r="B3470" s="7" t="str">
        <f>VLOOKUP(VALUE(A3470), 'DICIONÁRIO UF'!$A:$B, 2, FALSE)</f>
        <v>Paraná</v>
      </c>
      <c r="C3470" s="3">
        <v>16001</v>
      </c>
      <c r="D3470" s="5" t="str">
        <f>VLOOKUP(C3470, 'DICIONÁRIO CNAES'!$A:$B, 2, FALSE)</f>
        <v>Serrarias</v>
      </c>
      <c r="E3470" s="4">
        <v>19498.379443649999</v>
      </c>
      <c r="F3470" s="4">
        <v>43066187.570491597</v>
      </c>
    </row>
    <row r="3471" spans="1:6" x14ac:dyDescent="0.3">
      <c r="A3471" s="3" t="s">
        <v>24</v>
      </c>
      <c r="B3471" s="7" t="str">
        <f>VLOOKUP(VALUE(A3471), 'DICIONÁRIO UF'!$A:$B, 2, FALSE)</f>
        <v>Paraná</v>
      </c>
      <c r="C3471" s="3">
        <v>16002</v>
      </c>
      <c r="D3471" s="5" t="str">
        <f>VLOOKUP(C3471, 'DICIONÁRIO CNAES'!$A:$B, 2, FALSE)</f>
        <v>Fabricação de produtos de madeira, cortiça e material trançado, exceto móveis</v>
      </c>
      <c r="E3471" s="4">
        <v>42867.442272269996</v>
      </c>
      <c r="F3471" s="4">
        <v>81050528.892121673</v>
      </c>
    </row>
    <row r="3472" spans="1:6" x14ac:dyDescent="0.3">
      <c r="A3472" s="3" t="s">
        <v>24</v>
      </c>
      <c r="B3472" s="7" t="str">
        <f>VLOOKUP(VALUE(A3472), 'DICIONÁRIO UF'!$A:$B, 2, FALSE)</f>
        <v>Paraná</v>
      </c>
      <c r="C3472" s="3">
        <v>17001</v>
      </c>
      <c r="D3472" s="5" t="str">
        <f>VLOOKUP(C3472, 'DICIONÁRIO CNAES'!$A:$B, 2, FALSE)</f>
        <v>Fabricação de celulose, papel, cartolina e papel-cartão</v>
      </c>
      <c r="E3472" s="4">
        <v>15332.360555609999</v>
      </c>
      <c r="F3472" s="4">
        <v>58519872.911182001</v>
      </c>
    </row>
    <row r="3473" spans="1:6" x14ac:dyDescent="0.3">
      <c r="A3473" s="3" t="s">
        <v>24</v>
      </c>
      <c r="B3473" s="7" t="str">
        <f>VLOOKUP(VALUE(A3473), 'DICIONÁRIO UF'!$A:$B, 2, FALSE)</f>
        <v>Paraná</v>
      </c>
      <c r="C3473" s="3">
        <v>17002</v>
      </c>
      <c r="D3473" s="5" t="str">
        <f>VLOOKUP(C3473, 'DICIONÁRIO CNAES'!$A:$B, 2, FALSE)</f>
        <v>Fabricação de embalagens e de produtos diversos de papel, cartolina, papel-cartão e papelão ondulado</v>
      </c>
      <c r="E3473" s="4">
        <v>13211.97966214</v>
      </c>
      <c r="F3473" s="4">
        <v>30021902.752836999</v>
      </c>
    </row>
    <row r="3474" spans="1:6" x14ac:dyDescent="0.3">
      <c r="A3474" s="3" t="s">
        <v>24</v>
      </c>
      <c r="B3474" s="7" t="str">
        <f>VLOOKUP(VALUE(A3474), 'DICIONÁRIO UF'!$A:$B, 2, FALSE)</f>
        <v>Paraná</v>
      </c>
      <c r="C3474" s="3">
        <v>18000</v>
      </c>
      <c r="D3474" s="5" t="str">
        <f>VLOOKUP(C3474, 'DICIONÁRIO CNAES'!$A:$B, 2, FALSE)</f>
        <v>Impressão e reprodução de gravações</v>
      </c>
      <c r="E3474" s="4">
        <v>15201.681259200001</v>
      </c>
      <c r="F3474" s="4">
        <v>36842332.738342002</v>
      </c>
    </row>
    <row r="3475" spans="1:6" x14ac:dyDescent="0.3">
      <c r="A3475" s="3" t="s">
        <v>24</v>
      </c>
      <c r="B3475" s="7" t="str">
        <f>VLOOKUP(VALUE(A3475), 'DICIONÁRIO UF'!$A:$B, 2, FALSE)</f>
        <v>Paraná</v>
      </c>
      <c r="C3475" s="3">
        <v>19020</v>
      </c>
      <c r="D3475" s="5" t="str">
        <f>VLOOKUP(C3475, 'DICIONÁRIO CNAES'!$A:$B, 2, FALSE)</f>
        <v>Fabricação de produtos derivados do petróleo</v>
      </c>
      <c r="E3475" s="4">
        <v>1195.4943027500001</v>
      </c>
      <c r="F3475" s="4">
        <v>11226100.537016001</v>
      </c>
    </row>
    <row r="3476" spans="1:6" x14ac:dyDescent="0.3">
      <c r="A3476" s="3" t="s">
        <v>24</v>
      </c>
      <c r="B3476" s="7" t="str">
        <f>VLOOKUP(VALUE(A3476), 'DICIONÁRIO UF'!$A:$B, 2, FALSE)</f>
        <v>Paraná</v>
      </c>
      <c r="C3476" s="3">
        <v>19030</v>
      </c>
      <c r="D3476" s="5" t="str">
        <f>VLOOKUP(C3476, 'DICIONÁRIO CNAES'!$A:$B, 2, FALSE)</f>
        <v>Produção de biocombustíveis</v>
      </c>
      <c r="E3476" s="4">
        <v>6630.08650657</v>
      </c>
      <c r="F3476" s="4">
        <v>54761814.923855998</v>
      </c>
    </row>
    <row r="3477" spans="1:6" x14ac:dyDescent="0.3">
      <c r="A3477" s="3" t="s">
        <v>24</v>
      </c>
      <c r="B3477" s="7" t="str">
        <f>VLOOKUP(VALUE(A3477), 'DICIONÁRIO UF'!$A:$B, 2, FALSE)</f>
        <v>Paraná</v>
      </c>
      <c r="C3477" s="3">
        <v>20010</v>
      </c>
      <c r="D3477" s="5" t="str">
        <f>VLOOKUP(C3477, 'DICIONÁRIO CNAES'!$A:$B, 2, FALSE)</f>
        <v>Fabricação de tintas, vernizes, esmaltes, lacas e produtos afins</v>
      </c>
      <c r="E3477" s="4">
        <v>4079.5015505900001</v>
      </c>
      <c r="F3477" s="4">
        <v>6633585.1684945002</v>
      </c>
    </row>
    <row r="3478" spans="1:6" x14ac:dyDescent="0.3">
      <c r="A3478" s="3" t="s">
        <v>24</v>
      </c>
      <c r="B3478" s="7" t="str">
        <f>VLOOKUP(VALUE(A3478), 'DICIONÁRIO UF'!$A:$B, 2, FALSE)</f>
        <v>Paraná</v>
      </c>
      <c r="C3478" s="3">
        <v>20020</v>
      </c>
      <c r="D3478" s="5" t="str">
        <f>VLOOKUP(C3478, 'DICIONÁRIO CNAES'!$A:$B, 2, FALSE)</f>
        <v>Fabricação de sabões, detergentes, produtos de limpeza, cosméticos, produtos de perfumaria e de higiene pessoal</v>
      </c>
      <c r="E3478" s="4">
        <v>6115.8201502000002</v>
      </c>
      <c r="F3478" s="4">
        <v>16175669.11395438</v>
      </c>
    </row>
    <row r="3479" spans="1:6" x14ac:dyDescent="0.3">
      <c r="A3479" s="3" t="s">
        <v>24</v>
      </c>
      <c r="B3479" s="7" t="str">
        <f>VLOOKUP(VALUE(A3479), 'DICIONÁRIO UF'!$A:$B, 2, FALSE)</f>
        <v>Paraná</v>
      </c>
      <c r="C3479" s="3">
        <v>20090</v>
      </c>
      <c r="D3479" s="5" t="str">
        <f>VLOOKUP(C3479, 'DICIONÁRIO CNAES'!$A:$B, 2, FALSE)</f>
        <v>Fabricação de outros produtos químicos não especificados anteriormente</v>
      </c>
      <c r="E3479" s="4">
        <v>15644.072308700001</v>
      </c>
      <c r="F3479" s="4">
        <v>45764004.284916997</v>
      </c>
    </row>
    <row r="3480" spans="1:6" x14ac:dyDescent="0.3">
      <c r="A3480" s="3" t="s">
        <v>24</v>
      </c>
      <c r="B3480" s="7" t="str">
        <f>VLOOKUP(VALUE(A3480), 'DICIONÁRIO UF'!$A:$B, 2, FALSE)</f>
        <v>Paraná</v>
      </c>
      <c r="C3480" s="3">
        <v>21000</v>
      </c>
      <c r="D3480" s="5" t="str">
        <f>VLOOKUP(C3480, 'DICIONÁRIO CNAES'!$A:$B, 2, FALSE)</f>
        <v>Fabricação de produtos farmoquimicos e farmacêuticos</v>
      </c>
      <c r="E3480" s="4">
        <v>6790.5381619899999</v>
      </c>
      <c r="F3480" s="4">
        <v>20103927.942856848</v>
      </c>
    </row>
    <row r="3481" spans="1:6" x14ac:dyDescent="0.3">
      <c r="A3481" s="3" t="s">
        <v>24</v>
      </c>
      <c r="B3481" s="7" t="str">
        <f>VLOOKUP(VALUE(A3481), 'DICIONÁRIO UF'!$A:$B, 2, FALSE)</f>
        <v>Paraná</v>
      </c>
      <c r="C3481" s="3">
        <v>22010</v>
      </c>
      <c r="D3481" s="5" t="str">
        <f>VLOOKUP(C3481, 'DICIONÁRIO CNAES'!$A:$B, 2, FALSE)</f>
        <v>Fabricação de produtos de borracha</v>
      </c>
      <c r="E3481" s="4">
        <v>6078.5728898300003</v>
      </c>
      <c r="F3481" s="4">
        <v>16109149.121982001</v>
      </c>
    </row>
    <row r="3482" spans="1:6" x14ac:dyDescent="0.3">
      <c r="A3482" s="3" t="s">
        <v>24</v>
      </c>
      <c r="B3482" s="7" t="str">
        <f>VLOOKUP(VALUE(A3482), 'DICIONÁRIO UF'!$A:$B, 2, FALSE)</f>
        <v>Paraná</v>
      </c>
      <c r="C3482" s="3">
        <v>22020</v>
      </c>
      <c r="D3482" s="5" t="str">
        <f>VLOOKUP(C3482, 'DICIONÁRIO CNAES'!$A:$B, 2, FALSE)</f>
        <v>Fabricação de produtos de material plástico</v>
      </c>
      <c r="E3482" s="4">
        <v>26615.654935840001</v>
      </c>
      <c r="F3482" s="4">
        <v>61912742.430477113</v>
      </c>
    </row>
    <row r="3483" spans="1:6" x14ac:dyDescent="0.3">
      <c r="A3483" s="3" t="s">
        <v>24</v>
      </c>
      <c r="B3483" s="7" t="str">
        <f>VLOOKUP(VALUE(A3483), 'DICIONÁRIO UF'!$A:$B, 2, FALSE)</f>
        <v>Paraná</v>
      </c>
      <c r="C3483" s="3">
        <v>23010</v>
      </c>
      <c r="D3483" s="5" t="str">
        <f>VLOOKUP(C3483, 'DICIONÁRIO CNAES'!$A:$B, 2, FALSE)</f>
        <v>Fabricação de vidro e produtos de vidro</v>
      </c>
      <c r="E3483" s="4">
        <v>7296.3607872499997</v>
      </c>
      <c r="F3483" s="4">
        <v>20248163.934461001</v>
      </c>
    </row>
    <row r="3484" spans="1:6" x14ac:dyDescent="0.3">
      <c r="A3484" s="3" t="s">
        <v>24</v>
      </c>
      <c r="B3484" s="7" t="str">
        <f>VLOOKUP(VALUE(A3484), 'DICIONÁRIO UF'!$A:$B, 2, FALSE)</f>
        <v>Paraná</v>
      </c>
      <c r="C3484" s="3">
        <v>23091</v>
      </c>
      <c r="D3484" s="5" t="str">
        <f>VLOOKUP(C3484, 'DICIONÁRIO CNAES'!$A:$B, 2, FALSE)</f>
        <v>Fabricação de produtos cerâmicos</v>
      </c>
      <c r="E3484" s="4">
        <v>13354.41980181</v>
      </c>
      <c r="F3484" s="4">
        <v>22643262.846893769</v>
      </c>
    </row>
    <row r="3485" spans="1:6" x14ac:dyDescent="0.3">
      <c r="A3485" s="3" t="s">
        <v>24</v>
      </c>
      <c r="B3485" s="7" t="str">
        <f>VLOOKUP(VALUE(A3485), 'DICIONÁRIO UF'!$A:$B, 2, FALSE)</f>
        <v>Paraná</v>
      </c>
      <c r="C3485" s="3">
        <v>23099</v>
      </c>
      <c r="D3485" s="5" t="str">
        <f>VLOOKUP(C3485, 'DICIONÁRIO CNAES'!$A:$B, 2, FALSE)</f>
        <v>Fabricação de outros produtos de minerais não-metálicos não especificados anteriormente</v>
      </c>
      <c r="E3485" s="4">
        <v>22162.47397789</v>
      </c>
      <c r="F3485" s="4">
        <v>48328892.247951306</v>
      </c>
    </row>
    <row r="3486" spans="1:6" x14ac:dyDescent="0.3">
      <c r="A3486" s="3" t="s">
        <v>24</v>
      </c>
      <c r="B3486" s="7" t="str">
        <f>VLOOKUP(VALUE(A3486), 'DICIONÁRIO UF'!$A:$B, 2, FALSE)</f>
        <v>Paraná</v>
      </c>
      <c r="C3486" s="3">
        <v>24001</v>
      </c>
      <c r="D3486" s="5" t="str">
        <f>VLOOKUP(C3486, 'DICIONÁRIO CNAES'!$A:$B, 2, FALSE)</f>
        <v>Fabricação de produtos siderúrgicos</v>
      </c>
      <c r="E3486" s="4">
        <v>486.28148284000002</v>
      </c>
      <c r="F3486" s="4">
        <v>729422.22426000005</v>
      </c>
    </row>
    <row r="3487" spans="1:6" x14ac:dyDescent="0.3">
      <c r="A3487" s="3" t="s">
        <v>24</v>
      </c>
      <c r="B3487" s="7" t="str">
        <f>VLOOKUP(VALUE(A3487), 'DICIONÁRIO UF'!$A:$B, 2, FALSE)</f>
        <v>Paraná</v>
      </c>
      <c r="C3487" s="3">
        <v>24002</v>
      </c>
      <c r="D3487" s="5" t="str">
        <f>VLOOKUP(C3487, 'DICIONÁRIO CNAES'!$A:$B, 2, FALSE)</f>
        <v>Metalurgia dos metais não-ferrosos</v>
      </c>
      <c r="E3487" s="4">
        <v>1920.4896460699999</v>
      </c>
      <c r="F3487" s="4">
        <v>3205221.4273168999</v>
      </c>
    </row>
    <row r="3488" spans="1:6" x14ac:dyDescent="0.3">
      <c r="A3488" s="3" t="s">
        <v>24</v>
      </c>
      <c r="B3488" s="7" t="str">
        <f>VLOOKUP(VALUE(A3488), 'DICIONÁRIO UF'!$A:$B, 2, FALSE)</f>
        <v>Paraná</v>
      </c>
      <c r="C3488" s="3">
        <v>24003</v>
      </c>
      <c r="D3488" s="5" t="str">
        <f>VLOOKUP(C3488, 'DICIONÁRIO CNAES'!$A:$B, 2, FALSE)</f>
        <v>Fundição</v>
      </c>
      <c r="E3488" s="4">
        <v>1432.4931795299999</v>
      </c>
      <c r="F3488" s="4">
        <v>2625638.766111</v>
      </c>
    </row>
    <row r="3489" spans="1:6" x14ac:dyDescent="0.3">
      <c r="A3489" s="3" t="s">
        <v>24</v>
      </c>
      <c r="B3489" s="7" t="str">
        <f>VLOOKUP(VALUE(A3489), 'DICIONÁRIO UF'!$A:$B, 2, FALSE)</f>
        <v>Paraná</v>
      </c>
      <c r="C3489" s="3">
        <v>25001</v>
      </c>
      <c r="D3489" s="5" t="str">
        <f>VLOOKUP(C3489, 'DICIONÁRIO CNAES'!$A:$B, 2, FALSE)</f>
        <v>Fabricação de produtos de metal, exceto máquinas e equipamentos</v>
      </c>
      <c r="E3489" s="4">
        <v>70106.351063840004</v>
      </c>
      <c r="F3489" s="4">
        <v>163743346.4597598</v>
      </c>
    </row>
    <row r="3490" spans="1:6" x14ac:dyDescent="0.3">
      <c r="A3490" s="3" t="s">
        <v>24</v>
      </c>
      <c r="B3490" s="7" t="str">
        <f>VLOOKUP(VALUE(A3490), 'DICIONÁRIO UF'!$A:$B, 2, FALSE)</f>
        <v>Paraná</v>
      </c>
      <c r="C3490" s="3">
        <v>25002</v>
      </c>
      <c r="D3490" s="5" t="str">
        <f>VLOOKUP(C3490, 'DICIONÁRIO CNAES'!$A:$B, 2, FALSE)</f>
        <v>Forjaria, estamparia, metalurgia do pó e serviços de tratamento de metais</v>
      </c>
      <c r="E3490" s="4">
        <v>13315.9189867</v>
      </c>
      <c r="F3490" s="4">
        <v>33530538.519568</v>
      </c>
    </row>
    <row r="3491" spans="1:6" x14ac:dyDescent="0.3">
      <c r="A3491" s="3" t="s">
        <v>24</v>
      </c>
      <c r="B3491" s="7" t="str">
        <f>VLOOKUP(VALUE(A3491), 'DICIONÁRIO UF'!$A:$B, 2, FALSE)</f>
        <v>Paraná</v>
      </c>
      <c r="C3491" s="3">
        <v>26010</v>
      </c>
      <c r="D3491" s="5" t="str">
        <f>VLOOKUP(C3491, 'DICIONÁRIO CNAES'!$A:$B, 2, FALSE)</f>
        <v>Fabricação de componentes eletrônicos</v>
      </c>
      <c r="E3491" s="4">
        <v>1171.58064844</v>
      </c>
      <c r="F3491" s="4">
        <v>5237818.2390959999</v>
      </c>
    </row>
    <row r="3492" spans="1:6" x14ac:dyDescent="0.3">
      <c r="A3492" s="3" t="s">
        <v>24</v>
      </c>
      <c r="B3492" s="7" t="str">
        <f>VLOOKUP(VALUE(A3492), 'DICIONÁRIO UF'!$A:$B, 2, FALSE)</f>
        <v>Paraná</v>
      </c>
      <c r="C3492" s="3">
        <v>26020</v>
      </c>
      <c r="D3492" s="5" t="str">
        <f>VLOOKUP(C3492, 'DICIONÁRIO CNAES'!$A:$B, 2, FALSE)</f>
        <v>Fabricação de equipamentos de informática e periféricos</v>
      </c>
      <c r="E3492" s="4">
        <v>982.39213351000001</v>
      </c>
      <c r="F3492" s="4">
        <v>3109485.74456</v>
      </c>
    </row>
    <row r="3493" spans="1:6" x14ac:dyDescent="0.3">
      <c r="A3493" s="3" t="s">
        <v>24</v>
      </c>
      <c r="B3493" s="7" t="str">
        <f>VLOOKUP(VALUE(A3493), 'DICIONÁRIO UF'!$A:$B, 2, FALSE)</f>
        <v>Paraná</v>
      </c>
      <c r="C3493" s="3">
        <v>26030</v>
      </c>
      <c r="D3493" s="5" t="str">
        <f>VLOOKUP(C3493, 'DICIONÁRIO CNAES'!$A:$B, 2, FALSE)</f>
        <v>Fabricação de equipamentos de comunicação e de aparelhos de recepção, reprodução, gravação e amplificação de áudio e vídeo</v>
      </c>
      <c r="E3493" s="4">
        <v>2192.1540204600001</v>
      </c>
      <c r="F3493" s="4">
        <v>18276679.43702583</v>
      </c>
    </row>
    <row r="3494" spans="1:6" x14ac:dyDescent="0.3">
      <c r="A3494" s="3" t="s">
        <v>24</v>
      </c>
      <c r="B3494" s="7" t="str">
        <f>VLOOKUP(VALUE(A3494), 'DICIONÁRIO UF'!$A:$B, 2, FALSE)</f>
        <v>Paraná</v>
      </c>
      <c r="C3494" s="3">
        <v>26041</v>
      </c>
      <c r="D3494" s="5" t="str">
        <f>VLOOKUP(C3494, 'DICIONÁRIO CNAES'!$A:$B, 2, FALSE)</f>
        <v>Fabricação de aparelhos e instrumentos de medida, teste e controle; cronômetros e relógios e de aparelhos eletromédicos e eletroterapêuticos</v>
      </c>
      <c r="E3494" s="4">
        <v>2435.4759013399998</v>
      </c>
      <c r="F3494" s="4">
        <v>7700800.4406170007</v>
      </c>
    </row>
    <row r="3495" spans="1:6" x14ac:dyDescent="0.3">
      <c r="A3495" s="3" t="s">
        <v>24</v>
      </c>
      <c r="B3495" s="7" t="str">
        <f>VLOOKUP(VALUE(A3495), 'DICIONÁRIO UF'!$A:$B, 2, FALSE)</f>
        <v>Paraná</v>
      </c>
      <c r="C3495" s="3">
        <v>27010</v>
      </c>
      <c r="D3495" s="5" t="str">
        <f>VLOOKUP(C3495, 'DICIONÁRIO CNAES'!$A:$B, 2, FALSE)</f>
        <v>Fabricação de eletrodomesticos</v>
      </c>
      <c r="E3495" s="4">
        <v>4879.4890946899995</v>
      </c>
      <c r="F3495" s="4">
        <v>14109059.697425701</v>
      </c>
    </row>
    <row r="3496" spans="1:6" x14ac:dyDescent="0.3">
      <c r="A3496" s="3" t="s">
        <v>24</v>
      </c>
      <c r="B3496" s="7" t="str">
        <f>VLOOKUP(VALUE(A3496), 'DICIONÁRIO UF'!$A:$B, 2, FALSE)</f>
        <v>Paraná</v>
      </c>
      <c r="C3496" s="3">
        <v>27090</v>
      </c>
      <c r="D3496" s="5" t="str">
        <f>VLOOKUP(C3496, 'DICIONÁRIO CNAES'!$A:$B, 2, FALSE)</f>
        <v>Fabricação de máquinas, aparelhos e materiais elétricos diversos, exceto eletrodomesticos</v>
      </c>
      <c r="E3496" s="4">
        <v>9044.4295782600002</v>
      </c>
      <c r="F3496" s="4">
        <v>43625105.308316998</v>
      </c>
    </row>
    <row r="3497" spans="1:6" x14ac:dyDescent="0.3">
      <c r="A3497" s="3" t="s">
        <v>24</v>
      </c>
      <c r="B3497" s="7" t="str">
        <f>VLOOKUP(VALUE(A3497), 'DICIONÁRIO UF'!$A:$B, 2, FALSE)</f>
        <v>Paraná</v>
      </c>
      <c r="C3497" s="3">
        <v>28000</v>
      </c>
      <c r="D3497" s="5" t="str">
        <f>VLOOKUP(C3497, 'DICIONÁRIO CNAES'!$A:$B, 2, FALSE)</f>
        <v>Fabricação de máquinas e equipamentos</v>
      </c>
      <c r="E3497" s="4">
        <v>44515.317196839998</v>
      </c>
      <c r="F3497" s="4">
        <v>168998643.63303179</v>
      </c>
    </row>
    <row r="3498" spans="1:6" x14ac:dyDescent="0.3">
      <c r="A3498" s="3" t="s">
        <v>24</v>
      </c>
      <c r="B3498" s="7" t="str">
        <f>VLOOKUP(VALUE(A3498), 'DICIONÁRIO UF'!$A:$B, 2, FALSE)</f>
        <v>Paraná</v>
      </c>
      <c r="C3498" s="3">
        <v>29001</v>
      </c>
      <c r="D3498" s="5" t="str">
        <f>VLOOKUP(C3498, 'DICIONÁRIO CNAES'!$A:$B, 2, FALSE)</f>
        <v>Fabricação e montagem de veículos automotores</v>
      </c>
      <c r="E3498" s="4">
        <v>19214.576554439998</v>
      </c>
      <c r="F3498" s="4">
        <v>93949936.037679002</v>
      </c>
    </row>
    <row r="3499" spans="1:6" x14ac:dyDescent="0.3">
      <c r="A3499" s="3" t="s">
        <v>24</v>
      </c>
      <c r="B3499" s="7" t="str">
        <f>VLOOKUP(VALUE(A3499), 'DICIONÁRIO UF'!$A:$B, 2, FALSE)</f>
        <v>Paraná</v>
      </c>
      <c r="C3499" s="3">
        <v>29002</v>
      </c>
      <c r="D3499" s="5" t="str">
        <f>VLOOKUP(C3499, 'DICIONÁRIO CNAES'!$A:$B, 2, FALSE)</f>
        <v>Fabricação de cabines, carrocerias, reboques e peças para veículos automotores</v>
      </c>
      <c r="E3499" s="4">
        <v>21040.388573699998</v>
      </c>
      <c r="F3499" s="4">
        <v>49243565.957898997</v>
      </c>
    </row>
    <row r="3500" spans="1:6" x14ac:dyDescent="0.3">
      <c r="A3500" s="3" t="s">
        <v>24</v>
      </c>
      <c r="B3500" s="7" t="str">
        <f>VLOOKUP(VALUE(A3500), 'DICIONÁRIO UF'!$A:$B, 2, FALSE)</f>
        <v>Paraná</v>
      </c>
      <c r="C3500" s="3">
        <v>30020</v>
      </c>
      <c r="D3500" s="5" t="str">
        <f>VLOOKUP(C3500, 'DICIONÁRIO CNAES'!$A:$B, 2, FALSE)</f>
        <v>Fabricação de veículos ferroviários</v>
      </c>
      <c r="E3500" s="4">
        <v>969.91257990000008</v>
      </c>
      <c r="F3500" s="4">
        <v>5911226.8658505008</v>
      </c>
    </row>
    <row r="3501" spans="1:6" x14ac:dyDescent="0.3">
      <c r="A3501" s="3" t="s">
        <v>24</v>
      </c>
      <c r="B3501" s="7" t="str">
        <f>VLOOKUP(VALUE(A3501), 'DICIONÁRIO UF'!$A:$B, 2, FALSE)</f>
        <v>Paraná</v>
      </c>
      <c r="C3501" s="3">
        <v>30090</v>
      </c>
      <c r="D3501" s="5" t="str">
        <f>VLOOKUP(C3501, 'DICIONÁRIO CNAES'!$A:$B, 2, FALSE)</f>
        <v>Fabricação de outros equipamentos de transporte não especificados anteriormente</v>
      </c>
      <c r="E3501" s="4">
        <v>7865.6705138300003</v>
      </c>
      <c r="F3501" s="4">
        <v>19888889.550459299</v>
      </c>
    </row>
    <row r="3502" spans="1:6" x14ac:dyDescent="0.3">
      <c r="A3502" s="3" t="s">
        <v>24</v>
      </c>
      <c r="B3502" s="7" t="str">
        <f>VLOOKUP(VALUE(A3502), 'DICIONÁRIO UF'!$A:$B, 2, FALSE)</f>
        <v>Paraná</v>
      </c>
      <c r="C3502" s="3">
        <v>31000</v>
      </c>
      <c r="D3502" s="5" t="str">
        <f>VLOOKUP(C3502, 'DICIONÁRIO CNAES'!$A:$B, 2, FALSE)</f>
        <v>Fabricação de móveis</v>
      </c>
      <c r="E3502" s="4">
        <v>91729.161921699997</v>
      </c>
      <c r="F3502" s="4">
        <v>209705437.08892331</v>
      </c>
    </row>
    <row r="3503" spans="1:6" x14ac:dyDescent="0.3">
      <c r="A3503" s="3" t="s">
        <v>24</v>
      </c>
      <c r="B3503" s="7" t="str">
        <f>VLOOKUP(VALUE(A3503), 'DICIONÁRIO UF'!$A:$B, 2, FALSE)</f>
        <v>Paraná</v>
      </c>
      <c r="C3503" s="3">
        <v>32001</v>
      </c>
      <c r="D3503" s="5" t="str">
        <f>VLOOKUP(C3503, 'DICIONÁRIO CNAES'!$A:$B, 2, FALSE)</f>
        <v>Fabricação de artigos de joalheria, bijuteria e semelhantes</v>
      </c>
      <c r="E3503" s="4">
        <v>786.24231364000002</v>
      </c>
      <c r="F3503" s="4">
        <v>15724846.2728</v>
      </c>
    </row>
    <row r="3504" spans="1:6" x14ac:dyDescent="0.3">
      <c r="A3504" s="3" t="s">
        <v>24</v>
      </c>
      <c r="B3504" s="7" t="str">
        <f>VLOOKUP(VALUE(A3504), 'DICIONÁRIO UF'!$A:$B, 2, FALSE)</f>
        <v>Paraná</v>
      </c>
      <c r="C3504" s="3">
        <v>32002</v>
      </c>
      <c r="D3504" s="5" t="str">
        <f>VLOOKUP(C3504, 'DICIONÁRIO CNAES'!$A:$B, 2, FALSE)</f>
        <v>Fabricação de instrumentos musicais</v>
      </c>
      <c r="E3504" s="4">
        <v>778.03225186999998</v>
      </c>
      <c r="F3504" s="4">
        <v>846416.38185220002</v>
      </c>
    </row>
    <row r="3505" spans="1:6" x14ac:dyDescent="0.3">
      <c r="A3505" s="3" t="s">
        <v>24</v>
      </c>
      <c r="B3505" s="7" t="str">
        <f>VLOOKUP(VALUE(A3505), 'DICIONÁRIO UF'!$A:$B, 2, FALSE)</f>
        <v>Paraná</v>
      </c>
      <c r="C3505" s="3">
        <v>32003</v>
      </c>
      <c r="D3505" s="5" t="str">
        <f>VLOOKUP(C3505, 'DICIONÁRIO CNAES'!$A:$B, 2, FALSE)</f>
        <v>Fabricação de artefatos para pesca e esporte e de brinquedos e jogos recreativos</v>
      </c>
      <c r="E3505" s="4">
        <v>905.35670026000003</v>
      </c>
      <c r="F3505" s="4">
        <v>907471.77141999989</v>
      </c>
    </row>
    <row r="3506" spans="1:6" x14ac:dyDescent="0.3">
      <c r="A3506" s="3" t="s">
        <v>24</v>
      </c>
      <c r="B3506" s="7" t="str">
        <f>VLOOKUP(VALUE(A3506), 'DICIONÁRIO UF'!$A:$B, 2, FALSE)</f>
        <v>Paraná</v>
      </c>
      <c r="C3506" s="3">
        <v>32009</v>
      </c>
      <c r="D3506" s="5" t="str">
        <f>VLOOKUP(C3506, 'DICIONÁRIO CNAES'!$A:$B, 2, FALSE)</f>
        <v>Fabricação de produtos diversos</v>
      </c>
      <c r="E3506" s="4">
        <v>19318.36889863</v>
      </c>
      <c r="F3506" s="4">
        <v>61066139.681894772</v>
      </c>
    </row>
    <row r="3507" spans="1:6" x14ac:dyDescent="0.3">
      <c r="A3507" s="3" t="s">
        <v>24</v>
      </c>
      <c r="B3507" s="7" t="str">
        <f>VLOOKUP(VALUE(A3507), 'DICIONÁRIO UF'!$A:$B, 2, FALSE)</f>
        <v>Paraná</v>
      </c>
      <c r="C3507" s="3">
        <v>33001</v>
      </c>
      <c r="D3507" s="5" t="str">
        <f>VLOOKUP(C3507, 'DICIONÁRIO CNAES'!$A:$B, 2, FALSE)</f>
        <v>Manutenção e reparação de máquinas e equipamentos</v>
      </c>
      <c r="E3507" s="4">
        <v>15650.200341330001</v>
      </c>
      <c r="F3507" s="4">
        <v>66781482.119878203</v>
      </c>
    </row>
    <row r="3508" spans="1:6" x14ac:dyDescent="0.3">
      <c r="A3508" s="3" t="s">
        <v>24</v>
      </c>
      <c r="B3508" s="7" t="str">
        <f>VLOOKUP(VALUE(A3508), 'DICIONÁRIO UF'!$A:$B, 2, FALSE)</f>
        <v>Paraná</v>
      </c>
      <c r="C3508" s="3">
        <v>33002</v>
      </c>
      <c r="D3508" s="5" t="str">
        <f>VLOOKUP(C3508, 'DICIONÁRIO CNAES'!$A:$B, 2, FALSE)</f>
        <v>Instalação de máquinas e equipamentos</v>
      </c>
      <c r="E3508" s="4">
        <v>4083.32151853</v>
      </c>
      <c r="F3508" s="4">
        <v>11862131.727740999</v>
      </c>
    </row>
    <row r="3509" spans="1:6" x14ac:dyDescent="0.3">
      <c r="A3509" s="3" t="s">
        <v>24</v>
      </c>
      <c r="B3509" s="7" t="str">
        <f>VLOOKUP(VALUE(A3509), 'DICIONÁRIO UF'!$A:$B, 2, FALSE)</f>
        <v>Paraná</v>
      </c>
      <c r="C3509" s="3">
        <v>35010</v>
      </c>
      <c r="D3509" s="5" t="str">
        <f>VLOOKUP(C3509, 'DICIONÁRIO CNAES'!$A:$B, 2, FALSE)</f>
        <v>Geração, transmissão e distribuição de energia elétrica</v>
      </c>
      <c r="E3509" s="4">
        <v>12767.179988</v>
      </c>
      <c r="F3509" s="4">
        <v>87267899.027131006</v>
      </c>
    </row>
    <row r="3510" spans="1:6" x14ac:dyDescent="0.3">
      <c r="A3510" s="3" t="s">
        <v>24</v>
      </c>
      <c r="B3510" s="7" t="str">
        <f>VLOOKUP(VALUE(A3510), 'DICIONÁRIO UF'!$A:$B, 2, FALSE)</f>
        <v>Paraná</v>
      </c>
      <c r="C3510" s="3">
        <v>35021</v>
      </c>
      <c r="D3510" s="5" t="str">
        <f>VLOOKUP(C3510, 'DICIONÁRIO CNAES'!$A:$B, 2, FALSE)</f>
        <v>Produção e distribuição de combustíveis gasosos por redes urbanas</v>
      </c>
      <c r="E3510" s="4">
        <v>1363.9105326599999</v>
      </c>
      <c r="F3510" s="4">
        <v>9036525.6702200007</v>
      </c>
    </row>
    <row r="3511" spans="1:6" x14ac:dyDescent="0.3">
      <c r="A3511" s="3" t="s">
        <v>24</v>
      </c>
      <c r="B3511" s="7" t="str">
        <f>VLOOKUP(VALUE(A3511), 'DICIONÁRIO UF'!$A:$B, 2, FALSE)</f>
        <v>Paraná</v>
      </c>
      <c r="C3511" s="3">
        <v>35022</v>
      </c>
      <c r="D3511" s="5" t="str">
        <f>VLOOKUP(C3511, 'DICIONÁRIO CNAES'!$A:$B, 2, FALSE)</f>
        <v>Produção e distribuição de vapor, água quente e ar condicionado</v>
      </c>
      <c r="E3511" s="4">
        <v>318.33741965000002</v>
      </c>
      <c r="F3511" s="4">
        <v>541173.61340500007</v>
      </c>
    </row>
    <row r="3512" spans="1:6" x14ac:dyDescent="0.3">
      <c r="A3512" s="3" t="s">
        <v>24</v>
      </c>
      <c r="B3512" s="7" t="str">
        <f>VLOOKUP(VALUE(A3512), 'DICIONÁRIO UF'!$A:$B, 2, FALSE)</f>
        <v>Paraná</v>
      </c>
      <c r="C3512" s="3">
        <v>36000</v>
      </c>
      <c r="D3512" s="5" t="str">
        <f>VLOOKUP(C3512, 'DICIONÁRIO CNAES'!$A:$B, 2, FALSE)</f>
        <v>Captação, tratamento e distribuição de água</v>
      </c>
      <c r="E3512" s="4">
        <v>7366.2229307100006</v>
      </c>
      <c r="F3512" s="4">
        <v>26493309.035440002</v>
      </c>
    </row>
    <row r="3513" spans="1:6" x14ac:dyDescent="0.3">
      <c r="A3513" s="3" t="s">
        <v>24</v>
      </c>
      <c r="B3513" s="7" t="str">
        <f>VLOOKUP(VALUE(A3513), 'DICIONÁRIO UF'!$A:$B, 2, FALSE)</f>
        <v>Paraná</v>
      </c>
      <c r="C3513" s="3">
        <v>38000</v>
      </c>
      <c r="D3513" s="5" t="str">
        <f>VLOOKUP(C3513, 'DICIONÁRIO CNAES'!$A:$B, 2, FALSE)</f>
        <v>Coleta, tratamento e disposição de resíduos; recuperação de materiais</v>
      </c>
      <c r="E3513" s="4">
        <v>19282.350511209999</v>
      </c>
      <c r="F3513" s="4">
        <v>31725551.518609501</v>
      </c>
    </row>
    <row r="3514" spans="1:6" x14ac:dyDescent="0.3">
      <c r="A3514" s="3" t="s">
        <v>24</v>
      </c>
      <c r="B3514" s="7" t="str">
        <f>VLOOKUP(VALUE(A3514), 'DICIONÁRIO UF'!$A:$B, 2, FALSE)</f>
        <v>Paraná</v>
      </c>
      <c r="C3514" s="3">
        <v>41000</v>
      </c>
      <c r="D3514" s="5" t="str">
        <f>VLOOKUP(C3514, 'DICIONÁRIO CNAES'!$A:$B, 2, FALSE)</f>
        <v>Construção de edifícios</v>
      </c>
      <c r="E3514" s="4">
        <v>316773.44015351002</v>
      </c>
      <c r="F3514" s="4">
        <v>722530872.43730283</v>
      </c>
    </row>
    <row r="3515" spans="1:6" x14ac:dyDescent="0.3">
      <c r="A3515" s="3" t="s">
        <v>24</v>
      </c>
      <c r="B3515" s="7" t="str">
        <f>VLOOKUP(VALUE(A3515), 'DICIONÁRIO UF'!$A:$B, 2, FALSE)</f>
        <v>Paraná</v>
      </c>
      <c r="C3515" s="3">
        <v>42000</v>
      </c>
      <c r="D3515" s="5" t="str">
        <f>VLOOKUP(C3515, 'DICIONÁRIO CNAES'!$A:$B, 2, FALSE)</f>
        <v>Construção de obras de infra-estrutura</v>
      </c>
      <c r="E3515" s="4">
        <v>34132.176402559999</v>
      </c>
      <c r="F3515" s="4">
        <v>73620953.895163</v>
      </c>
    </row>
    <row r="3516" spans="1:6" x14ac:dyDescent="0.3">
      <c r="A3516" s="3" t="s">
        <v>24</v>
      </c>
      <c r="B3516" s="7" t="str">
        <f>VLOOKUP(VALUE(A3516), 'DICIONÁRIO UF'!$A:$B, 2, FALSE)</f>
        <v>Paraná</v>
      </c>
      <c r="C3516" s="3">
        <v>43000</v>
      </c>
      <c r="D3516" s="5" t="str">
        <f>VLOOKUP(C3516, 'DICIONÁRIO CNAES'!$A:$B, 2, FALSE)</f>
        <v>Serviços especializados para construção</v>
      </c>
      <c r="E3516" s="4">
        <v>116485.93504343</v>
      </c>
      <c r="F3516" s="4">
        <v>263532505.82850781</v>
      </c>
    </row>
    <row r="3517" spans="1:6" x14ac:dyDescent="0.3">
      <c r="A3517" s="3" t="s">
        <v>24</v>
      </c>
      <c r="B3517" s="7" t="str">
        <f>VLOOKUP(VALUE(A3517), 'DICIONÁRIO UF'!$A:$B, 2, FALSE)</f>
        <v>Paraná</v>
      </c>
      <c r="C3517" s="3">
        <v>45010</v>
      </c>
      <c r="D3517" s="5" t="str">
        <f>VLOOKUP(C3517, 'DICIONÁRIO CNAES'!$A:$B, 2, FALSE)</f>
        <v>Comércio de veículos automotores</v>
      </c>
      <c r="E3517" s="4">
        <v>26906.959512000001</v>
      </c>
      <c r="F3517" s="4">
        <v>86394934.276333004</v>
      </c>
    </row>
    <row r="3518" spans="1:6" x14ac:dyDescent="0.3">
      <c r="A3518" s="3" t="s">
        <v>24</v>
      </c>
      <c r="B3518" s="7" t="str">
        <f>VLOOKUP(VALUE(A3518), 'DICIONÁRIO UF'!$A:$B, 2, FALSE)</f>
        <v>Paraná</v>
      </c>
      <c r="C3518" s="3">
        <v>45020</v>
      </c>
      <c r="D3518" s="5" t="str">
        <f>VLOOKUP(C3518, 'DICIONÁRIO CNAES'!$A:$B, 2, FALSE)</f>
        <v>Manutenção e reparação de veículos automotores</v>
      </c>
      <c r="E3518" s="4">
        <v>159559.07711573</v>
      </c>
      <c r="F3518" s="4">
        <v>349401986.93399513</v>
      </c>
    </row>
    <row r="3519" spans="1:6" x14ac:dyDescent="0.3">
      <c r="A3519" s="3" t="s">
        <v>24</v>
      </c>
      <c r="B3519" s="7" t="str">
        <f>VLOOKUP(VALUE(A3519), 'DICIONÁRIO UF'!$A:$B, 2, FALSE)</f>
        <v>Paraná</v>
      </c>
      <c r="C3519" s="3">
        <v>45030</v>
      </c>
      <c r="D3519" s="5" t="str">
        <f>VLOOKUP(C3519, 'DICIONÁRIO CNAES'!$A:$B, 2, FALSE)</f>
        <v>Comércio de peças e acessórios para veículos automotores</v>
      </c>
      <c r="E3519" s="4">
        <v>33629.539231249997</v>
      </c>
      <c r="F3519" s="4">
        <v>125571028.00358251</v>
      </c>
    </row>
    <row r="3520" spans="1:6" x14ac:dyDescent="0.3">
      <c r="A3520" s="3" t="s">
        <v>24</v>
      </c>
      <c r="B3520" s="7" t="str">
        <f>VLOOKUP(VALUE(A3520), 'DICIONÁRIO UF'!$A:$B, 2, FALSE)</f>
        <v>Paraná</v>
      </c>
      <c r="C3520" s="3">
        <v>45040</v>
      </c>
      <c r="D3520" s="5" t="str">
        <f>VLOOKUP(C3520, 'DICIONÁRIO CNAES'!$A:$B, 2, FALSE)</f>
        <v>Comércio, manutenção e reparação de motocicletas, peças e acessórios</v>
      </c>
      <c r="E3520" s="4">
        <v>19914.545384559999</v>
      </c>
      <c r="F3520" s="4">
        <v>49609981.107427418</v>
      </c>
    </row>
    <row r="3521" spans="1:6" x14ac:dyDescent="0.3">
      <c r="A3521" s="3" t="s">
        <v>24</v>
      </c>
      <c r="B3521" s="7" t="str">
        <f>VLOOKUP(VALUE(A3521), 'DICIONÁRIO UF'!$A:$B, 2, FALSE)</f>
        <v>Paraná</v>
      </c>
      <c r="C3521" s="3">
        <v>48010</v>
      </c>
      <c r="D3521" s="5" t="str">
        <f>VLOOKUP(C3521, 'DICIONÁRIO CNAES'!$A:$B, 2, FALSE)</f>
        <v>Representantes comerciais e agentes do comércio, exceto de veículos automotores e motocicletas</v>
      </c>
      <c r="E3521" s="4">
        <v>6528.2911047899997</v>
      </c>
      <c r="F3521" s="4">
        <v>39386302.236253001</v>
      </c>
    </row>
    <row r="3522" spans="1:6" x14ac:dyDescent="0.3">
      <c r="A3522" s="3" t="s">
        <v>24</v>
      </c>
      <c r="B3522" s="7" t="str">
        <f>VLOOKUP(VALUE(A3522), 'DICIONÁRIO UF'!$A:$B, 2, FALSE)</f>
        <v>Paraná</v>
      </c>
      <c r="C3522" s="3">
        <v>48020</v>
      </c>
      <c r="D3522" s="5" t="str">
        <f>VLOOKUP(C3522, 'DICIONÁRIO CNAES'!$A:$B, 2, FALSE)</f>
        <v>Comércio de matérias-primas agrícolas e animais vivos</v>
      </c>
      <c r="E3522" s="4">
        <v>15644.300555129999</v>
      </c>
      <c r="F3522" s="4">
        <v>43874345.155620746</v>
      </c>
    </row>
    <row r="3523" spans="1:6" x14ac:dyDescent="0.3">
      <c r="A3523" s="3" t="s">
        <v>24</v>
      </c>
      <c r="B3523" s="7" t="str">
        <f>VLOOKUP(VALUE(A3523), 'DICIONÁRIO UF'!$A:$B, 2, FALSE)</f>
        <v>Paraná</v>
      </c>
      <c r="C3523" s="3">
        <v>48030</v>
      </c>
      <c r="D3523" s="5" t="str">
        <f>VLOOKUP(C3523, 'DICIONÁRIO CNAES'!$A:$B, 2, FALSE)</f>
        <v>Comércio de produtos alimentícios, bebidas e fumo</v>
      </c>
      <c r="E3523" s="4">
        <v>185452.71867189</v>
      </c>
      <c r="F3523" s="4">
        <v>406840477.21039158</v>
      </c>
    </row>
    <row r="3524" spans="1:6" x14ac:dyDescent="0.3">
      <c r="A3524" s="3" t="s">
        <v>24</v>
      </c>
      <c r="B3524" s="7" t="str">
        <f>VLOOKUP(VALUE(A3524), 'DICIONÁRIO UF'!$A:$B, 2, FALSE)</f>
        <v>Paraná</v>
      </c>
      <c r="C3524" s="3">
        <v>48041</v>
      </c>
      <c r="D3524" s="5" t="str">
        <f>VLOOKUP(C3524, 'DICIONÁRIO CNAES'!$A:$B, 2, FALSE)</f>
        <v>Comércio de tecidos, artefatos de tecidos e armarinho</v>
      </c>
      <c r="E3524" s="4">
        <v>5005.1525109000004</v>
      </c>
      <c r="F3524" s="4">
        <v>10781415.6435895</v>
      </c>
    </row>
    <row r="3525" spans="1:6" x14ac:dyDescent="0.3">
      <c r="A3525" s="3" t="s">
        <v>24</v>
      </c>
      <c r="B3525" s="7" t="str">
        <f>VLOOKUP(VALUE(A3525), 'DICIONÁRIO UF'!$A:$B, 2, FALSE)</f>
        <v>Paraná</v>
      </c>
      <c r="C3525" s="3">
        <v>48042</v>
      </c>
      <c r="D3525" s="5" t="str">
        <f>VLOOKUP(C3525, 'DICIONÁRIO CNAES'!$A:$B, 2, FALSE)</f>
        <v>Comércio de artigos do vestuário, complementos, calçados e artigos de viagem</v>
      </c>
      <c r="E3525" s="4">
        <v>121836.75510318999</v>
      </c>
      <c r="F3525" s="4">
        <v>279157436.11821997</v>
      </c>
    </row>
    <row r="3526" spans="1:6" x14ac:dyDescent="0.3">
      <c r="A3526" s="3" t="s">
        <v>24</v>
      </c>
      <c r="B3526" s="7" t="str">
        <f>VLOOKUP(VALUE(A3526), 'DICIONÁRIO UF'!$A:$B, 2, FALSE)</f>
        <v>Paraná</v>
      </c>
      <c r="C3526" s="3">
        <v>48050</v>
      </c>
      <c r="D3526" s="5" t="str">
        <f>VLOOKUP(C3526, 'DICIONÁRIO CNAES'!$A:$B, 2, FALSE)</f>
        <v>Comércio de madeira, material de construção, ferragens e ferramentas</v>
      </c>
      <c r="E3526" s="4">
        <v>77562.913835080006</v>
      </c>
      <c r="F3526" s="4">
        <v>172915815.18311101</v>
      </c>
    </row>
    <row r="3527" spans="1:6" x14ac:dyDescent="0.3">
      <c r="A3527" s="3" t="s">
        <v>24</v>
      </c>
      <c r="B3527" s="7" t="str">
        <f>VLOOKUP(VALUE(A3527), 'DICIONÁRIO UF'!$A:$B, 2, FALSE)</f>
        <v>Paraná</v>
      </c>
      <c r="C3527" s="3">
        <v>48060</v>
      </c>
      <c r="D3527" s="5" t="str">
        <f>VLOOKUP(C3527, 'DICIONÁRIO CNAES'!$A:$B, 2, FALSE)</f>
        <v>Comércio de combustíveis para veículos automotores</v>
      </c>
      <c r="E3527" s="4">
        <v>45886.518938939997</v>
      </c>
      <c r="F3527" s="4">
        <v>101110884.5618595</v>
      </c>
    </row>
    <row r="3528" spans="1:6" x14ac:dyDescent="0.3">
      <c r="A3528" s="3" t="s">
        <v>24</v>
      </c>
      <c r="B3528" s="7" t="str">
        <f>VLOOKUP(VALUE(A3528), 'DICIONÁRIO UF'!$A:$B, 2, FALSE)</f>
        <v>Paraná</v>
      </c>
      <c r="C3528" s="3">
        <v>48071</v>
      </c>
      <c r="D3528" s="5" t="str">
        <f>VLOOKUP(C3528, 'DICIONÁRIO CNAES'!$A:$B, 2, FALSE)</f>
        <v>Comércio de produtos farmaceuticos, médicos, ortopédicos, odontológicos e de cosméticos e perfumaria</v>
      </c>
      <c r="E3528" s="4">
        <v>66988.155411920001</v>
      </c>
      <c r="F3528" s="4">
        <v>193605375.19285461</v>
      </c>
    </row>
    <row r="3529" spans="1:6" x14ac:dyDescent="0.3">
      <c r="A3529" s="3" t="s">
        <v>24</v>
      </c>
      <c r="B3529" s="7" t="str">
        <f>VLOOKUP(VALUE(A3529), 'DICIONÁRIO UF'!$A:$B, 2, FALSE)</f>
        <v>Paraná</v>
      </c>
      <c r="C3529" s="3">
        <v>48072</v>
      </c>
      <c r="D3529" s="5" t="str">
        <f>VLOOKUP(C3529, 'DICIONÁRIO CNAES'!$A:$B, 2, FALSE)</f>
        <v>Comércio de artigos de escritório e de papelaria; livros, jornais e outras publicações</v>
      </c>
      <c r="E3529" s="4">
        <v>5246.7653754100002</v>
      </c>
      <c r="F3529" s="4">
        <v>13431746.208223</v>
      </c>
    </row>
    <row r="3530" spans="1:6" x14ac:dyDescent="0.3">
      <c r="A3530" s="3" t="s">
        <v>24</v>
      </c>
      <c r="B3530" s="7" t="str">
        <f>VLOOKUP(VALUE(A3530), 'DICIONÁRIO UF'!$A:$B, 2, FALSE)</f>
        <v>Paraná</v>
      </c>
      <c r="C3530" s="3">
        <v>48073</v>
      </c>
      <c r="D3530" s="5" t="str">
        <f>VLOOKUP(C3530, 'DICIONÁRIO CNAES'!$A:$B, 2, FALSE)</f>
        <v>Comércio de eletrodomésticos, móveis e outros artigos de residência</v>
      </c>
      <c r="E3530" s="4">
        <v>76904.264198920006</v>
      </c>
      <c r="F3530" s="4">
        <v>283980627.15377182</v>
      </c>
    </row>
    <row r="3531" spans="1:6" x14ac:dyDescent="0.3">
      <c r="A3531" s="3" t="s">
        <v>24</v>
      </c>
      <c r="B3531" s="7" t="str">
        <f>VLOOKUP(VALUE(A3531), 'DICIONÁRIO UF'!$A:$B, 2, FALSE)</f>
        <v>Paraná</v>
      </c>
      <c r="C3531" s="3">
        <v>48074</v>
      </c>
      <c r="D3531" s="5" t="str">
        <f>VLOOKUP(C3531, 'DICIONÁRIO CNAES'!$A:$B, 2, FALSE)</f>
        <v>Comércio de equipamentos e produtos de tecnologias de informação e comunicação</v>
      </c>
      <c r="E3531" s="4">
        <v>11757.18095833</v>
      </c>
      <c r="F3531" s="4">
        <v>41325842.001530498</v>
      </c>
    </row>
    <row r="3532" spans="1:6" x14ac:dyDescent="0.3">
      <c r="A3532" s="3" t="s">
        <v>24</v>
      </c>
      <c r="B3532" s="7" t="str">
        <f>VLOOKUP(VALUE(A3532), 'DICIONÁRIO UF'!$A:$B, 2, FALSE)</f>
        <v>Paraná</v>
      </c>
      <c r="C3532" s="3">
        <v>48075</v>
      </c>
      <c r="D3532" s="5" t="str">
        <f>VLOOKUP(C3532, 'DICIONÁRIO CNAES'!$A:$B, 2, FALSE)</f>
        <v xml:space="preserve">Comércio de máquinas, aparelhos e equipamentos, exceto eletrodomésticos </v>
      </c>
      <c r="E3532" s="4">
        <v>15250.83133601</v>
      </c>
      <c r="F3532" s="4">
        <v>47855863.147891298</v>
      </c>
    </row>
    <row r="3533" spans="1:6" x14ac:dyDescent="0.3">
      <c r="A3533" s="3" t="s">
        <v>24</v>
      </c>
      <c r="B3533" s="7" t="str">
        <f>VLOOKUP(VALUE(A3533), 'DICIONÁRIO UF'!$A:$B, 2, FALSE)</f>
        <v>Paraná</v>
      </c>
      <c r="C3533" s="3">
        <v>48076</v>
      </c>
      <c r="D3533" s="5" t="str">
        <f>VLOOKUP(C3533, 'DICIONÁRIO CNAES'!$A:$B, 2, FALSE)</f>
        <v>Comércio de combustíveis sólidos, líquidos e gasosos, exceto para veículos automotores</v>
      </c>
      <c r="E3533" s="4">
        <v>14358.106696090001</v>
      </c>
      <c r="F3533" s="4">
        <v>28986955.889049999</v>
      </c>
    </row>
    <row r="3534" spans="1:6" x14ac:dyDescent="0.3">
      <c r="A3534" s="3" t="s">
        <v>24</v>
      </c>
      <c r="B3534" s="7" t="str">
        <f>VLOOKUP(VALUE(A3534), 'DICIONÁRIO UF'!$A:$B, 2, FALSE)</f>
        <v>Paraná</v>
      </c>
      <c r="C3534" s="3">
        <v>48077</v>
      </c>
      <c r="D3534" s="5" t="str">
        <f>VLOOKUP(C3534, 'DICIONÁRIO CNAES'!$A:$B, 2, FALSE)</f>
        <v>Comércio de produtos usados</v>
      </c>
      <c r="E3534" s="4">
        <v>3892.7863971100001</v>
      </c>
      <c r="F3534" s="4">
        <v>6444483.1921399999</v>
      </c>
    </row>
    <row r="3535" spans="1:6" x14ac:dyDescent="0.3">
      <c r="A3535" s="3" t="s">
        <v>24</v>
      </c>
      <c r="B3535" s="7" t="str">
        <f>VLOOKUP(VALUE(A3535), 'DICIONÁRIO UF'!$A:$B, 2, FALSE)</f>
        <v>Paraná</v>
      </c>
      <c r="C3535" s="3">
        <v>48078</v>
      </c>
      <c r="D3535" s="5" t="str">
        <f>VLOOKUP(C3535, 'DICIONÁRIO CNAES'!$A:$B, 2, FALSE)</f>
        <v>Comercio de residuos e sucatas</v>
      </c>
      <c r="E3535" s="4">
        <v>28534.088661639998</v>
      </c>
      <c r="F3535" s="4">
        <v>36138277.88396652</v>
      </c>
    </row>
    <row r="3536" spans="1:6" x14ac:dyDescent="0.3">
      <c r="A3536" s="3" t="s">
        <v>24</v>
      </c>
      <c r="B3536" s="7" t="str">
        <f>VLOOKUP(VALUE(A3536), 'DICIONÁRIO UF'!$A:$B, 2, FALSE)</f>
        <v>Paraná</v>
      </c>
      <c r="C3536" s="3">
        <v>48079</v>
      </c>
      <c r="D3536" s="5" t="str">
        <f>VLOOKUP(C3536, 'DICIONÁRIO CNAES'!$A:$B, 2, FALSE)</f>
        <v>Comércio de produtos novos não especificados anteriormente</v>
      </c>
      <c r="E3536" s="4">
        <v>93671.055398890006</v>
      </c>
      <c r="F3536" s="4">
        <v>258146298.52776459</v>
      </c>
    </row>
    <row r="3537" spans="1:6" x14ac:dyDescent="0.3">
      <c r="A3537" s="3" t="s">
        <v>24</v>
      </c>
      <c r="B3537" s="7" t="str">
        <f>VLOOKUP(VALUE(A3537), 'DICIONÁRIO UF'!$A:$B, 2, FALSE)</f>
        <v>Paraná</v>
      </c>
      <c r="C3537" s="3">
        <v>48080</v>
      </c>
      <c r="D3537" s="5" t="str">
        <f>VLOOKUP(C3537, 'DICIONÁRIO CNAES'!$A:$B, 2, FALSE)</f>
        <v>Supermercado e hipermercado</v>
      </c>
      <c r="E3537" s="4">
        <v>141861.97275355001</v>
      </c>
      <c r="F3537" s="4">
        <v>262411677.2335614</v>
      </c>
    </row>
    <row r="3538" spans="1:6" x14ac:dyDescent="0.3">
      <c r="A3538" s="3" t="s">
        <v>24</v>
      </c>
      <c r="B3538" s="7" t="str">
        <f>VLOOKUP(VALUE(A3538), 'DICIONÁRIO UF'!$A:$B, 2, FALSE)</f>
        <v>Paraná</v>
      </c>
      <c r="C3538" s="3">
        <v>48090</v>
      </c>
      <c r="D3538" s="5" t="str">
        <f>VLOOKUP(C3538, 'DICIONÁRIO CNAES'!$A:$B, 2, FALSE)</f>
        <v>Lojas de departamento e outros comércios não especializados, sem predominância de produtos alimentícios</v>
      </c>
      <c r="E3538" s="4">
        <v>6784.3887618200006</v>
      </c>
      <c r="F3538" s="4">
        <v>11640787.56063294</v>
      </c>
    </row>
    <row r="3539" spans="1:6" x14ac:dyDescent="0.3">
      <c r="A3539" s="3" t="s">
        <v>24</v>
      </c>
      <c r="B3539" s="7" t="str">
        <f>VLOOKUP(VALUE(A3539), 'DICIONÁRIO UF'!$A:$B, 2, FALSE)</f>
        <v>Paraná</v>
      </c>
      <c r="C3539" s="3">
        <v>48100</v>
      </c>
      <c r="D3539" s="5" t="str">
        <f>VLOOKUP(C3539, 'DICIONÁRIO CNAES'!$A:$B, 2, FALSE)</f>
        <v>Comércio ambulante e feiras</v>
      </c>
      <c r="E3539" s="4">
        <v>25440.555964120002</v>
      </c>
      <c r="F3539" s="4">
        <v>36887335.951522298</v>
      </c>
    </row>
    <row r="3540" spans="1:6" x14ac:dyDescent="0.3">
      <c r="A3540" s="3" t="s">
        <v>24</v>
      </c>
      <c r="B3540" s="7" t="str">
        <f>VLOOKUP(VALUE(A3540), 'DICIONÁRIO UF'!$A:$B, 2, FALSE)</f>
        <v>Paraná</v>
      </c>
      <c r="C3540" s="3">
        <v>49010</v>
      </c>
      <c r="D3540" s="5" t="str">
        <f>VLOOKUP(C3540, 'DICIONÁRIO CNAES'!$A:$B, 2, FALSE)</f>
        <v>Transporte ferroviário e metroferroviário</v>
      </c>
      <c r="E3540" s="4">
        <v>5127.4220393799997</v>
      </c>
      <c r="F3540" s="4">
        <v>21423204.071800001</v>
      </c>
    </row>
    <row r="3541" spans="1:6" x14ac:dyDescent="0.3">
      <c r="A3541" s="3" t="s">
        <v>24</v>
      </c>
      <c r="B3541" s="7" t="str">
        <f>VLOOKUP(VALUE(A3541), 'DICIONÁRIO UF'!$A:$B, 2, FALSE)</f>
        <v>Paraná</v>
      </c>
      <c r="C3541" s="3">
        <v>49030</v>
      </c>
      <c r="D3541" s="5" t="str">
        <f>VLOOKUP(C3541, 'DICIONÁRIO CNAES'!$A:$B, 2, FALSE)</f>
        <v>Transporte rodoviário de passageiros</v>
      </c>
      <c r="E3541" s="4">
        <v>69843.576146840001</v>
      </c>
      <c r="F3541" s="4">
        <v>164580996.8818503</v>
      </c>
    </row>
    <row r="3542" spans="1:6" x14ac:dyDescent="0.3">
      <c r="A3542" s="3" t="s">
        <v>24</v>
      </c>
      <c r="B3542" s="7" t="str">
        <f>VLOOKUP(VALUE(A3542), 'DICIONÁRIO UF'!$A:$B, 2, FALSE)</f>
        <v>Paraná</v>
      </c>
      <c r="C3542" s="3">
        <v>49040</v>
      </c>
      <c r="D3542" s="5" t="str">
        <f>VLOOKUP(C3542, 'DICIONÁRIO CNAES'!$A:$B, 2, FALSE)</f>
        <v>Transporte rodoviário de carga</v>
      </c>
      <c r="E3542" s="4">
        <v>146923.48101275999</v>
      </c>
      <c r="F3542" s="4">
        <v>431376516.05509102</v>
      </c>
    </row>
    <row r="3543" spans="1:6" x14ac:dyDescent="0.3">
      <c r="A3543" s="3" t="s">
        <v>24</v>
      </c>
      <c r="B3543" s="7" t="str">
        <f>VLOOKUP(VALUE(A3543), 'DICIONÁRIO UF'!$A:$B, 2, FALSE)</f>
        <v>Paraná</v>
      </c>
      <c r="C3543" s="3">
        <v>50000</v>
      </c>
      <c r="D3543" s="5" t="str">
        <f>VLOOKUP(C3543, 'DICIONÁRIO CNAES'!$A:$B, 2, FALSE)</f>
        <v>Transporte Aquaviário</v>
      </c>
      <c r="E3543" s="4">
        <v>1557.20136026</v>
      </c>
      <c r="F3543" s="4">
        <v>5138125.1881039999</v>
      </c>
    </row>
    <row r="3544" spans="1:6" x14ac:dyDescent="0.3">
      <c r="A3544" s="3" t="s">
        <v>24</v>
      </c>
      <c r="B3544" s="7" t="str">
        <f>VLOOKUP(VALUE(A3544), 'DICIONÁRIO UF'!$A:$B, 2, FALSE)</f>
        <v>Paraná</v>
      </c>
      <c r="C3544" s="3">
        <v>51000</v>
      </c>
      <c r="D3544" s="5" t="str">
        <f>VLOOKUP(C3544, 'DICIONÁRIO CNAES'!$A:$B, 2, FALSE)</f>
        <v>Transporte Aéreo</v>
      </c>
      <c r="E3544" s="4">
        <v>2410.8057511900001</v>
      </c>
      <c r="F3544" s="4">
        <v>25515408.702484999</v>
      </c>
    </row>
    <row r="3545" spans="1:6" x14ac:dyDescent="0.3">
      <c r="A3545" s="3" t="s">
        <v>24</v>
      </c>
      <c r="B3545" s="7" t="str">
        <f>VLOOKUP(VALUE(A3545), 'DICIONÁRIO UF'!$A:$B, 2, FALSE)</f>
        <v>Paraná</v>
      </c>
      <c r="C3545" s="3">
        <v>52010</v>
      </c>
      <c r="D3545" s="5" t="str">
        <f>VLOOKUP(C3545, 'DICIONÁRIO CNAES'!$A:$B, 2, FALSE)</f>
        <v>Armazenamento, carga e descarga</v>
      </c>
      <c r="E3545" s="4">
        <v>12979.27774367</v>
      </c>
      <c r="F3545" s="4">
        <v>33889105.8115004</v>
      </c>
    </row>
    <row r="3546" spans="1:6" x14ac:dyDescent="0.3">
      <c r="A3546" s="3" t="s">
        <v>24</v>
      </c>
      <c r="B3546" s="7" t="str">
        <f>VLOOKUP(VALUE(A3546), 'DICIONÁRIO UF'!$A:$B, 2, FALSE)</f>
        <v>Paraná</v>
      </c>
      <c r="C3546" s="3">
        <v>52020</v>
      </c>
      <c r="D3546" s="5" t="str">
        <f>VLOOKUP(C3546, 'DICIONÁRIO CNAES'!$A:$B, 2, FALSE)</f>
        <v xml:space="preserve">Atividades auxiliares dos transportes e atividades relacionadas à organização do transporte de carga </v>
      </c>
      <c r="E3546" s="4">
        <v>23106.78480596</v>
      </c>
      <c r="F3546" s="4">
        <v>57022111.907780282</v>
      </c>
    </row>
    <row r="3547" spans="1:6" x14ac:dyDescent="0.3">
      <c r="A3547" s="3" t="s">
        <v>24</v>
      </c>
      <c r="B3547" s="7" t="str">
        <f>VLOOKUP(VALUE(A3547), 'DICIONÁRIO UF'!$A:$B, 2, FALSE)</f>
        <v>Paraná</v>
      </c>
      <c r="C3547" s="3">
        <v>53001</v>
      </c>
      <c r="D3547" s="5" t="str">
        <f>VLOOKUP(C3547, 'DICIONÁRIO CNAES'!$A:$B, 2, FALSE)</f>
        <v>Atividades de Correio</v>
      </c>
      <c r="E3547" s="4">
        <v>9900.3737900800006</v>
      </c>
      <c r="F3547" s="4">
        <v>28040671.739532001</v>
      </c>
    </row>
    <row r="3548" spans="1:6" x14ac:dyDescent="0.3">
      <c r="A3548" s="3" t="s">
        <v>24</v>
      </c>
      <c r="B3548" s="7" t="str">
        <f>VLOOKUP(VALUE(A3548), 'DICIONÁRIO UF'!$A:$B, 2, FALSE)</f>
        <v>Paraná</v>
      </c>
      <c r="C3548" s="3">
        <v>53002</v>
      </c>
      <c r="D3548" s="5" t="str">
        <f>VLOOKUP(C3548, 'DICIONÁRIO CNAES'!$A:$B, 2, FALSE)</f>
        <v>Atividades de malote e de entrega</v>
      </c>
      <c r="E3548" s="4">
        <v>24913.708926309999</v>
      </c>
      <c r="F3548" s="4">
        <v>49653691.856138498</v>
      </c>
    </row>
    <row r="3549" spans="1:6" x14ac:dyDescent="0.3">
      <c r="A3549" s="3" t="s">
        <v>24</v>
      </c>
      <c r="B3549" s="7" t="str">
        <f>VLOOKUP(VALUE(A3549), 'DICIONÁRIO UF'!$A:$B, 2, FALSE)</f>
        <v>Paraná</v>
      </c>
      <c r="C3549" s="3">
        <v>55000</v>
      </c>
      <c r="D3549" s="5" t="str">
        <f>VLOOKUP(C3549, 'DICIONÁRIO CNAES'!$A:$B, 2, FALSE)</f>
        <v>Alojamento</v>
      </c>
      <c r="E3549" s="4">
        <v>14555.242992969999</v>
      </c>
      <c r="F3549" s="4">
        <v>23498488.500758249</v>
      </c>
    </row>
    <row r="3550" spans="1:6" x14ac:dyDescent="0.3">
      <c r="A3550" s="3" t="s">
        <v>24</v>
      </c>
      <c r="B3550" s="7" t="str">
        <f>VLOOKUP(VALUE(A3550), 'DICIONÁRIO UF'!$A:$B, 2, FALSE)</f>
        <v>Paraná</v>
      </c>
      <c r="C3550" s="3">
        <v>56011</v>
      </c>
      <c r="D3550" s="5" t="str">
        <f>VLOOKUP(C3550, 'DICIONÁRIO CNAES'!$A:$B, 2, FALSE)</f>
        <v>Restaurantes e outros estabelecimentos de serviços de alimentação e bebidas</v>
      </c>
      <c r="E3550" s="4">
        <v>188176.78471969001</v>
      </c>
      <c r="F3550" s="4">
        <v>334499070.10881388</v>
      </c>
    </row>
    <row r="3551" spans="1:6" x14ac:dyDescent="0.3">
      <c r="A3551" s="3" t="s">
        <v>24</v>
      </c>
      <c r="B3551" s="7" t="str">
        <f>VLOOKUP(VALUE(A3551), 'DICIONÁRIO UF'!$A:$B, 2, FALSE)</f>
        <v>Paraná</v>
      </c>
      <c r="C3551" s="3">
        <v>56012</v>
      </c>
      <c r="D3551" s="5" t="str">
        <f>VLOOKUP(C3551, 'DICIONÁRIO CNAES'!$A:$B, 2, FALSE)</f>
        <v>Serviços de catering, bufê e outros serviços de comida preparada</v>
      </c>
      <c r="E3551" s="4">
        <v>28694.762682600001</v>
      </c>
      <c r="F3551" s="4">
        <v>31886874.089784499</v>
      </c>
    </row>
    <row r="3552" spans="1:6" x14ac:dyDescent="0.3">
      <c r="A3552" s="3" t="s">
        <v>24</v>
      </c>
      <c r="B3552" s="7" t="str">
        <f>VLOOKUP(VALUE(A3552), 'DICIONÁRIO UF'!$A:$B, 2, FALSE)</f>
        <v>Paraná</v>
      </c>
      <c r="C3552" s="3">
        <v>56020</v>
      </c>
      <c r="D3552" s="5" t="str">
        <f>VLOOKUP(C3552, 'DICIONÁRIO CNAES'!$A:$B, 2, FALSE)</f>
        <v>Serviços ambulantes de alimentação</v>
      </c>
      <c r="E3552" s="4">
        <v>13483.24988623</v>
      </c>
      <c r="F3552" s="4">
        <v>18934741.463771999</v>
      </c>
    </row>
    <row r="3553" spans="1:6" x14ac:dyDescent="0.3">
      <c r="A3553" s="3" t="s">
        <v>24</v>
      </c>
      <c r="B3553" s="7" t="str">
        <f>VLOOKUP(VALUE(A3553), 'DICIONÁRIO UF'!$A:$B, 2, FALSE)</f>
        <v>Paraná</v>
      </c>
      <c r="C3553" s="3">
        <v>58000</v>
      </c>
      <c r="D3553" s="5" t="str">
        <f>VLOOKUP(C3553, 'DICIONÁRIO CNAES'!$A:$B, 2, FALSE)</f>
        <v xml:space="preserve">Edição e Edição integrada à impressão </v>
      </c>
      <c r="E3553" s="4">
        <v>2316.0715110699998</v>
      </c>
      <c r="F3553" s="4">
        <v>9105189.8959669992</v>
      </c>
    </row>
    <row r="3554" spans="1:6" x14ac:dyDescent="0.3">
      <c r="A3554" s="3" t="s">
        <v>24</v>
      </c>
      <c r="B3554" s="7" t="str">
        <f>VLOOKUP(VALUE(A3554), 'DICIONÁRIO UF'!$A:$B, 2, FALSE)</f>
        <v>Paraná</v>
      </c>
      <c r="C3554" s="3">
        <v>59000</v>
      </c>
      <c r="D3554" s="5" t="str">
        <f>VLOOKUP(C3554, 'DICIONÁRIO CNAES'!$A:$B, 2, FALSE)</f>
        <v>Atividades cinematográficas, produção de vídeos e de programas de televisão, gravação de som e de música</v>
      </c>
      <c r="E3554" s="4">
        <v>3660.63896789</v>
      </c>
      <c r="F3554" s="4">
        <v>5352298.4261090001</v>
      </c>
    </row>
    <row r="3555" spans="1:6" x14ac:dyDescent="0.3">
      <c r="A3555" s="3" t="s">
        <v>24</v>
      </c>
      <c r="B3555" s="7" t="str">
        <f>VLOOKUP(VALUE(A3555), 'DICIONÁRIO UF'!$A:$B, 2, FALSE)</f>
        <v>Paraná</v>
      </c>
      <c r="C3555" s="3">
        <v>60001</v>
      </c>
      <c r="D3555" s="5" t="str">
        <f>VLOOKUP(C3555, 'DICIONÁRIO CNAES'!$A:$B, 2, FALSE)</f>
        <v>Atividades de rádio</v>
      </c>
      <c r="E3555" s="4">
        <v>2894.4157745699999</v>
      </c>
      <c r="F3555" s="4">
        <v>12603504.924210999</v>
      </c>
    </row>
    <row r="3556" spans="1:6" x14ac:dyDescent="0.3">
      <c r="A3556" s="3" t="s">
        <v>24</v>
      </c>
      <c r="B3556" s="7" t="str">
        <f>VLOOKUP(VALUE(A3556), 'DICIONÁRIO UF'!$A:$B, 2, FALSE)</f>
        <v>Paraná</v>
      </c>
      <c r="C3556" s="3">
        <v>60002</v>
      </c>
      <c r="D3556" s="5" t="str">
        <f>VLOOKUP(C3556, 'DICIONÁRIO CNAES'!$A:$B, 2, FALSE)</f>
        <v>Atividades de televisão</v>
      </c>
      <c r="E3556" s="4">
        <v>272.75316688999999</v>
      </c>
      <c r="F3556" s="4">
        <v>1472867.101206</v>
      </c>
    </row>
    <row r="3557" spans="1:6" x14ac:dyDescent="0.3">
      <c r="A3557" s="3" t="s">
        <v>24</v>
      </c>
      <c r="B3557" s="7" t="str">
        <f>VLOOKUP(VALUE(A3557), 'DICIONÁRIO UF'!$A:$B, 2, FALSE)</f>
        <v>Paraná</v>
      </c>
      <c r="C3557" s="3">
        <v>61000</v>
      </c>
      <c r="D3557" s="5" t="str">
        <f>VLOOKUP(C3557, 'DICIONÁRIO CNAES'!$A:$B, 2, FALSE)</f>
        <v>Telecomunicações</v>
      </c>
      <c r="E3557" s="4">
        <v>33659.507801079999</v>
      </c>
      <c r="F3557" s="4">
        <v>80755309.543121204</v>
      </c>
    </row>
    <row r="3558" spans="1:6" x14ac:dyDescent="0.3">
      <c r="A3558" s="3" t="s">
        <v>24</v>
      </c>
      <c r="B3558" s="7" t="str">
        <f>VLOOKUP(VALUE(A3558), 'DICIONÁRIO UF'!$A:$B, 2, FALSE)</f>
        <v>Paraná</v>
      </c>
      <c r="C3558" s="3">
        <v>62000</v>
      </c>
      <c r="D3558" s="5" t="str">
        <f>VLOOKUP(C3558, 'DICIONÁRIO CNAES'!$A:$B, 2, FALSE)</f>
        <v>Atividades dos serviços de tecnologia da informação</v>
      </c>
      <c r="E3558" s="4">
        <v>48053.124306669997</v>
      </c>
      <c r="F3558" s="4">
        <v>301048521.42523909</v>
      </c>
    </row>
    <row r="3559" spans="1:6" x14ac:dyDescent="0.3">
      <c r="A3559" s="3" t="s">
        <v>24</v>
      </c>
      <c r="B3559" s="7" t="str">
        <f>VLOOKUP(VALUE(A3559), 'DICIONÁRIO UF'!$A:$B, 2, FALSE)</f>
        <v>Paraná</v>
      </c>
      <c r="C3559" s="3">
        <v>63000</v>
      </c>
      <c r="D3559" s="5" t="str">
        <f>VLOOKUP(C3559, 'DICIONÁRIO CNAES'!$A:$B, 2, FALSE)</f>
        <v>Atividades de prestação de serviços de informação</v>
      </c>
      <c r="E3559" s="4">
        <v>9329.9230803600003</v>
      </c>
      <c r="F3559" s="4">
        <v>31202082.202419002</v>
      </c>
    </row>
    <row r="3560" spans="1:6" x14ac:dyDescent="0.3">
      <c r="A3560" s="3" t="s">
        <v>24</v>
      </c>
      <c r="B3560" s="7" t="str">
        <f>VLOOKUP(VALUE(A3560), 'DICIONÁRIO UF'!$A:$B, 2, FALSE)</f>
        <v>Paraná</v>
      </c>
      <c r="C3560" s="3">
        <v>64000</v>
      </c>
      <c r="D3560" s="5" t="str">
        <f>VLOOKUP(C3560, 'DICIONÁRIO CNAES'!$A:$B, 2, FALSE)</f>
        <v>Serviços financeiros</v>
      </c>
      <c r="E3560" s="4">
        <v>65794.09947406</v>
      </c>
      <c r="F3560" s="4">
        <v>283092448.84527338</v>
      </c>
    </row>
    <row r="3561" spans="1:6" x14ac:dyDescent="0.3">
      <c r="A3561" s="3" t="s">
        <v>24</v>
      </c>
      <c r="B3561" s="7" t="str">
        <f>VLOOKUP(VALUE(A3561), 'DICIONÁRIO UF'!$A:$B, 2, FALSE)</f>
        <v>Paraná</v>
      </c>
      <c r="C3561" s="3">
        <v>65000</v>
      </c>
      <c r="D3561" s="5" t="str">
        <f>VLOOKUP(C3561, 'DICIONÁRIO CNAES'!$A:$B, 2, FALSE)</f>
        <v>Seguros e previdência privada</v>
      </c>
      <c r="E3561" s="4">
        <v>9455.1781316599991</v>
      </c>
      <c r="F3561" s="4">
        <v>18491498.656475998</v>
      </c>
    </row>
    <row r="3562" spans="1:6" x14ac:dyDescent="0.3">
      <c r="A3562" s="3" t="s">
        <v>24</v>
      </c>
      <c r="B3562" s="7" t="str">
        <f>VLOOKUP(VALUE(A3562), 'DICIONÁRIO UF'!$A:$B, 2, FALSE)</f>
        <v>Paraná</v>
      </c>
      <c r="C3562" s="3">
        <v>66001</v>
      </c>
      <c r="D3562" s="5" t="str">
        <f>VLOOKUP(C3562, 'DICIONÁRIO CNAES'!$A:$B, 2, FALSE)</f>
        <v>Atividades auxiliares dos serviços financeiros</v>
      </c>
      <c r="E3562" s="4">
        <v>5911.7847166399997</v>
      </c>
      <c r="F3562" s="4">
        <v>26786727.6210704</v>
      </c>
    </row>
    <row r="3563" spans="1:6" x14ac:dyDescent="0.3">
      <c r="A3563" s="3" t="s">
        <v>24</v>
      </c>
      <c r="B3563" s="7" t="str">
        <f>VLOOKUP(VALUE(A3563), 'DICIONÁRIO UF'!$A:$B, 2, FALSE)</f>
        <v>Paraná</v>
      </c>
      <c r="C3563" s="3">
        <v>66002</v>
      </c>
      <c r="D3563" s="5" t="str">
        <f>VLOOKUP(C3563, 'DICIONÁRIO CNAES'!$A:$B, 2, FALSE)</f>
        <v>Atividades auxiliares dos seguros, da previdência complementar e dos planos de saúde</v>
      </c>
      <c r="E3563" s="4">
        <v>15731.354969280001</v>
      </c>
      <c r="F3563" s="4">
        <v>73172699.410063997</v>
      </c>
    </row>
    <row r="3564" spans="1:6" x14ac:dyDescent="0.3">
      <c r="A3564" s="3" t="s">
        <v>24</v>
      </c>
      <c r="B3564" s="7" t="str">
        <f>VLOOKUP(VALUE(A3564), 'DICIONÁRIO UF'!$A:$B, 2, FALSE)</f>
        <v>Paraná</v>
      </c>
      <c r="C3564" s="3">
        <v>68000</v>
      </c>
      <c r="D3564" s="5" t="str">
        <f>VLOOKUP(C3564, 'DICIONÁRIO CNAES'!$A:$B, 2, FALSE)</f>
        <v>Atividades imobiliárias</v>
      </c>
      <c r="E3564" s="4">
        <v>33984.27066437</v>
      </c>
      <c r="F3564" s="4">
        <v>111974129.749219</v>
      </c>
    </row>
    <row r="3565" spans="1:6" x14ac:dyDescent="0.3">
      <c r="A3565" s="3" t="s">
        <v>24</v>
      </c>
      <c r="B3565" s="7" t="str">
        <f>VLOOKUP(VALUE(A3565), 'DICIONÁRIO UF'!$A:$B, 2, FALSE)</f>
        <v>Paraná</v>
      </c>
      <c r="C3565" s="3">
        <v>69000</v>
      </c>
      <c r="D3565" s="5" t="str">
        <f>VLOOKUP(C3565, 'DICIONÁRIO CNAES'!$A:$B, 2, FALSE)</f>
        <v xml:space="preserve">Atividades jurídicas, de contabilidade e de auditoria </v>
      </c>
      <c r="E3565" s="4">
        <v>118918.37861378001</v>
      </c>
      <c r="F3565" s="4">
        <v>517027321.45555907</v>
      </c>
    </row>
    <row r="3566" spans="1:6" x14ac:dyDescent="0.3">
      <c r="A3566" s="3" t="s">
        <v>24</v>
      </c>
      <c r="B3566" s="7" t="str">
        <f>VLOOKUP(VALUE(A3566), 'DICIONÁRIO UF'!$A:$B, 2, FALSE)</f>
        <v>Paraná</v>
      </c>
      <c r="C3566" s="3">
        <v>70000</v>
      </c>
      <c r="D3566" s="5" t="str">
        <f>VLOOKUP(C3566, 'DICIONÁRIO CNAES'!$A:$B, 2, FALSE)</f>
        <v>Atividades de consultoria em gestão empresarial</v>
      </c>
      <c r="E3566" s="4">
        <v>9002.1127099900004</v>
      </c>
      <c r="F3566" s="4">
        <v>72155072.507872</v>
      </c>
    </row>
    <row r="3567" spans="1:6" x14ac:dyDescent="0.3">
      <c r="A3567" s="3" t="s">
        <v>24</v>
      </c>
      <c r="B3567" s="7" t="str">
        <f>VLOOKUP(VALUE(A3567), 'DICIONÁRIO UF'!$A:$B, 2, FALSE)</f>
        <v>Paraná</v>
      </c>
      <c r="C3567" s="3">
        <v>71000</v>
      </c>
      <c r="D3567" s="5" t="str">
        <f>VLOOKUP(C3567, 'DICIONÁRIO CNAES'!$A:$B, 2, FALSE)</f>
        <v>Serviços de arquitetura e engenharia e atividades técnicas relacionadas; Testes e análises técnicas</v>
      </c>
      <c r="E3567" s="4">
        <v>42728.200222330001</v>
      </c>
      <c r="F3567" s="4">
        <v>175754750.76323599</v>
      </c>
    </row>
    <row r="3568" spans="1:6" x14ac:dyDescent="0.3">
      <c r="A3568" s="3" t="s">
        <v>24</v>
      </c>
      <c r="B3568" s="7" t="str">
        <f>VLOOKUP(VALUE(A3568), 'DICIONÁRIO UF'!$A:$B, 2, FALSE)</f>
        <v>Paraná</v>
      </c>
      <c r="C3568" s="3">
        <v>72000</v>
      </c>
      <c r="D3568" s="5" t="str">
        <f>VLOOKUP(C3568, 'DICIONÁRIO CNAES'!$A:$B, 2, FALSE)</f>
        <v>Pesquisa e desenvolvimento científico</v>
      </c>
      <c r="E3568" s="4">
        <v>3025.10558687</v>
      </c>
      <c r="F3568" s="4">
        <v>5489061.4737749994</v>
      </c>
    </row>
    <row r="3569" spans="1:6" x14ac:dyDescent="0.3">
      <c r="A3569" s="3" t="s">
        <v>24</v>
      </c>
      <c r="B3569" s="7" t="str">
        <f>VLOOKUP(VALUE(A3569), 'DICIONÁRIO UF'!$A:$B, 2, FALSE)</f>
        <v>Paraná</v>
      </c>
      <c r="C3569" s="3">
        <v>73010</v>
      </c>
      <c r="D3569" s="5" t="str">
        <f>VLOOKUP(C3569, 'DICIONÁRIO CNAES'!$A:$B, 2, FALSE)</f>
        <v>Publicidade</v>
      </c>
      <c r="E3569" s="4">
        <v>26456.985193510001</v>
      </c>
      <c r="F3569" s="4">
        <v>66304976.1547902</v>
      </c>
    </row>
    <row r="3570" spans="1:6" x14ac:dyDescent="0.3">
      <c r="A3570" s="3" t="s">
        <v>24</v>
      </c>
      <c r="B3570" s="7" t="str">
        <f>VLOOKUP(VALUE(A3570), 'DICIONÁRIO UF'!$A:$B, 2, FALSE)</f>
        <v>Paraná</v>
      </c>
      <c r="C3570" s="3">
        <v>73020</v>
      </c>
      <c r="D3570" s="5" t="str">
        <f>VLOOKUP(C3570, 'DICIONÁRIO CNAES'!$A:$B, 2, FALSE)</f>
        <v>Pesquisas de mercado e opinião pública</v>
      </c>
      <c r="E3570" s="4">
        <v>819.28517099999999</v>
      </c>
      <c r="F3570" s="4">
        <v>950081.7835149999</v>
      </c>
    </row>
    <row r="3571" spans="1:6" x14ac:dyDescent="0.3">
      <c r="A3571" s="3" t="s">
        <v>24</v>
      </c>
      <c r="B3571" s="7" t="str">
        <f>VLOOKUP(VALUE(A3571), 'DICIONÁRIO UF'!$A:$B, 2, FALSE)</f>
        <v>Paraná</v>
      </c>
      <c r="C3571" s="3">
        <v>74000</v>
      </c>
      <c r="D3571" s="5" t="str">
        <f>VLOOKUP(C3571, 'DICIONÁRIO CNAES'!$A:$B, 2, FALSE)</f>
        <v>Outras atividades profissionais, científicas e técnicas não especificadas anteriormente</v>
      </c>
      <c r="E3571" s="4">
        <v>30093.78755311</v>
      </c>
      <c r="F3571" s="4">
        <v>96368983.169005662</v>
      </c>
    </row>
    <row r="3572" spans="1:6" x14ac:dyDescent="0.3">
      <c r="A3572" s="3" t="s">
        <v>24</v>
      </c>
      <c r="B3572" s="7" t="str">
        <f>VLOOKUP(VALUE(A3572), 'DICIONÁRIO UF'!$A:$B, 2, FALSE)</f>
        <v>Paraná</v>
      </c>
      <c r="C3572" s="3">
        <v>75000</v>
      </c>
      <c r="D3572" s="5" t="str">
        <f>VLOOKUP(C3572, 'DICIONÁRIO CNAES'!$A:$B, 2, FALSE)</f>
        <v>Atividades veterinárias</v>
      </c>
      <c r="E3572" s="4">
        <v>12092.63907832</v>
      </c>
      <c r="F3572" s="4">
        <v>26551745.542717598</v>
      </c>
    </row>
    <row r="3573" spans="1:6" x14ac:dyDescent="0.3">
      <c r="A3573" s="3" t="s">
        <v>24</v>
      </c>
      <c r="B3573" s="7" t="str">
        <f>VLOOKUP(VALUE(A3573), 'DICIONÁRIO UF'!$A:$B, 2, FALSE)</f>
        <v>Paraná</v>
      </c>
      <c r="C3573" s="3">
        <v>77010</v>
      </c>
      <c r="D3573" s="5" t="str">
        <f>VLOOKUP(C3573, 'DICIONÁRIO CNAES'!$A:$B, 2, FALSE)</f>
        <v>Aluguel de objetos pessoais e domésticos</v>
      </c>
      <c r="E3573" s="4">
        <v>3827.5932603000001</v>
      </c>
      <c r="F3573" s="4">
        <v>10700012.4443652</v>
      </c>
    </row>
    <row r="3574" spans="1:6" x14ac:dyDescent="0.3">
      <c r="A3574" s="3" t="s">
        <v>24</v>
      </c>
      <c r="B3574" s="7" t="str">
        <f>VLOOKUP(VALUE(A3574), 'DICIONÁRIO UF'!$A:$B, 2, FALSE)</f>
        <v>Paraná</v>
      </c>
      <c r="C3574" s="3">
        <v>77020</v>
      </c>
      <c r="D3574" s="5" t="str">
        <f>VLOOKUP(C3574, 'DICIONÁRIO CNAES'!$A:$B, 2, FALSE)</f>
        <v>Aluguel de meios de transportes, maquinas e equipamentos sem operador e gestão de ativos intangíveis não financeiros</v>
      </c>
      <c r="E3574" s="4">
        <v>4040.0258487000001</v>
      </c>
      <c r="F3574" s="4">
        <v>11561123.368184</v>
      </c>
    </row>
    <row r="3575" spans="1:6" x14ac:dyDescent="0.3">
      <c r="A3575" s="3" t="s">
        <v>24</v>
      </c>
      <c r="B3575" s="7" t="str">
        <f>VLOOKUP(VALUE(A3575), 'DICIONÁRIO UF'!$A:$B, 2, FALSE)</f>
        <v>Paraná</v>
      </c>
      <c r="C3575" s="3">
        <v>78000</v>
      </c>
      <c r="D3575" s="5" t="str">
        <f>VLOOKUP(C3575, 'DICIONÁRIO CNAES'!$A:$B, 2, FALSE)</f>
        <v>Seleção, agenciamento e locação de mão-de-obra</v>
      </c>
      <c r="E3575" s="4">
        <v>23023.097863750001</v>
      </c>
      <c r="F3575" s="4">
        <v>47577903.11857675</v>
      </c>
    </row>
    <row r="3576" spans="1:6" x14ac:dyDescent="0.3">
      <c r="A3576" s="3" t="s">
        <v>24</v>
      </c>
      <c r="B3576" s="7" t="str">
        <f>VLOOKUP(VALUE(A3576), 'DICIONÁRIO UF'!$A:$B, 2, FALSE)</f>
        <v>Paraná</v>
      </c>
      <c r="C3576" s="3">
        <v>79000</v>
      </c>
      <c r="D3576" s="5" t="str">
        <f>VLOOKUP(C3576, 'DICIONÁRIO CNAES'!$A:$B, 2, FALSE)</f>
        <v>Agências de viagens, operadores turísticos e serviços de reservas</v>
      </c>
      <c r="E3576" s="4">
        <v>6560.9391516799997</v>
      </c>
      <c r="F3576" s="4">
        <v>27320906.986310001</v>
      </c>
    </row>
    <row r="3577" spans="1:6" x14ac:dyDescent="0.3">
      <c r="A3577" s="3" t="s">
        <v>24</v>
      </c>
      <c r="B3577" s="7" t="str">
        <f>VLOOKUP(VALUE(A3577), 'DICIONÁRIO UF'!$A:$B, 2, FALSE)</f>
        <v>Paraná</v>
      </c>
      <c r="C3577" s="3">
        <v>80000</v>
      </c>
      <c r="D3577" s="5" t="str">
        <f>VLOOKUP(C3577, 'DICIONÁRIO CNAES'!$A:$B, 2, FALSE)</f>
        <v>Atividades de vigilância, segurança, transporte de valores e investigação</v>
      </c>
      <c r="E3577" s="4">
        <v>37312.969571900001</v>
      </c>
      <c r="F3577" s="4">
        <v>79135698.499705672</v>
      </c>
    </row>
    <row r="3578" spans="1:6" x14ac:dyDescent="0.3">
      <c r="A3578" s="3" t="s">
        <v>24</v>
      </c>
      <c r="B3578" s="7" t="str">
        <f>VLOOKUP(VALUE(A3578), 'DICIONÁRIO UF'!$A:$B, 2, FALSE)</f>
        <v>Paraná</v>
      </c>
      <c r="C3578" s="3">
        <v>81011</v>
      </c>
      <c r="D3578" s="5" t="str">
        <f>VLOOKUP(C3578, 'DICIONÁRIO CNAES'!$A:$B, 2, FALSE)</f>
        <v>Serviços de limpeza e de apoio a edifícios, exceto condomínios prediais</v>
      </c>
      <c r="E3578" s="4">
        <v>52098.22124336</v>
      </c>
      <c r="F3578" s="4">
        <v>101841026.72197381</v>
      </c>
    </row>
    <row r="3579" spans="1:6" x14ac:dyDescent="0.3">
      <c r="A3579" s="3" t="s">
        <v>24</v>
      </c>
      <c r="B3579" s="7" t="str">
        <f>VLOOKUP(VALUE(A3579), 'DICIONÁRIO UF'!$A:$B, 2, FALSE)</f>
        <v>Paraná</v>
      </c>
      <c r="C3579" s="3">
        <v>81012</v>
      </c>
      <c r="D3579" s="5" t="str">
        <f>VLOOKUP(C3579, 'DICIONÁRIO CNAES'!$A:$B, 2, FALSE)</f>
        <v>Condomínios prediais</v>
      </c>
      <c r="E3579" s="4">
        <v>14719.20930826</v>
      </c>
      <c r="F3579" s="4">
        <v>25929606.289905</v>
      </c>
    </row>
    <row r="3580" spans="1:6" x14ac:dyDescent="0.3">
      <c r="A3580" s="3" t="s">
        <v>24</v>
      </c>
      <c r="B3580" s="7" t="str">
        <f>VLOOKUP(VALUE(A3580), 'DICIONÁRIO UF'!$A:$B, 2, FALSE)</f>
        <v>Paraná</v>
      </c>
      <c r="C3580" s="3">
        <v>81020</v>
      </c>
      <c r="D3580" s="5" t="str">
        <f>VLOOKUP(C3580, 'DICIONÁRIO CNAES'!$A:$B, 2, FALSE)</f>
        <v>Atividades paisagísticas</v>
      </c>
      <c r="E3580" s="4">
        <v>9739.9851031899998</v>
      </c>
      <c r="F3580" s="4">
        <v>13070040.290766999</v>
      </c>
    </row>
    <row r="3581" spans="1:6" x14ac:dyDescent="0.3">
      <c r="A3581" s="3" t="s">
        <v>24</v>
      </c>
      <c r="B3581" s="7" t="str">
        <f>VLOOKUP(VALUE(A3581), 'DICIONÁRIO UF'!$A:$B, 2, FALSE)</f>
        <v>Paraná</v>
      </c>
      <c r="C3581" s="3">
        <v>82001</v>
      </c>
      <c r="D3581" s="5" t="str">
        <f>VLOOKUP(C3581, 'DICIONÁRIO CNAES'!$A:$B, 2, FALSE)</f>
        <v>Serviços de escritório e apoio administrativo</v>
      </c>
      <c r="E3581" s="4">
        <v>2633.8733106200002</v>
      </c>
      <c r="F3581" s="4">
        <v>11256514.576533699</v>
      </c>
    </row>
    <row r="3582" spans="1:6" x14ac:dyDescent="0.3">
      <c r="A3582" s="3" t="s">
        <v>24</v>
      </c>
      <c r="B3582" s="7" t="str">
        <f>VLOOKUP(VALUE(A3582), 'DICIONÁRIO UF'!$A:$B, 2, FALSE)</f>
        <v>Paraná</v>
      </c>
      <c r="C3582" s="3">
        <v>82002</v>
      </c>
      <c r="D3582" s="5" t="str">
        <f>VLOOKUP(C3582, 'DICIONÁRIO CNAES'!$A:$B, 2, FALSE)</f>
        <v>Atividades de teleatendimento</v>
      </c>
      <c r="E3582" s="4">
        <v>12348.07436988</v>
      </c>
      <c r="F3582" s="4">
        <v>23711345.059645001</v>
      </c>
    </row>
    <row r="3583" spans="1:6" x14ac:dyDescent="0.3">
      <c r="A3583" s="3" t="s">
        <v>24</v>
      </c>
      <c r="B3583" s="7" t="str">
        <f>VLOOKUP(VALUE(A3583), 'DICIONÁRIO UF'!$A:$B, 2, FALSE)</f>
        <v>Paraná</v>
      </c>
      <c r="C3583" s="3">
        <v>82003</v>
      </c>
      <c r="D3583" s="5" t="str">
        <f>VLOOKUP(C3583, 'DICIONÁRIO CNAES'!$A:$B, 2, FALSE)</f>
        <v>Atividades de organização de eventos, exceto culturais e esportivos</v>
      </c>
      <c r="E3583" s="4">
        <v>3977.1355199700001</v>
      </c>
      <c r="F3583" s="4">
        <v>7374176.1858670004</v>
      </c>
    </row>
    <row r="3584" spans="1:6" x14ac:dyDescent="0.3">
      <c r="A3584" s="3" t="s">
        <v>24</v>
      </c>
      <c r="B3584" s="7" t="str">
        <f>VLOOKUP(VALUE(A3584), 'DICIONÁRIO UF'!$A:$B, 2, FALSE)</f>
        <v>Paraná</v>
      </c>
      <c r="C3584" s="3">
        <v>82009</v>
      </c>
      <c r="D3584" s="5" t="str">
        <f>VLOOKUP(C3584, 'DICIONÁRIO CNAES'!$A:$B, 2, FALSE)</f>
        <v>Outras atividades de serviços prestados principalmente às empresas</v>
      </c>
      <c r="E3584" s="4">
        <v>12799.843357899999</v>
      </c>
      <c r="F3584" s="4">
        <v>37210391.661238998</v>
      </c>
    </row>
    <row r="3585" spans="1:6" x14ac:dyDescent="0.3">
      <c r="A3585" s="3" t="s">
        <v>24</v>
      </c>
      <c r="B3585" s="7" t="str">
        <f>VLOOKUP(VALUE(A3585), 'DICIONÁRIO UF'!$A:$B, 2, FALSE)</f>
        <v>Paraná</v>
      </c>
      <c r="C3585" s="3">
        <v>84011</v>
      </c>
      <c r="D3585" s="5" t="str">
        <f>VLOOKUP(C3585, 'DICIONÁRIO CNAES'!$A:$B, 2, FALSE)</f>
        <v>Administração publica e regulação da política econômica e social - Federal</v>
      </c>
      <c r="E3585" s="4">
        <v>8484.7899086500001</v>
      </c>
      <c r="F3585" s="4">
        <v>97121810.996543005</v>
      </c>
    </row>
    <row r="3586" spans="1:6" x14ac:dyDescent="0.3">
      <c r="A3586" s="3" t="s">
        <v>24</v>
      </c>
      <c r="B3586" s="7" t="str">
        <f>VLOOKUP(VALUE(A3586), 'DICIONÁRIO UF'!$A:$B, 2, FALSE)</f>
        <v>Paraná</v>
      </c>
      <c r="C3586" s="3">
        <v>84012</v>
      </c>
      <c r="D3586" s="5" t="str">
        <f>VLOOKUP(C3586, 'DICIONÁRIO CNAES'!$A:$B, 2, FALSE)</f>
        <v>Administração publica e regulação da política econômica e social - Estadual</v>
      </c>
      <c r="E3586" s="4">
        <v>15427.67471084</v>
      </c>
      <c r="F3586" s="4">
        <v>107206866.94940069</v>
      </c>
    </row>
    <row r="3587" spans="1:6" x14ac:dyDescent="0.3">
      <c r="A3587" s="3" t="s">
        <v>24</v>
      </c>
      <c r="B3587" s="7" t="str">
        <f>VLOOKUP(VALUE(A3587), 'DICIONÁRIO UF'!$A:$B, 2, FALSE)</f>
        <v>Paraná</v>
      </c>
      <c r="C3587" s="3">
        <v>84013</v>
      </c>
      <c r="D3587" s="5" t="str">
        <f>VLOOKUP(C3587, 'DICIONÁRIO CNAES'!$A:$B, 2, FALSE)</f>
        <v>Administração publica e regulação da política econômica e social - Municipal</v>
      </c>
      <c r="E3587" s="4">
        <v>128901.75724144001</v>
      </c>
      <c r="F3587" s="4">
        <v>394699957.99815577</v>
      </c>
    </row>
    <row r="3588" spans="1:6" x14ac:dyDescent="0.3">
      <c r="A3588" s="3" t="s">
        <v>24</v>
      </c>
      <c r="B3588" s="7" t="str">
        <f>VLOOKUP(VALUE(A3588), 'DICIONÁRIO UF'!$A:$B, 2, FALSE)</f>
        <v>Paraná</v>
      </c>
      <c r="C3588" s="3">
        <v>84014</v>
      </c>
      <c r="D3588" s="5" t="str">
        <f>VLOOKUP(C3588, 'DICIONÁRIO CNAES'!$A:$B, 2, FALSE)</f>
        <v>Defesa</v>
      </c>
      <c r="E3588" s="4">
        <v>11448.40516255</v>
      </c>
      <c r="F3588" s="4">
        <v>31808243.943993501</v>
      </c>
    </row>
    <row r="3589" spans="1:6" x14ac:dyDescent="0.3">
      <c r="A3589" s="3" t="s">
        <v>24</v>
      </c>
      <c r="B3589" s="7" t="str">
        <f>VLOOKUP(VALUE(A3589), 'DICIONÁRIO UF'!$A:$B, 2, FALSE)</f>
        <v>Paraná</v>
      </c>
      <c r="C3589" s="3">
        <v>84015</v>
      </c>
      <c r="D3589" s="5" t="str">
        <f>VLOOKUP(C3589, 'DICIONÁRIO CNAES'!$A:$B, 2, FALSE)</f>
        <v>Outros serviços coletivos prestados pela administração pública - Federal</v>
      </c>
      <c r="E3589" s="4">
        <v>8890.7089262900008</v>
      </c>
      <c r="F3589" s="4">
        <v>106781673.929855</v>
      </c>
    </row>
    <row r="3590" spans="1:6" x14ac:dyDescent="0.3">
      <c r="A3590" s="3" t="s">
        <v>24</v>
      </c>
      <c r="B3590" s="7" t="str">
        <f>VLOOKUP(VALUE(A3590), 'DICIONÁRIO UF'!$A:$B, 2, FALSE)</f>
        <v>Paraná</v>
      </c>
      <c r="C3590" s="3">
        <v>84016</v>
      </c>
      <c r="D3590" s="5" t="str">
        <f>VLOOKUP(C3590, 'DICIONÁRIO CNAES'!$A:$B, 2, FALSE)</f>
        <v>Outros serviços coletivos prestados pela administração pública - Estadual</v>
      </c>
      <c r="E3590" s="4">
        <v>56375.671536950002</v>
      </c>
      <c r="F3590" s="4">
        <v>331975786.62751383</v>
      </c>
    </row>
    <row r="3591" spans="1:6" x14ac:dyDescent="0.3">
      <c r="A3591" s="3" t="s">
        <v>24</v>
      </c>
      <c r="B3591" s="7" t="str">
        <f>VLOOKUP(VALUE(A3591), 'DICIONÁRIO UF'!$A:$B, 2, FALSE)</f>
        <v>Paraná</v>
      </c>
      <c r="C3591" s="3">
        <v>84017</v>
      </c>
      <c r="D3591" s="5" t="str">
        <f>VLOOKUP(C3591, 'DICIONÁRIO CNAES'!$A:$B, 2, FALSE)</f>
        <v>Outros serviços coletivos prestados pela administração pública - Municipal</v>
      </c>
      <c r="E3591" s="4">
        <v>1397.37788402</v>
      </c>
      <c r="F3591" s="4">
        <v>6541839.6264769994</v>
      </c>
    </row>
    <row r="3592" spans="1:6" x14ac:dyDescent="0.3">
      <c r="A3592" s="3" t="s">
        <v>24</v>
      </c>
      <c r="B3592" s="7" t="str">
        <f>VLOOKUP(VALUE(A3592), 'DICIONÁRIO UF'!$A:$B, 2, FALSE)</f>
        <v>Paraná</v>
      </c>
      <c r="C3592" s="3">
        <v>84020</v>
      </c>
      <c r="D3592" s="5" t="str">
        <f>VLOOKUP(C3592, 'DICIONÁRIO CNAES'!$A:$B, 2, FALSE)</f>
        <v>Seguridade social obrigatória</v>
      </c>
      <c r="E3592" s="4">
        <v>2486.30852366</v>
      </c>
      <c r="F3592" s="4">
        <v>12442552.977216</v>
      </c>
    </row>
    <row r="3593" spans="1:6" x14ac:dyDescent="0.3">
      <c r="A3593" s="3" t="s">
        <v>24</v>
      </c>
      <c r="B3593" s="7" t="str">
        <f>VLOOKUP(VALUE(A3593), 'DICIONÁRIO UF'!$A:$B, 2, FALSE)</f>
        <v>Paraná</v>
      </c>
      <c r="C3593" s="3">
        <v>85011</v>
      </c>
      <c r="D3593" s="5" t="str">
        <f>VLOOKUP(C3593, 'DICIONÁRIO CNAES'!$A:$B, 2, FALSE)</f>
        <v>Creche</v>
      </c>
      <c r="E3593" s="4">
        <v>17813.49620026</v>
      </c>
      <c r="F3593" s="4">
        <v>35421845.070696071</v>
      </c>
    </row>
    <row r="3594" spans="1:6" x14ac:dyDescent="0.3">
      <c r="A3594" s="3" t="s">
        <v>24</v>
      </c>
      <c r="B3594" s="7" t="str">
        <f>VLOOKUP(VALUE(A3594), 'DICIONÁRIO UF'!$A:$B, 2, FALSE)</f>
        <v>Paraná</v>
      </c>
      <c r="C3594" s="3">
        <v>85012</v>
      </c>
      <c r="D3594" s="5" t="str">
        <f>VLOOKUP(C3594, 'DICIONÁRIO CNAES'!$A:$B, 2, FALSE)</f>
        <v>Pré-escola e ensino fundamental</v>
      </c>
      <c r="E3594" s="4">
        <v>165351.56615828999</v>
      </c>
      <c r="F3594" s="4">
        <v>487423629.71226448</v>
      </c>
    </row>
    <row r="3595" spans="1:6" x14ac:dyDescent="0.3">
      <c r="A3595" s="3" t="s">
        <v>24</v>
      </c>
      <c r="B3595" s="7" t="str">
        <f>VLOOKUP(VALUE(A3595), 'DICIONÁRIO UF'!$A:$B, 2, FALSE)</f>
        <v>Paraná</v>
      </c>
      <c r="C3595" s="3">
        <v>85013</v>
      </c>
      <c r="D3595" s="5" t="str">
        <f>VLOOKUP(C3595, 'DICIONÁRIO CNAES'!$A:$B, 2, FALSE)</f>
        <v>Ensino médio</v>
      </c>
      <c r="E3595" s="4">
        <v>66690.981269969998</v>
      </c>
      <c r="F3595" s="4">
        <v>251894894.39961991</v>
      </c>
    </row>
    <row r="3596" spans="1:6" x14ac:dyDescent="0.3">
      <c r="A3596" s="3" t="s">
        <v>24</v>
      </c>
      <c r="B3596" s="7" t="str">
        <f>VLOOKUP(VALUE(A3596), 'DICIONÁRIO UF'!$A:$B, 2, FALSE)</f>
        <v>Paraná</v>
      </c>
      <c r="C3596" s="3">
        <v>85014</v>
      </c>
      <c r="D3596" s="5" t="str">
        <f>VLOOKUP(C3596, 'DICIONÁRIO CNAES'!$A:$B, 2, FALSE)</f>
        <v>Educação superior</v>
      </c>
      <c r="E3596" s="4">
        <v>35726.777161960003</v>
      </c>
      <c r="F3596" s="4">
        <v>220290197.74662581</v>
      </c>
    </row>
    <row r="3597" spans="1:6" x14ac:dyDescent="0.3">
      <c r="A3597" s="3" t="s">
        <v>24</v>
      </c>
      <c r="B3597" s="7" t="str">
        <f>VLOOKUP(VALUE(A3597), 'DICIONÁRIO UF'!$A:$B, 2, FALSE)</f>
        <v>Paraná</v>
      </c>
      <c r="C3597" s="3">
        <v>85021</v>
      </c>
      <c r="D3597" s="5" t="str">
        <f>VLOOKUP(C3597, 'DICIONÁRIO CNAES'!$A:$B, 2, FALSE)</f>
        <v>Serviços auxiliares à educação</v>
      </c>
      <c r="E3597" s="4">
        <v>645.69150745000002</v>
      </c>
      <c r="F3597" s="4">
        <v>2464916.0006599999</v>
      </c>
    </row>
    <row r="3598" spans="1:6" x14ac:dyDescent="0.3">
      <c r="A3598" s="3" t="s">
        <v>24</v>
      </c>
      <c r="B3598" s="7" t="str">
        <f>VLOOKUP(VALUE(A3598), 'DICIONÁRIO UF'!$A:$B, 2, FALSE)</f>
        <v>Paraná</v>
      </c>
      <c r="C3598" s="3">
        <v>85029</v>
      </c>
      <c r="D3598" s="5" t="str">
        <f>VLOOKUP(C3598, 'DICIONÁRIO CNAES'!$A:$B, 2, FALSE)</f>
        <v>Outras atividades de ensino</v>
      </c>
      <c r="E3598" s="4">
        <v>33157.951243820004</v>
      </c>
      <c r="F3598" s="4">
        <v>95005407.349144384</v>
      </c>
    </row>
    <row r="3599" spans="1:6" x14ac:dyDescent="0.3">
      <c r="A3599" s="3" t="s">
        <v>24</v>
      </c>
      <c r="B3599" s="7" t="str">
        <f>VLOOKUP(VALUE(A3599), 'DICIONÁRIO UF'!$A:$B, 2, FALSE)</f>
        <v>Paraná</v>
      </c>
      <c r="C3599" s="3">
        <v>86001</v>
      </c>
      <c r="D3599" s="5" t="str">
        <f>VLOOKUP(C3599, 'DICIONÁRIO CNAES'!$A:$B, 2, FALSE)</f>
        <v>Atividades de atendimento hospitalar</v>
      </c>
      <c r="E3599" s="4">
        <v>82632.693937589996</v>
      </c>
      <c r="F3599" s="4">
        <v>403163459.7454201</v>
      </c>
    </row>
    <row r="3600" spans="1:6" x14ac:dyDescent="0.3">
      <c r="A3600" s="3" t="s">
        <v>24</v>
      </c>
      <c r="B3600" s="7" t="str">
        <f>VLOOKUP(VALUE(A3600), 'DICIONÁRIO UF'!$A:$B, 2, FALSE)</f>
        <v>Paraná</v>
      </c>
      <c r="C3600" s="3">
        <v>86002</v>
      </c>
      <c r="D3600" s="5" t="str">
        <f>VLOOKUP(C3600, 'DICIONÁRIO CNAES'!$A:$B, 2, FALSE)</f>
        <v>Atividades de atenção ambulatorial executadas por médicos e odontólogos</v>
      </c>
      <c r="E3600" s="4">
        <v>100417.90233786</v>
      </c>
      <c r="F3600" s="4">
        <v>425132196.67245013</v>
      </c>
    </row>
    <row r="3601" spans="1:6" x14ac:dyDescent="0.3">
      <c r="A3601" s="3" t="s">
        <v>24</v>
      </c>
      <c r="B3601" s="7" t="str">
        <f>VLOOKUP(VALUE(A3601), 'DICIONÁRIO UF'!$A:$B, 2, FALSE)</f>
        <v>Paraná</v>
      </c>
      <c r="C3601" s="3">
        <v>86003</v>
      </c>
      <c r="D3601" s="5" t="str">
        <f>VLOOKUP(C3601, 'DICIONÁRIO CNAES'!$A:$B, 2, FALSE)</f>
        <v>Atividades de serviços de complementação diagnóstica e terapêutica</v>
      </c>
      <c r="E3601" s="4">
        <v>14541.76078714</v>
      </c>
      <c r="F3601" s="4">
        <v>30070291.333499242</v>
      </c>
    </row>
    <row r="3602" spans="1:6" x14ac:dyDescent="0.3">
      <c r="A3602" s="3" t="s">
        <v>24</v>
      </c>
      <c r="B3602" s="7" t="str">
        <f>VLOOKUP(VALUE(A3602), 'DICIONÁRIO UF'!$A:$B, 2, FALSE)</f>
        <v>Paraná</v>
      </c>
      <c r="C3602" s="3">
        <v>86004</v>
      </c>
      <c r="D3602" s="5" t="str">
        <f>VLOOKUP(C3602, 'DICIONÁRIO CNAES'!$A:$B, 2, FALSE)</f>
        <v>Atividades de profissionais da área de saúde, exceto médicos e odontólogos</v>
      </c>
      <c r="E3602" s="4">
        <v>32072.645266269999</v>
      </c>
      <c r="F3602" s="4">
        <v>124130664.415535</v>
      </c>
    </row>
    <row r="3603" spans="1:6" x14ac:dyDescent="0.3">
      <c r="A3603" s="3" t="s">
        <v>24</v>
      </c>
      <c r="B3603" s="7" t="str">
        <f>VLOOKUP(VALUE(A3603), 'DICIONÁRIO UF'!$A:$B, 2, FALSE)</f>
        <v>Paraná</v>
      </c>
      <c r="C3603" s="3">
        <v>86009</v>
      </c>
      <c r="D3603" s="5" t="str">
        <f>VLOOKUP(C3603, 'DICIONÁRIO CNAES'!$A:$B, 2, FALSE)</f>
        <v>Atividades de atenção à saúde humana não especificadas anteriormente</v>
      </c>
      <c r="E3603" s="4">
        <v>4558.1083783800004</v>
      </c>
      <c r="F3603" s="4">
        <v>7425202.7220299998</v>
      </c>
    </row>
    <row r="3604" spans="1:6" x14ac:dyDescent="0.3">
      <c r="A3604" s="3" t="s">
        <v>24</v>
      </c>
      <c r="B3604" s="7" t="str">
        <f>VLOOKUP(VALUE(A3604), 'DICIONÁRIO UF'!$A:$B, 2, FALSE)</f>
        <v>Paraná</v>
      </c>
      <c r="C3604" s="3">
        <v>87000</v>
      </c>
      <c r="D3604" s="5" t="str">
        <f>VLOOKUP(C3604, 'DICIONÁRIO CNAES'!$A:$B, 2, FALSE)</f>
        <v>Atividades de assistência à saude humana integradas com assistencia social, inclusive prestadas em residencias</v>
      </c>
      <c r="E3604" s="4">
        <v>9003.7751411900008</v>
      </c>
      <c r="F3604" s="4">
        <v>18257232.883024599</v>
      </c>
    </row>
    <row r="3605" spans="1:6" x14ac:dyDescent="0.3">
      <c r="A3605" s="3" t="s">
        <v>24</v>
      </c>
      <c r="B3605" s="7" t="str">
        <f>VLOOKUP(VALUE(A3605), 'DICIONÁRIO UF'!$A:$B, 2, FALSE)</f>
        <v>Paraná</v>
      </c>
      <c r="C3605" s="3">
        <v>88000</v>
      </c>
      <c r="D3605" s="5" t="str">
        <f>VLOOKUP(C3605, 'DICIONÁRIO CNAES'!$A:$B, 2, FALSE)</f>
        <v>Serviços de assistência social sem alojamento</v>
      </c>
      <c r="E3605" s="4">
        <v>9206.2226688499995</v>
      </c>
      <c r="F3605" s="4">
        <v>19858056.8806343</v>
      </c>
    </row>
    <row r="3606" spans="1:6" x14ac:dyDescent="0.3">
      <c r="A3606" s="3" t="s">
        <v>24</v>
      </c>
      <c r="B3606" s="7" t="str">
        <f>VLOOKUP(VALUE(A3606), 'DICIONÁRIO UF'!$A:$B, 2, FALSE)</f>
        <v>Paraná</v>
      </c>
      <c r="C3606" s="3">
        <v>90000</v>
      </c>
      <c r="D3606" s="5" t="str">
        <f>VLOOKUP(C3606, 'DICIONÁRIO CNAES'!$A:$B, 2, FALSE)</f>
        <v>Atividades artísticas, criativas e de espetáculos</v>
      </c>
      <c r="E3606" s="4">
        <v>6191.9133392699996</v>
      </c>
      <c r="F3606" s="4">
        <v>13774600.139921</v>
      </c>
    </row>
    <row r="3607" spans="1:6" x14ac:dyDescent="0.3">
      <c r="A3607" s="3" t="s">
        <v>24</v>
      </c>
      <c r="B3607" s="7" t="str">
        <f>VLOOKUP(VALUE(A3607), 'DICIONÁRIO UF'!$A:$B, 2, FALSE)</f>
        <v>Paraná</v>
      </c>
      <c r="C3607" s="3">
        <v>91000</v>
      </c>
      <c r="D3607" s="5" t="str">
        <f>VLOOKUP(C3607, 'DICIONÁRIO CNAES'!$A:$B, 2, FALSE)</f>
        <v>Atividades ligadas ao patrimônio cultural e ambiental</v>
      </c>
      <c r="E3607" s="4">
        <v>453.56973533000001</v>
      </c>
      <c r="F3607" s="4">
        <v>1360709.2059899999</v>
      </c>
    </row>
    <row r="3608" spans="1:6" x14ac:dyDescent="0.3">
      <c r="A3608" s="3" t="s">
        <v>24</v>
      </c>
      <c r="B3608" s="7" t="str">
        <f>VLOOKUP(VALUE(A3608), 'DICIONÁRIO UF'!$A:$B, 2, FALSE)</f>
        <v>Paraná</v>
      </c>
      <c r="C3608" s="3">
        <v>93011</v>
      </c>
      <c r="D3608" s="5" t="str">
        <f>VLOOKUP(C3608, 'DICIONÁRIO CNAES'!$A:$B, 2, FALSE)</f>
        <v>Atividades esportivas</v>
      </c>
      <c r="E3608" s="4">
        <v>10637.475434919999</v>
      </c>
      <c r="F3608" s="4">
        <v>44950487.813461997</v>
      </c>
    </row>
    <row r="3609" spans="1:6" x14ac:dyDescent="0.3">
      <c r="A3609" s="3" t="s">
        <v>24</v>
      </c>
      <c r="B3609" s="7" t="str">
        <f>VLOOKUP(VALUE(A3609), 'DICIONÁRIO UF'!$A:$B, 2, FALSE)</f>
        <v>Paraná</v>
      </c>
      <c r="C3609" s="3">
        <v>93012</v>
      </c>
      <c r="D3609" s="5" t="str">
        <f>VLOOKUP(C3609, 'DICIONÁRIO CNAES'!$A:$B, 2, FALSE)</f>
        <v>Atividades de condicionamento físico</v>
      </c>
      <c r="E3609" s="4">
        <v>16346.246089280001</v>
      </c>
      <c r="F3609" s="4">
        <v>44813376.217772</v>
      </c>
    </row>
    <row r="3610" spans="1:6" x14ac:dyDescent="0.3">
      <c r="A3610" s="3" t="s">
        <v>24</v>
      </c>
      <c r="B3610" s="7" t="str">
        <f>VLOOKUP(VALUE(A3610), 'DICIONÁRIO UF'!$A:$B, 2, FALSE)</f>
        <v>Paraná</v>
      </c>
      <c r="C3610" s="3">
        <v>93020</v>
      </c>
      <c r="D3610" s="5" t="str">
        <f>VLOOKUP(C3610, 'DICIONÁRIO CNAES'!$A:$B, 2, FALSE)</f>
        <v>Atividades de recreação e lazer</v>
      </c>
      <c r="E3610" s="4">
        <v>4026.3577865399998</v>
      </c>
      <c r="F3610" s="4">
        <v>5643574.2879109997</v>
      </c>
    </row>
    <row r="3611" spans="1:6" x14ac:dyDescent="0.3">
      <c r="A3611" s="3" t="s">
        <v>24</v>
      </c>
      <c r="B3611" s="7" t="str">
        <f>VLOOKUP(VALUE(A3611), 'DICIONÁRIO UF'!$A:$B, 2, FALSE)</f>
        <v>Paraná</v>
      </c>
      <c r="C3611" s="3">
        <v>94010</v>
      </c>
      <c r="D3611" s="5" t="str">
        <f>VLOOKUP(C3611, 'DICIONÁRIO CNAES'!$A:$B, 2, FALSE)</f>
        <v>Atividades de organizações associativas patronais, empresariais e profissionais</v>
      </c>
      <c r="E3611" s="4">
        <v>4166.7162454199997</v>
      </c>
      <c r="F3611" s="4">
        <v>9956434.7504392006</v>
      </c>
    </row>
    <row r="3612" spans="1:6" x14ac:dyDescent="0.3">
      <c r="A3612" s="3" t="s">
        <v>24</v>
      </c>
      <c r="B3612" s="7" t="str">
        <f>VLOOKUP(VALUE(A3612), 'DICIONÁRIO UF'!$A:$B, 2, FALSE)</f>
        <v>Paraná</v>
      </c>
      <c r="C3612" s="3">
        <v>94020</v>
      </c>
      <c r="D3612" s="5" t="str">
        <f>VLOOKUP(C3612, 'DICIONÁRIO CNAES'!$A:$B, 2, FALSE)</f>
        <v>Atividades de organizações sindicais</v>
      </c>
      <c r="E3612" s="4">
        <v>6353.5732931500006</v>
      </c>
      <c r="F3612" s="4">
        <v>12265105.378976</v>
      </c>
    </row>
    <row r="3613" spans="1:6" x14ac:dyDescent="0.3">
      <c r="A3613" s="3" t="s">
        <v>24</v>
      </c>
      <c r="B3613" s="7" t="str">
        <f>VLOOKUP(VALUE(A3613), 'DICIONÁRIO UF'!$A:$B, 2, FALSE)</f>
        <v>Paraná</v>
      </c>
      <c r="C3613" s="3">
        <v>94091</v>
      </c>
      <c r="D3613" s="5" t="str">
        <f>VLOOKUP(C3613, 'DICIONÁRIO CNAES'!$A:$B, 2, FALSE)</f>
        <v>Atividades de organizações religiosas e filosóficas</v>
      </c>
      <c r="E3613" s="4">
        <v>17208.592755180001</v>
      </c>
      <c r="F3613" s="4">
        <v>51050166.164587498</v>
      </c>
    </row>
    <row r="3614" spans="1:6" x14ac:dyDescent="0.3">
      <c r="A3614" s="3" t="s">
        <v>24</v>
      </c>
      <c r="B3614" s="7" t="str">
        <f>VLOOKUP(VALUE(A3614), 'DICIONÁRIO UF'!$A:$B, 2, FALSE)</f>
        <v>Paraná</v>
      </c>
      <c r="C3614" s="3">
        <v>94099</v>
      </c>
      <c r="D3614" s="5" t="str">
        <f>VLOOKUP(C3614, 'DICIONÁRIO CNAES'!$A:$B, 2, FALSE)</f>
        <v xml:space="preserve">Outras atividades associativas não especificadas anteriormente </v>
      </c>
      <c r="E3614" s="4">
        <v>9567.7781039799993</v>
      </c>
      <c r="F3614" s="4">
        <v>27590889.42378556</v>
      </c>
    </row>
    <row r="3615" spans="1:6" x14ac:dyDescent="0.3">
      <c r="A3615" s="3" t="s">
        <v>24</v>
      </c>
      <c r="B3615" s="7" t="str">
        <f>VLOOKUP(VALUE(A3615), 'DICIONÁRIO UF'!$A:$B, 2, FALSE)</f>
        <v>Paraná</v>
      </c>
      <c r="C3615" s="3">
        <v>95010</v>
      </c>
      <c r="D3615" s="5" t="str">
        <f>VLOOKUP(C3615, 'DICIONÁRIO CNAES'!$A:$B, 2, FALSE)</f>
        <v>Reparação e manutenção de equipamentos de informática e comunicação</v>
      </c>
      <c r="E3615" s="4">
        <v>15828.763619040001</v>
      </c>
      <c r="F3615" s="4">
        <v>33720766.617028497</v>
      </c>
    </row>
    <row r="3616" spans="1:6" x14ac:dyDescent="0.3">
      <c r="A3616" s="3" t="s">
        <v>24</v>
      </c>
      <c r="B3616" s="7" t="str">
        <f>VLOOKUP(VALUE(A3616), 'DICIONÁRIO UF'!$A:$B, 2, FALSE)</f>
        <v>Paraná</v>
      </c>
      <c r="C3616" s="3">
        <v>95030</v>
      </c>
      <c r="D3616" s="5" t="str">
        <f>VLOOKUP(C3616, 'DICIONÁRIO CNAES'!$A:$B, 2, FALSE)</f>
        <v>Reparação e manutenção de objetos e equipamentos pessoais e domésticos</v>
      </c>
      <c r="E3616" s="4">
        <v>24347.81689627</v>
      </c>
      <c r="F3616" s="4">
        <v>45158847.442812398</v>
      </c>
    </row>
    <row r="3617" spans="1:6" x14ac:dyDescent="0.3">
      <c r="A3617" s="3" t="s">
        <v>24</v>
      </c>
      <c r="B3617" s="7" t="str">
        <f>VLOOKUP(VALUE(A3617), 'DICIONÁRIO UF'!$A:$B, 2, FALSE)</f>
        <v>Paraná</v>
      </c>
      <c r="C3617" s="3">
        <v>96010</v>
      </c>
      <c r="D3617" s="5" t="str">
        <f>VLOOKUP(C3617, 'DICIONÁRIO CNAES'!$A:$B, 2, FALSE)</f>
        <v>Lavanderias, tinturarias e toalheiros</v>
      </c>
      <c r="E3617" s="4">
        <v>7686.3255499999996</v>
      </c>
      <c r="F3617" s="4">
        <v>19273276.689705119</v>
      </c>
    </row>
    <row r="3618" spans="1:6" x14ac:dyDescent="0.3">
      <c r="A3618" s="3" t="s">
        <v>24</v>
      </c>
      <c r="B3618" s="7" t="str">
        <f>VLOOKUP(VALUE(A3618), 'DICIONÁRIO UF'!$A:$B, 2, FALSE)</f>
        <v>Paraná</v>
      </c>
      <c r="C3618" s="3">
        <v>96020</v>
      </c>
      <c r="D3618" s="5" t="str">
        <f>VLOOKUP(C3618, 'DICIONÁRIO CNAES'!$A:$B, 2, FALSE)</f>
        <v>Cabeleireiros e outras atividades de tratamento de beleza</v>
      </c>
      <c r="E3618" s="4">
        <v>92752.396361909996</v>
      </c>
      <c r="F3618" s="4">
        <v>172181554.23635089</v>
      </c>
    </row>
    <row r="3619" spans="1:6" x14ac:dyDescent="0.3">
      <c r="A3619" s="3" t="s">
        <v>24</v>
      </c>
      <c r="B3619" s="7" t="str">
        <f>VLOOKUP(VALUE(A3619), 'DICIONÁRIO UF'!$A:$B, 2, FALSE)</f>
        <v>Paraná</v>
      </c>
      <c r="C3619" s="3">
        <v>96030</v>
      </c>
      <c r="D3619" s="5" t="str">
        <f>VLOOKUP(C3619, 'DICIONÁRIO CNAES'!$A:$B, 2, FALSE)</f>
        <v xml:space="preserve">Atividades funerárias e serviços relacionados </v>
      </c>
      <c r="E3619" s="4">
        <v>6510.0382106699999</v>
      </c>
      <c r="F3619" s="4">
        <v>19505826.291528001</v>
      </c>
    </row>
    <row r="3620" spans="1:6" x14ac:dyDescent="0.3">
      <c r="A3620" s="3" t="s">
        <v>24</v>
      </c>
      <c r="B3620" s="7" t="str">
        <f>VLOOKUP(VALUE(A3620), 'DICIONÁRIO UF'!$A:$B, 2, FALSE)</f>
        <v>Paraná</v>
      </c>
      <c r="C3620" s="3">
        <v>96090</v>
      </c>
      <c r="D3620" s="5" t="str">
        <f>VLOOKUP(C3620, 'DICIONÁRIO CNAES'!$A:$B, 2, FALSE)</f>
        <v>Outras atividades de serviços pessoais</v>
      </c>
      <c r="E3620" s="4">
        <v>25394.778705860001</v>
      </c>
      <c r="F3620" s="4">
        <v>62111938.495405398</v>
      </c>
    </row>
    <row r="3621" spans="1:6" x14ac:dyDescent="0.3">
      <c r="A3621" s="3" t="s">
        <v>24</v>
      </c>
      <c r="B3621" s="7" t="str">
        <f>VLOOKUP(VALUE(A3621), 'DICIONÁRIO UF'!$A:$B, 2, FALSE)</f>
        <v>Paraná</v>
      </c>
      <c r="C3621" s="3">
        <v>97000</v>
      </c>
      <c r="D3621" s="5" t="str">
        <f>VLOOKUP(C3621, 'DICIONÁRIO CNAES'!$A:$B, 2, FALSE)</f>
        <v>Serviços domésticos</v>
      </c>
      <c r="E3621" s="4">
        <v>335635.8683567</v>
      </c>
      <c r="F3621" s="4">
        <v>358399746.18676603</v>
      </c>
    </row>
    <row r="3622" spans="1:6" x14ac:dyDescent="0.3">
      <c r="A3622" s="3" t="s">
        <v>25</v>
      </c>
      <c r="B3622" s="7" t="str">
        <f>VLOOKUP(VALUE(A3622), 'DICIONÁRIO UF'!$A:$B, 2, FALSE)</f>
        <v>Santa Catarina</v>
      </c>
      <c r="C3622" s="3">
        <v>0</v>
      </c>
      <c r="D3622" s="5" t="str">
        <f>VLOOKUP(C3622, 'DICIONÁRIO CNAES'!$A:$B, 2, FALSE)</f>
        <v xml:space="preserve">Atividades mal definidas </v>
      </c>
      <c r="E3622" s="4">
        <v>698.44592123999996</v>
      </c>
      <c r="F3622" s="4">
        <v>838485.86938399996</v>
      </c>
    </row>
    <row r="3623" spans="1:6" x14ac:dyDescent="0.3">
      <c r="A3623" s="3" t="s">
        <v>25</v>
      </c>
      <c r="B3623" s="7" t="str">
        <f>VLOOKUP(VALUE(A3623), 'DICIONÁRIO UF'!$A:$B, 2, FALSE)</f>
        <v>Santa Catarina</v>
      </c>
      <c r="C3623" s="3">
        <v>1101</v>
      </c>
      <c r="D3623" s="5" t="str">
        <f>VLOOKUP(C3623, 'DICIONÁRIO CNAES'!$A:$B, 2, FALSE)</f>
        <v>Cultivo de arroz</v>
      </c>
      <c r="E3623" s="4">
        <v>6304.8403466099999</v>
      </c>
      <c r="F3623" s="4">
        <v>13418316.23209005</v>
      </c>
    </row>
    <row r="3624" spans="1:6" x14ac:dyDescent="0.3">
      <c r="A3624" s="3" t="s">
        <v>25</v>
      </c>
      <c r="B3624" s="7" t="str">
        <f>VLOOKUP(VALUE(A3624), 'DICIONÁRIO UF'!$A:$B, 2, FALSE)</f>
        <v>Santa Catarina</v>
      </c>
      <c r="C3624" s="3">
        <v>1102</v>
      </c>
      <c r="D3624" s="5" t="str">
        <f>VLOOKUP(C3624, 'DICIONÁRIO CNAES'!$A:$B, 2, FALSE)</f>
        <v>Cultivo de milho</v>
      </c>
      <c r="E3624" s="4">
        <v>29143.825859529999</v>
      </c>
      <c r="F3624" s="4">
        <v>57177954.85391105</v>
      </c>
    </row>
    <row r="3625" spans="1:6" x14ac:dyDescent="0.3">
      <c r="A3625" s="3" t="s">
        <v>25</v>
      </c>
      <c r="B3625" s="7" t="str">
        <f>VLOOKUP(VALUE(A3625), 'DICIONÁRIO UF'!$A:$B, 2, FALSE)</f>
        <v>Santa Catarina</v>
      </c>
      <c r="C3625" s="3">
        <v>1103</v>
      </c>
      <c r="D3625" s="5" t="str">
        <f>VLOOKUP(C3625, 'DICIONÁRIO CNAES'!$A:$B, 2, FALSE)</f>
        <v>Cultivo de outros cereais</v>
      </c>
      <c r="E3625" s="4">
        <v>242.845392</v>
      </c>
      <c r="F3625" s="4">
        <v>339983.54879999999</v>
      </c>
    </row>
    <row r="3626" spans="1:6" x14ac:dyDescent="0.3">
      <c r="A3626" s="3" t="s">
        <v>25</v>
      </c>
      <c r="B3626" s="7" t="str">
        <f>VLOOKUP(VALUE(A3626), 'DICIONÁRIO UF'!$A:$B, 2, FALSE)</f>
        <v>Santa Catarina</v>
      </c>
      <c r="C3626" s="3">
        <v>1106</v>
      </c>
      <c r="D3626" s="5" t="str">
        <f>VLOOKUP(C3626, 'DICIONÁRIO CNAES'!$A:$B, 2, FALSE)</f>
        <v>Cultivo de fumo</v>
      </c>
      <c r="E3626" s="4">
        <v>59486.458713510001</v>
      </c>
      <c r="F3626" s="4">
        <v>108295002.2400908</v>
      </c>
    </row>
    <row r="3627" spans="1:6" x14ac:dyDescent="0.3">
      <c r="A3627" s="3" t="s">
        <v>25</v>
      </c>
      <c r="B3627" s="7" t="str">
        <f>VLOOKUP(VALUE(A3627), 'DICIONÁRIO UF'!$A:$B, 2, FALSE)</f>
        <v>Santa Catarina</v>
      </c>
      <c r="C3627" s="3">
        <v>1107</v>
      </c>
      <c r="D3627" s="5" t="str">
        <f>VLOOKUP(C3627, 'DICIONÁRIO CNAES'!$A:$B, 2, FALSE)</f>
        <v>Cultivo de soja</v>
      </c>
      <c r="E3627" s="4">
        <v>15952.144758210001</v>
      </c>
      <c r="F3627" s="4">
        <v>48329491.797165751</v>
      </c>
    </row>
    <row r="3628" spans="1:6" x14ac:dyDescent="0.3">
      <c r="A3628" s="3" t="s">
        <v>25</v>
      </c>
      <c r="B3628" s="7" t="str">
        <f>VLOOKUP(VALUE(A3628), 'DICIONÁRIO UF'!$A:$B, 2, FALSE)</f>
        <v>Santa Catarina</v>
      </c>
      <c r="C3628" s="3">
        <v>1108</v>
      </c>
      <c r="D3628" s="5" t="str">
        <f>VLOOKUP(C3628, 'DICIONÁRIO CNAES'!$A:$B, 2, FALSE)</f>
        <v>Cultivo de mandioca</v>
      </c>
      <c r="E3628" s="4">
        <v>3137.0538191700002</v>
      </c>
      <c r="F3628" s="4">
        <v>3025089.5122500001</v>
      </c>
    </row>
    <row r="3629" spans="1:6" x14ac:dyDescent="0.3">
      <c r="A3629" s="3" t="s">
        <v>25</v>
      </c>
      <c r="B3629" s="7" t="str">
        <f>VLOOKUP(VALUE(A3629), 'DICIONÁRIO UF'!$A:$B, 2, FALSE)</f>
        <v>Santa Catarina</v>
      </c>
      <c r="C3629" s="3">
        <v>1109</v>
      </c>
      <c r="D3629" s="5" t="str">
        <f>VLOOKUP(C3629, 'DICIONÁRIO CNAES'!$A:$B, 2, FALSE)</f>
        <v>Cultivo de outras lavouras temporárias não especificadas anteriormente</v>
      </c>
      <c r="E3629" s="4">
        <v>6771.1061852700004</v>
      </c>
      <c r="F3629" s="4">
        <v>10449849.33784217</v>
      </c>
    </row>
    <row r="3630" spans="1:6" x14ac:dyDescent="0.3">
      <c r="A3630" s="3" t="s">
        <v>25</v>
      </c>
      <c r="B3630" s="7" t="str">
        <f>VLOOKUP(VALUE(A3630), 'DICIONÁRIO UF'!$A:$B, 2, FALSE)</f>
        <v>Santa Catarina</v>
      </c>
      <c r="C3630" s="3">
        <v>1110</v>
      </c>
      <c r="D3630" s="5" t="str">
        <f>VLOOKUP(C3630, 'DICIONÁRIO CNAES'!$A:$B, 2, FALSE)</f>
        <v>Horticultura</v>
      </c>
      <c r="E3630" s="4">
        <v>17687.272197229999</v>
      </c>
      <c r="F3630" s="4">
        <v>38257923.192093529</v>
      </c>
    </row>
    <row r="3631" spans="1:6" x14ac:dyDescent="0.3">
      <c r="A3631" s="3" t="s">
        <v>25</v>
      </c>
      <c r="B3631" s="7" t="str">
        <f>VLOOKUP(VALUE(A3631), 'DICIONÁRIO UF'!$A:$B, 2, FALSE)</f>
        <v>Santa Catarina</v>
      </c>
      <c r="C3631" s="3">
        <v>1111</v>
      </c>
      <c r="D3631" s="5" t="str">
        <f>VLOOKUP(C3631, 'DICIONÁRIO CNAES'!$A:$B, 2, FALSE)</f>
        <v>Cultivo de flores e plantas ornamentais</v>
      </c>
      <c r="E3631" s="4">
        <v>1638.53701428</v>
      </c>
      <c r="F3631" s="4">
        <v>4545276.0995410001</v>
      </c>
    </row>
    <row r="3632" spans="1:6" x14ac:dyDescent="0.3">
      <c r="A3632" s="3" t="s">
        <v>25</v>
      </c>
      <c r="B3632" s="7" t="str">
        <f>VLOOKUP(VALUE(A3632), 'DICIONÁRIO UF'!$A:$B, 2, FALSE)</f>
        <v>Santa Catarina</v>
      </c>
      <c r="C3632" s="3">
        <v>1112</v>
      </c>
      <c r="D3632" s="5" t="str">
        <f>VLOOKUP(C3632, 'DICIONÁRIO CNAES'!$A:$B, 2, FALSE)</f>
        <v>Cultivo de frutas cítricas</v>
      </c>
      <c r="E3632" s="4">
        <v>520.68016350000005</v>
      </c>
      <c r="F3632" s="4">
        <v>1041360.327</v>
      </c>
    </row>
    <row r="3633" spans="1:6" x14ac:dyDescent="0.3">
      <c r="A3633" s="3" t="s">
        <v>25</v>
      </c>
      <c r="B3633" s="7" t="str">
        <f>VLOOKUP(VALUE(A3633), 'DICIONÁRIO UF'!$A:$B, 2, FALSE)</f>
        <v>Santa Catarina</v>
      </c>
      <c r="C3633" s="3">
        <v>1115</v>
      </c>
      <c r="D3633" s="5" t="str">
        <f>VLOOKUP(C3633, 'DICIONÁRIO CNAES'!$A:$B, 2, FALSE)</f>
        <v>Cultivo de uva</v>
      </c>
      <c r="E3633" s="4">
        <v>3482.8737397999998</v>
      </c>
      <c r="F3633" s="4">
        <v>7874283.6029610401</v>
      </c>
    </row>
    <row r="3634" spans="1:6" x14ac:dyDescent="0.3">
      <c r="A3634" s="3" t="s">
        <v>25</v>
      </c>
      <c r="B3634" s="7" t="str">
        <f>VLOOKUP(VALUE(A3634), 'DICIONÁRIO UF'!$A:$B, 2, FALSE)</f>
        <v>Santa Catarina</v>
      </c>
      <c r="C3634" s="3">
        <v>1116</v>
      </c>
      <c r="D3634" s="5" t="str">
        <f>VLOOKUP(C3634, 'DICIONÁRIO CNAES'!$A:$B, 2, FALSE)</f>
        <v>Cultivo de banana</v>
      </c>
      <c r="E3634" s="4">
        <v>21155.27693493</v>
      </c>
      <c r="F3634" s="4">
        <v>41967888.836387351</v>
      </c>
    </row>
    <row r="3635" spans="1:6" x14ac:dyDescent="0.3">
      <c r="A3635" s="3" t="s">
        <v>25</v>
      </c>
      <c r="B3635" s="7" t="str">
        <f>VLOOKUP(VALUE(A3635), 'DICIONÁRIO UF'!$A:$B, 2, FALSE)</f>
        <v>Santa Catarina</v>
      </c>
      <c r="C3635" s="3">
        <v>1117</v>
      </c>
      <c r="D3635" s="5" t="str">
        <f>VLOOKUP(C3635, 'DICIONÁRIO CNAES'!$A:$B, 2, FALSE)</f>
        <v>Cultivo de outras plantas e frutas de lavoura permanente não especificadas anteriormente</v>
      </c>
      <c r="E3635" s="4">
        <v>8969.3924474600008</v>
      </c>
      <c r="F3635" s="4">
        <v>21902640.10380068</v>
      </c>
    </row>
    <row r="3636" spans="1:6" x14ac:dyDescent="0.3">
      <c r="A3636" s="3" t="s">
        <v>25</v>
      </c>
      <c r="B3636" s="7" t="str">
        <f>VLOOKUP(VALUE(A3636), 'DICIONÁRIO UF'!$A:$B, 2, FALSE)</f>
        <v>Santa Catarina</v>
      </c>
      <c r="C3636" s="3">
        <v>1118</v>
      </c>
      <c r="D3636" s="5" t="str">
        <f>VLOOKUP(C3636, 'DICIONÁRIO CNAES'!$A:$B, 2, FALSE)</f>
        <v>Produção de sementes e mudas certificadas</v>
      </c>
      <c r="E3636" s="4">
        <v>1248.8421208499999</v>
      </c>
      <c r="F3636" s="4">
        <v>2166192.3465180001</v>
      </c>
    </row>
    <row r="3637" spans="1:6" x14ac:dyDescent="0.3">
      <c r="A3637" s="3" t="s">
        <v>25</v>
      </c>
      <c r="B3637" s="7" t="str">
        <f>VLOOKUP(VALUE(A3637), 'DICIONÁRIO UF'!$A:$B, 2, FALSE)</f>
        <v>Santa Catarina</v>
      </c>
      <c r="C3637" s="3">
        <v>1119</v>
      </c>
      <c r="D3637" s="5" t="str">
        <f>VLOOKUP(C3637, 'DICIONÁRIO CNAES'!$A:$B, 2, FALSE)</f>
        <v>Lavoura não especificada</v>
      </c>
      <c r="E3637" s="4">
        <v>10166.48878501</v>
      </c>
      <c r="F3637" s="4">
        <v>19424849.465176001</v>
      </c>
    </row>
    <row r="3638" spans="1:6" x14ac:dyDescent="0.3">
      <c r="A3638" s="3" t="s">
        <v>25</v>
      </c>
      <c r="B3638" s="7" t="str">
        <f>VLOOKUP(VALUE(A3638), 'DICIONÁRIO UF'!$A:$B, 2, FALSE)</f>
        <v>Santa Catarina</v>
      </c>
      <c r="C3638" s="3">
        <v>1201</v>
      </c>
      <c r="D3638" s="5" t="str">
        <f>VLOOKUP(C3638, 'DICIONÁRIO CNAES'!$A:$B, 2, FALSE)</f>
        <v>Criação de bovinos</v>
      </c>
      <c r="E3638" s="4">
        <v>79699.651018970006</v>
      </c>
      <c r="F3638" s="4">
        <v>250658855.69546321</v>
      </c>
    </row>
    <row r="3639" spans="1:6" x14ac:dyDescent="0.3">
      <c r="A3639" s="3" t="s">
        <v>25</v>
      </c>
      <c r="B3639" s="7" t="str">
        <f>VLOOKUP(VALUE(A3639), 'DICIONÁRIO UF'!$A:$B, 2, FALSE)</f>
        <v>Santa Catarina</v>
      </c>
      <c r="C3639" s="3">
        <v>1203</v>
      </c>
      <c r="D3639" s="5" t="str">
        <f>VLOOKUP(C3639, 'DICIONÁRIO CNAES'!$A:$B, 2, FALSE)</f>
        <v>Criação de caprinos e ovinos</v>
      </c>
      <c r="E3639" s="4">
        <v>284.47597325999999</v>
      </c>
      <c r="F3639" s="4">
        <v>932473.71062400006</v>
      </c>
    </row>
    <row r="3640" spans="1:6" x14ac:dyDescent="0.3">
      <c r="A3640" s="3" t="s">
        <v>25</v>
      </c>
      <c r="B3640" s="7" t="str">
        <f>VLOOKUP(VALUE(A3640), 'DICIONÁRIO UF'!$A:$B, 2, FALSE)</f>
        <v>Santa Catarina</v>
      </c>
      <c r="C3640" s="3">
        <v>1204</v>
      </c>
      <c r="D3640" s="5" t="str">
        <f>VLOOKUP(C3640, 'DICIONÁRIO CNAES'!$A:$B, 2, FALSE)</f>
        <v>Criação de suínos</v>
      </c>
      <c r="E3640" s="4">
        <v>25975.62866138</v>
      </c>
      <c r="F3640" s="4">
        <v>128403236.21590979</v>
      </c>
    </row>
    <row r="3641" spans="1:6" x14ac:dyDescent="0.3">
      <c r="A3641" s="3" t="s">
        <v>25</v>
      </c>
      <c r="B3641" s="7" t="str">
        <f>VLOOKUP(VALUE(A3641), 'DICIONÁRIO UF'!$A:$B, 2, FALSE)</f>
        <v>Santa Catarina</v>
      </c>
      <c r="C3641" s="3">
        <v>1205</v>
      </c>
      <c r="D3641" s="5" t="str">
        <f>VLOOKUP(C3641, 'DICIONÁRIO CNAES'!$A:$B, 2, FALSE)</f>
        <v>Criação de aves</v>
      </c>
      <c r="E3641" s="4">
        <v>17591.28615521</v>
      </c>
      <c r="F3641" s="4">
        <v>41411312.577722199</v>
      </c>
    </row>
    <row r="3642" spans="1:6" x14ac:dyDescent="0.3">
      <c r="A3642" s="3" t="s">
        <v>25</v>
      </c>
      <c r="B3642" s="7" t="str">
        <f>VLOOKUP(VALUE(A3642), 'DICIONÁRIO UF'!$A:$B, 2, FALSE)</f>
        <v>Santa Catarina</v>
      </c>
      <c r="C3642" s="3">
        <v>1206</v>
      </c>
      <c r="D3642" s="5" t="str">
        <f>VLOOKUP(C3642, 'DICIONÁRIO CNAES'!$A:$B, 2, FALSE)</f>
        <v>Apicultura</v>
      </c>
      <c r="E3642" s="4">
        <v>2429.44097242</v>
      </c>
      <c r="F3642" s="4">
        <v>3118462.0237890002</v>
      </c>
    </row>
    <row r="3643" spans="1:6" x14ac:dyDescent="0.3">
      <c r="A3643" s="3" t="s">
        <v>25</v>
      </c>
      <c r="B3643" s="7" t="str">
        <f>VLOOKUP(VALUE(A3643), 'DICIONÁRIO UF'!$A:$B, 2, FALSE)</f>
        <v>Santa Catarina</v>
      </c>
      <c r="C3643" s="3">
        <v>1209</v>
      </c>
      <c r="D3643" s="5" t="str">
        <f>VLOOKUP(C3643, 'DICIONÁRIO CNAES'!$A:$B, 2, FALSE)</f>
        <v>Pecuária não especificada</v>
      </c>
      <c r="E3643" s="4">
        <v>107.35022480000001</v>
      </c>
      <c r="F3643" s="4">
        <v>118085.24728</v>
      </c>
    </row>
    <row r="3644" spans="1:6" x14ac:dyDescent="0.3">
      <c r="A3644" s="3" t="s">
        <v>25</v>
      </c>
      <c r="B3644" s="7" t="str">
        <f>VLOOKUP(VALUE(A3644), 'DICIONÁRIO UF'!$A:$B, 2, FALSE)</f>
        <v>Santa Catarina</v>
      </c>
      <c r="C3644" s="3">
        <v>1401</v>
      </c>
      <c r="D3644" s="5" t="str">
        <f>VLOOKUP(C3644, 'DICIONÁRIO CNAES'!$A:$B, 2, FALSE)</f>
        <v>Atividades de apoio à agricultura e pós-colheita</v>
      </c>
      <c r="E3644" s="4">
        <v>2677.2318248699999</v>
      </c>
      <c r="F3644" s="4">
        <v>3498365.8704510001</v>
      </c>
    </row>
    <row r="3645" spans="1:6" x14ac:dyDescent="0.3">
      <c r="A3645" s="3" t="s">
        <v>25</v>
      </c>
      <c r="B3645" s="7" t="str">
        <f>VLOOKUP(VALUE(A3645), 'DICIONÁRIO UF'!$A:$B, 2, FALSE)</f>
        <v>Santa Catarina</v>
      </c>
      <c r="C3645" s="3">
        <v>1402</v>
      </c>
      <c r="D3645" s="5" t="str">
        <f>VLOOKUP(C3645, 'DICIONÁRIO CNAES'!$A:$B, 2, FALSE)</f>
        <v xml:space="preserve">Atividades de apoio à pecuária </v>
      </c>
      <c r="E3645" s="4">
        <v>1515.9432427900001</v>
      </c>
      <c r="F3645" s="4">
        <v>1573448.6737629999</v>
      </c>
    </row>
    <row r="3646" spans="1:6" x14ac:dyDescent="0.3">
      <c r="A3646" s="3" t="s">
        <v>25</v>
      </c>
      <c r="B3646" s="7" t="str">
        <f>VLOOKUP(VALUE(A3646), 'DICIONÁRIO UF'!$A:$B, 2, FALSE)</f>
        <v>Santa Catarina</v>
      </c>
      <c r="C3646" s="3">
        <v>1999</v>
      </c>
      <c r="D3646" s="5" t="str">
        <f>VLOOKUP(C3646, 'DICIONÁRIO CNAES'!$A:$B, 2, FALSE)</f>
        <v>Agropecuária</v>
      </c>
      <c r="E3646" s="4">
        <v>1148.5544240199999</v>
      </c>
      <c r="F3646" s="4">
        <v>3071202.7252286999</v>
      </c>
    </row>
    <row r="3647" spans="1:6" x14ac:dyDescent="0.3">
      <c r="A3647" s="3" t="s">
        <v>25</v>
      </c>
      <c r="B3647" s="7" t="str">
        <f>VLOOKUP(VALUE(A3647), 'DICIONÁRIO UF'!$A:$B, 2, FALSE)</f>
        <v>Santa Catarina</v>
      </c>
      <c r="C3647" s="3">
        <v>2000</v>
      </c>
      <c r="D3647" s="5" t="str">
        <f>VLOOKUP(C3647, 'DICIONÁRIO CNAES'!$A:$B, 2, FALSE)</f>
        <v xml:space="preserve">Produção florestal </v>
      </c>
      <c r="E3647" s="4">
        <v>25058.317737829999</v>
      </c>
      <c r="F3647" s="4">
        <v>67077414.931982428</v>
      </c>
    </row>
    <row r="3648" spans="1:6" x14ac:dyDescent="0.3">
      <c r="A3648" s="3" t="s">
        <v>25</v>
      </c>
      <c r="B3648" s="7" t="str">
        <f>VLOOKUP(VALUE(A3648), 'DICIONÁRIO UF'!$A:$B, 2, FALSE)</f>
        <v>Santa Catarina</v>
      </c>
      <c r="C3648" s="3">
        <v>3001</v>
      </c>
      <c r="D3648" s="5" t="str">
        <f>VLOOKUP(C3648, 'DICIONÁRIO CNAES'!$A:$B, 2, FALSE)</f>
        <v>Pesca</v>
      </c>
      <c r="E3648" s="4">
        <v>12456.306833680001</v>
      </c>
      <c r="F3648" s="4">
        <v>23356219.780527599</v>
      </c>
    </row>
    <row r="3649" spans="1:6" x14ac:dyDescent="0.3">
      <c r="A3649" s="3" t="s">
        <v>25</v>
      </c>
      <c r="B3649" s="7" t="str">
        <f>VLOOKUP(VALUE(A3649), 'DICIONÁRIO UF'!$A:$B, 2, FALSE)</f>
        <v>Santa Catarina</v>
      </c>
      <c r="C3649" s="3">
        <v>3002</v>
      </c>
      <c r="D3649" s="5" t="str">
        <f>VLOOKUP(C3649, 'DICIONÁRIO CNAES'!$A:$B, 2, FALSE)</f>
        <v>Aqüicultura</v>
      </c>
      <c r="E3649" s="4">
        <v>2845.8397814</v>
      </c>
      <c r="F3649" s="4">
        <v>7198454.9898850014</v>
      </c>
    </row>
    <row r="3650" spans="1:6" x14ac:dyDescent="0.3">
      <c r="A3650" s="3" t="s">
        <v>25</v>
      </c>
      <c r="B3650" s="7" t="str">
        <f>VLOOKUP(VALUE(A3650), 'DICIONÁRIO UF'!$A:$B, 2, FALSE)</f>
        <v>Santa Catarina</v>
      </c>
      <c r="C3650" s="3">
        <v>5000</v>
      </c>
      <c r="D3650" s="5" t="str">
        <f>VLOOKUP(C3650, 'DICIONÁRIO CNAES'!$A:$B, 2, FALSE)</f>
        <v>Extração de carvão mineral</v>
      </c>
      <c r="E3650" s="4">
        <v>1771.4329328599999</v>
      </c>
      <c r="F3650" s="4">
        <v>6118896.4138090014</v>
      </c>
    </row>
    <row r="3651" spans="1:6" x14ac:dyDescent="0.3">
      <c r="A3651" s="3" t="s">
        <v>25</v>
      </c>
      <c r="B3651" s="7" t="str">
        <f>VLOOKUP(VALUE(A3651), 'DICIONÁRIO UF'!$A:$B, 2, FALSE)</f>
        <v>Santa Catarina</v>
      </c>
      <c r="C3651" s="3">
        <v>6000</v>
      </c>
      <c r="D3651" s="5" t="str">
        <f>VLOOKUP(C3651, 'DICIONÁRIO CNAES'!$A:$B, 2, FALSE)</f>
        <v xml:space="preserve">Extração de petróleo e gás natural </v>
      </c>
      <c r="E3651" s="4">
        <v>1413.6016266700001</v>
      </c>
      <c r="F3651" s="4">
        <v>7150668.3398950007</v>
      </c>
    </row>
    <row r="3652" spans="1:6" x14ac:dyDescent="0.3">
      <c r="A3652" s="3" t="s">
        <v>25</v>
      </c>
      <c r="B3652" s="7" t="str">
        <f>VLOOKUP(VALUE(A3652), 'DICIONÁRIO UF'!$A:$B, 2, FALSE)</f>
        <v>Santa Catarina</v>
      </c>
      <c r="C3652" s="3">
        <v>8001</v>
      </c>
      <c r="D3652" s="5" t="str">
        <f>VLOOKUP(C3652, 'DICIONÁRIO CNAES'!$A:$B, 2, FALSE)</f>
        <v>Extração de pedras, areia e argila</v>
      </c>
      <c r="E3652" s="4">
        <v>3396.90688658</v>
      </c>
      <c r="F3652" s="4">
        <v>7579538.9395570001</v>
      </c>
    </row>
    <row r="3653" spans="1:6" x14ac:dyDescent="0.3">
      <c r="A3653" s="3" t="s">
        <v>25</v>
      </c>
      <c r="B3653" s="7" t="str">
        <f>VLOOKUP(VALUE(A3653), 'DICIONÁRIO UF'!$A:$B, 2, FALSE)</f>
        <v>Santa Catarina</v>
      </c>
      <c r="C3653" s="3">
        <v>8009</v>
      </c>
      <c r="D3653" s="5" t="str">
        <f>VLOOKUP(C3653, 'DICIONÁRIO CNAES'!$A:$B, 2, FALSE)</f>
        <v xml:space="preserve">Extração de minerais não metálicos não especificados anteriormente </v>
      </c>
      <c r="E3653" s="4">
        <v>39.93411802</v>
      </c>
      <c r="F3653" s="4">
        <v>79868.236040000003</v>
      </c>
    </row>
    <row r="3654" spans="1:6" x14ac:dyDescent="0.3">
      <c r="A3654" s="3" t="s">
        <v>25</v>
      </c>
      <c r="B3654" s="7" t="str">
        <f>VLOOKUP(VALUE(A3654), 'DICIONÁRIO UF'!$A:$B, 2, FALSE)</f>
        <v>Santa Catarina</v>
      </c>
      <c r="C3654" s="3">
        <v>9000</v>
      </c>
      <c r="D3654" s="5" t="str">
        <f>VLOOKUP(C3654, 'DICIONÁRIO CNAES'!$A:$B, 2, FALSE)</f>
        <v>Atividades de apoio à extração de minerais</v>
      </c>
      <c r="E3654" s="4">
        <v>149.71346452</v>
      </c>
      <c r="F3654" s="4">
        <v>449140.39356</v>
      </c>
    </row>
    <row r="3655" spans="1:6" x14ac:dyDescent="0.3">
      <c r="A3655" s="3" t="s">
        <v>25</v>
      </c>
      <c r="B3655" s="7" t="str">
        <f>VLOOKUP(VALUE(A3655), 'DICIONÁRIO UF'!$A:$B, 2, FALSE)</f>
        <v>Santa Catarina</v>
      </c>
      <c r="C3655" s="3">
        <v>10010</v>
      </c>
      <c r="D3655" s="5" t="str">
        <f>VLOOKUP(C3655, 'DICIONÁRIO CNAES'!$A:$B, 2, FALSE)</f>
        <v xml:space="preserve">Abate e fabricação de produtos de carne e pescado </v>
      </c>
      <c r="E3655" s="4">
        <v>77487.530713949993</v>
      </c>
      <c r="F3655" s="4">
        <v>159437163.92660269</v>
      </c>
    </row>
    <row r="3656" spans="1:6" x14ac:dyDescent="0.3">
      <c r="A3656" s="3" t="s">
        <v>25</v>
      </c>
      <c r="B3656" s="7" t="str">
        <f>VLOOKUP(VALUE(A3656), 'DICIONÁRIO UF'!$A:$B, 2, FALSE)</f>
        <v>Santa Catarina</v>
      </c>
      <c r="C3656" s="3">
        <v>10021</v>
      </c>
      <c r="D3656" s="5" t="str">
        <f>VLOOKUP(C3656, 'DICIONÁRIO CNAES'!$A:$B, 2, FALSE)</f>
        <v>Fabricação de conservas de frutas, legumes e outros vegetais</v>
      </c>
      <c r="E3656" s="4">
        <v>2504.7310481700001</v>
      </c>
      <c r="F3656" s="4">
        <v>5136757.207591</v>
      </c>
    </row>
    <row r="3657" spans="1:6" x14ac:dyDescent="0.3">
      <c r="A3657" s="3" t="s">
        <v>25</v>
      </c>
      <c r="B3657" s="7" t="str">
        <f>VLOOKUP(VALUE(A3657), 'DICIONÁRIO UF'!$A:$B, 2, FALSE)</f>
        <v>Santa Catarina</v>
      </c>
      <c r="C3657" s="3">
        <v>10022</v>
      </c>
      <c r="D3657" s="5" t="str">
        <f>VLOOKUP(C3657, 'DICIONÁRIO CNAES'!$A:$B, 2, FALSE)</f>
        <v>Fabricação de óleos vegetais e gorduras vegetais e animais</v>
      </c>
      <c r="E3657" s="4">
        <v>371.14040140999998</v>
      </c>
      <c r="F3657" s="4">
        <v>1484561.60564</v>
      </c>
    </row>
    <row r="3658" spans="1:6" x14ac:dyDescent="0.3">
      <c r="A3658" s="3" t="s">
        <v>25</v>
      </c>
      <c r="B3658" s="7" t="str">
        <f>VLOOKUP(VALUE(A3658), 'DICIONÁRIO UF'!$A:$B, 2, FALSE)</f>
        <v>Santa Catarina</v>
      </c>
      <c r="C3658" s="3">
        <v>10030</v>
      </c>
      <c r="D3658" s="5" t="str">
        <f>VLOOKUP(C3658, 'DICIONÁRIO CNAES'!$A:$B, 2, FALSE)</f>
        <v>Laticínios</v>
      </c>
      <c r="E3658" s="4">
        <v>11382.79777017</v>
      </c>
      <c r="F3658" s="4">
        <v>40442504.775737099</v>
      </c>
    </row>
    <row r="3659" spans="1:6" x14ac:dyDescent="0.3">
      <c r="A3659" s="3" t="s">
        <v>25</v>
      </c>
      <c r="B3659" s="7" t="str">
        <f>VLOOKUP(VALUE(A3659), 'DICIONÁRIO UF'!$A:$B, 2, FALSE)</f>
        <v>Santa Catarina</v>
      </c>
      <c r="C3659" s="3">
        <v>10091</v>
      </c>
      <c r="D3659" s="5" t="str">
        <f>VLOOKUP(C3659, 'DICIONÁRIO CNAES'!$A:$B, 2, FALSE)</f>
        <v>Moagem, fabricação de produtos amiláceos e de alimentos para animais</v>
      </c>
      <c r="E3659" s="4">
        <v>7477.4256541300001</v>
      </c>
      <c r="F3659" s="4">
        <v>19377414.974993002</v>
      </c>
    </row>
    <row r="3660" spans="1:6" x14ac:dyDescent="0.3">
      <c r="A3660" s="3" t="s">
        <v>25</v>
      </c>
      <c r="B3660" s="7" t="str">
        <f>VLOOKUP(VALUE(A3660), 'DICIONÁRIO UF'!$A:$B, 2, FALSE)</f>
        <v>Santa Catarina</v>
      </c>
      <c r="C3660" s="3">
        <v>10099</v>
      </c>
      <c r="D3660" s="5" t="str">
        <f>VLOOKUP(C3660, 'DICIONÁRIO CNAES'!$A:$B, 2, FALSE)</f>
        <v>Fabricação de outros produtos alimentícios</v>
      </c>
      <c r="E3660" s="4">
        <v>18112.565493270002</v>
      </c>
      <c r="F3660" s="4">
        <v>54614528.668143712</v>
      </c>
    </row>
    <row r="3661" spans="1:6" x14ac:dyDescent="0.3">
      <c r="A3661" s="3" t="s">
        <v>25</v>
      </c>
      <c r="B3661" s="7" t="str">
        <f>VLOOKUP(VALUE(A3661), 'DICIONÁRIO UF'!$A:$B, 2, FALSE)</f>
        <v>Santa Catarina</v>
      </c>
      <c r="C3661" s="3">
        <v>11000</v>
      </c>
      <c r="D3661" s="5" t="str">
        <f>VLOOKUP(C3661, 'DICIONÁRIO CNAES'!$A:$B, 2, FALSE)</f>
        <v>Fabricação de bebidas</v>
      </c>
      <c r="E3661" s="4">
        <v>5614.1502820200003</v>
      </c>
      <c r="F3661" s="4">
        <v>16820698.901512001</v>
      </c>
    </row>
    <row r="3662" spans="1:6" x14ac:dyDescent="0.3">
      <c r="A3662" s="3" t="s">
        <v>25</v>
      </c>
      <c r="B3662" s="7" t="str">
        <f>VLOOKUP(VALUE(A3662), 'DICIONÁRIO UF'!$A:$B, 2, FALSE)</f>
        <v>Santa Catarina</v>
      </c>
      <c r="C3662" s="3">
        <v>12000</v>
      </c>
      <c r="D3662" s="5" t="str">
        <f>VLOOKUP(C3662, 'DICIONÁRIO CNAES'!$A:$B, 2, FALSE)</f>
        <v>Processamento industrial e fabricação de produtos do fumo</v>
      </c>
      <c r="E3662" s="4">
        <v>599.034268</v>
      </c>
      <c r="F3662" s="4">
        <v>918998.67854400002</v>
      </c>
    </row>
    <row r="3663" spans="1:6" x14ac:dyDescent="0.3">
      <c r="A3663" s="3" t="s">
        <v>25</v>
      </c>
      <c r="B3663" s="7" t="str">
        <f>VLOOKUP(VALUE(A3663), 'DICIONÁRIO UF'!$A:$B, 2, FALSE)</f>
        <v>Santa Catarina</v>
      </c>
      <c r="C3663" s="3">
        <v>13001</v>
      </c>
      <c r="D3663" s="5" t="str">
        <f>VLOOKUP(C3663, 'DICIONÁRIO CNAES'!$A:$B, 2, FALSE)</f>
        <v>Preparação de fibras, fiação e tecelagem</v>
      </c>
      <c r="E3663" s="4">
        <v>41855.87748961</v>
      </c>
      <c r="F3663" s="4">
        <v>84787893.219420195</v>
      </c>
    </row>
    <row r="3664" spans="1:6" x14ac:dyDescent="0.3">
      <c r="A3664" s="3" t="s">
        <v>25</v>
      </c>
      <c r="B3664" s="7" t="str">
        <f>VLOOKUP(VALUE(A3664), 'DICIONÁRIO UF'!$A:$B, 2, FALSE)</f>
        <v>Santa Catarina</v>
      </c>
      <c r="C3664" s="3">
        <v>13002</v>
      </c>
      <c r="D3664" s="5" t="str">
        <f>VLOOKUP(C3664, 'DICIONÁRIO CNAES'!$A:$B, 2, FALSE)</f>
        <v>Fabricação de artefatos têxteis, exceto vestuário</v>
      </c>
      <c r="E3664" s="4">
        <v>13810.53556364</v>
      </c>
      <c r="F3664" s="4">
        <v>21763515.164341301</v>
      </c>
    </row>
    <row r="3665" spans="1:6" x14ac:dyDescent="0.3">
      <c r="A3665" s="3" t="s">
        <v>25</v>
      </c>
      <c r="B3665" s="7" t="str">
        <f>VLOOKUP(VALUE(A3665), 'DICIONÁRIO UF'!$A:$B, 2, FALSE)</f>
        <v>Santa Catarina</v>
      </c>
      <c r="C3665" s="3">
        <v>14001</v>
      </c>
      <c r="D3665" s="5" t="str">
        <f>VLOOKUP(C3665, 'DICIONÁRIO CNAES'!$A:$B, 2, FALSE)</f>
        <v>Confecção de artigos do vestuário e acessórios, exceto sob medida</v>
      </c>
      <c r="E3665" s="4">
        <v>186043.80778818001</v>
      </c>
      <c r="F3665" s="4">
        <v>382971649.8312155</v>
      </c>
    </row>
    <row r="3666" spans="1:6" x14ac:dyDescent="0.3">
      <c r="A3666" s="3" t="s">
        <v>25</v>
      </c>
      <c r="B3666" s="7" t="str">
        <f>VLOOKUP(VALUE(A3666), 'DICIONÁRIO UF'!$A:$B, 2, FALSE)</f>
        <v>Santa Catarina</v>
      </c>
      <c r="C3666" s="3">
        <v>14002</v>
      </c>
      <c r="D3666" s="5" t="str">
        <f>VLOOKUP(C3666, 'DICIONÁRIO CNAES'!$A:$B, 2, FALSE)</f>
        <v>Confecção, sob medida, de artigos do vestuário</v>
      </c>
      <c r="E3666" s="4">
        <v>22350.073704310002</v>
      </c>
      <c r="F3666" s="4">
        <v>44778936.981838197</v>
      </c>
    </row>
    <row r="3667" spans="1:6" x14ac:dyDescent="0.3">
      <c r="A3667" s="3" t="s">
        <v>25</v>
      </c>
      <c r="B3667" s="7" t="str">
        <f>VLOOKUP(VALUE(A3667), 'DICIONÁRIO UF'!$A:$B, 2, FALSE)</f>
        <v>Santa Catarina</v>
      </c>
      <c r="C3667" s="3">
        <v>15011</v>
      </c>
      <c r="D3667" s="5" t="str">
        <f>VLOOKUP(C3667, 'DICIONÁRIO CNAES'!$A:$B, 2, FALSE)</f>
        <v>Curtimento e outras preparações de couro</v>
      </c>
      <c r="E3667" s="4">
        <v>283.29894595000002</v>
      </c>
      <c r="F3667" s="4">
        <v>708603.04035000002</v>
      </c>
    </row>
    <row r="3668" spans="1:6" x14ac:dyDescent="0.3">
      <c r="A3668" s="3" t="s">
        <v>25</v>
      </c>
      <c r="B3668" s="7" t="str">
        <f>VLOOKUP(VALUE(A3668), 'DICIONÁRIO UF'!$A:$B, 2, FALSE)</f>
        <v>Santa Catarina</v>
      </c>
      <c r="C3668" s="3">
        <v>15012</v>
      </c>
      <c r="D3668" s="5" t="str">
        <f>VLOOKUP(C3668, 'DICIONÁRIO CNAES'!$A:$B, 2, FALSE)</f>
        <v>Fabricação de artigos de viagem e de artefatos diversos de couro</v>
      </c>
      <c r="E3668" s="4">
        <v>887.32464393999999</v>
      </c>
      <c r="F3668" s="4">
        <v>1113876.499904</v>
      </c>
    </row>
    <row r="3669" spans="1:6" x14ac:dyDescent="0.3">
      <c r="A3669" s="3" t="s">
        <v>25</v>
      </c>
      <c r="B3669" s="7" t="str">
        <f>VLOOKUP(VALUE(A3669), 'DICIONÁRIO UF'!$A:$B, 2, FALSE)</f>
        <v>Santa Catarina</v>
      </c>
      <c r="C3669" s="3">
        <v>15020</v>
      </c>
      <c r="D3669" s="5" t="str">
        <f>VLOOKUP(C3669, 'DICIONÁRIO CNAES'!$A:$B, 2, FALSE)</f>
        <v>Fabricação de calçados e partes para calçados, de qualquer material</v>
      </c>
      <c r="E3669" s="4">
        <v>15874.96776992</v>
      </c>
      <c r="F3669" s="4">
        <v>28196686.842093401</v>
      </c>
    </row>
    <row r="3670" spans="1:6" x14ac:dyDescent="0.3">
      <c r="A3670" s="3" t="s">
        <v>25</v>
      </c>
      <c r="B3670" s="7" t="str">
        <f>VLOOKUP(VALUE(A3670), 'DICIONÁRIO UF'!$A:$B, 2, FALSE)</f>
        <v>Santa Catarina</v>
      </c>
      <c r="C3670" s="3">
        <v>16001</v>
      </c>
      <c r="D3670" s="5" t="str">
        <f>VLOOKUP(C3670, 'DICIONÁRIO CNAES'!$A:$B, 2, FALSE)</f>
        <v>Serrarias</v>
      </c>
      <c r="E3670" s="4">
        <v>23808.41764326</v>
      </c>
      <c r="F3670" s="4">
        <v>60113170.790522583</v>
      </c>
    </row>
    <row r="3671" spans="1:6" x14ac:dyDescent="0.3">
      <c r="A3671" s="3" t="s">
        <v>25</v>
      </c>
      <c r="B3671" s="7" t="str">
        <f>VLOOKUP(VALUE(A3671), 'DICIONÁRIO UF'!$A:$B, 2, FALSE)</f>
        <v>Santa Catarina</v>
      </c>
      <c r="C3671" s="3">
        <v>16002</v>
      </c>
      <c r="D3671" s="5" t="str">
        <f>VLOOKUP(C3671, 'DICIONÁRIO CNAES'!$A:$B, 2, FALSE)</f>
        <v>Fabricação de produtos de madeira, cortiça e material trançado, exceto móveis</v>
      </c>
      <c r="E3671" s="4">
        <v>32999.906074929997</v>
      </c>
      <c r="F3671" s="4">
        <v>64986376.479073621</v>
      </c>
    </row>
    <row r="3672" spans="1:6" x14ac:dyDescent="0.3">
      <c r="A3672" s="3" t="s">
        <v>25</v>
      </c>
      <c r="B3672" s="7" t="str">
        <f>VLOOKUP(VALUE(A3672), 'DICIONÁRIO UF'!$A:$B, 2, FALSE)</f>
        <v>Santa Catarina</v>
      </c>
      <c r="C3672" s="3">
        <v>17001</v>
      </c>
      <c r="D3672" s="5" t="str">
        <f>VLOOKUP(C3672, 'DICIONÁRIO CNAES'!$A:$B, 2, FALSE)</f>
        <v>Fabricação de celulose, papel, cartolina e papel-cartão</v>
      </c>
      <c r="E3672" s="4">
        <v>13668.699595829999</v>
      </c>
      <c r="F3672" s="4">
        <v>44368515.211459503</v>
      </c>
    </row>
    <row r="3673" spans="1:6" x14ac:dyDescent="0.3">
      <c r="A3673" s="3" t="s">
        <v>25</v>
      </c>
      <c r="B3673" s="7" t="str">
        <f>VLOOKUP(VALUE(A3673), 'DICIONÁRIO UF'!$A:$B, 2, FALSE)</f>
        <v>Santa Catarina</v>
      </c>
      <c r="C3673" s="3">
        <v>17002</v>
      </c>
      <c r="D3673" s="5" t="str">
        <f>VLOOKUP(C3673, 'DICIONÁRIO CNAES'!$A:$B, 2, FALSE)</f>
        <v>Fabricação de embalagens e de produtos diversos de papel, cartolina, papel-cartão e papelão ondulado</v>
      </c>
      <c r="E3673" s="4">
        <v>16106.668359470001</v>
      </c>
      <c r="F3673" s="4">
        <v>33508691.844105959</v>
      </c>
    </row>
    <row r="3674" spans="1:6" x14ac:dyDescent="0.3">
      <c r="A3674" s="3" t="s">
        <v>25</v>
      </c>
      <c r="B3674" s="7" t="str">
        <f>VLOOKUP(VALUE(A3674), 'DICIONÁRIO UF'!$A:$B, 2, FALSE)</f>
        <v>Santa Catarina</v>
      </c>
      <c r="C3674" s="3">
        <v>18000</v>
      </c>
      <c r="D3674" s="5" t="str">
        <f>VLOOKUP(C3674, 'DICIONÁRIO CNAES'!$A:$B, 2, FALSE)</f>
        <v>Impressão e reprodução de gravações</v>
      </c>
      <c r="E3674" s="4">
        <v>8708.5918100899999</v>
      </c>
      <c r="F3674" s="4">
        <v>21698423.515684001</v>
      </c>
    </row>
    <row r="3675" spans="1:6" x14ac:dyDescent="0.3">
      <c r="A3675" s="3" t="s">
        <v>25</v>
      </c>
      <c r="B3675" s="7" t="str">
        <f>VLOOKUP(VALUE(A3675), 'DICIONÁRIO UF'!$A:$B, 2, FALSE)</f>
        <v>Santa Catarina</v>
      </c>
      <c r="C3675" s="3">
        <v>19010</v>
      </c>
      <c r="D3675" s="5" t="str">
        <f>VLOOKUP(C3675, 'DICIONÁRIO CNAES'!$A:$B, 2, FALSE)</f>
        <v>Coquerias</v>
      </c>
      <c r="E3675" s="4">
        <v>232.22177493000001</v>
      </c>
      <c r="F3675" s="4">
        <v>603776.614818</v>
      </c>
    </row>
    <row r="3676" spans="1:6" x14ac:dyDescent="0.3">
      <c r="A3676" s="3" t="s">
        <v>25</v>
      </c>
      <c r="B3676" s="7" t="str">
        <f>VLOOKUP(VALUE(A3676), 'DICIONÁRIO UF'!$A:$B, 2, FALSE)</f>
        <v>Santa Catarina</v>
      </c>
      <c r="C3676" s="3">
        <v>19020</v>
      </c>
      <c r="D3676" s="5" t="str">
        <f>VLOOKUP(C3676, 'DICIONÁRIO CNAES'!$A:$B, 2, FALSE)</f>
        <v>Fabricação de produtos derivados do petróleo</v>
      </c>
      <c r="E3676" s="4">
        <v>433.67394679</v>
      </c>
      <c r="F3676" s="4">
        <v>1517858.8137650001</v>
      </c>
    </row>
    <row r="3677" spans="1:6" x14ac:dyDescent="0.3">
      <c r="A3677" s="3" t="s">
        <v>25</v>
      </c>
      <c r="B3677" s="7" t="str">
        <f>VLOOKUP(VALUE(A3677), 'DICIONÁRIO UF'!$A:$B, 2, FALSE)</f>
        <v>Santa Catarina</v>
      </c>
      <c r="C3677" s="3">
        <v>20010</v>
      </c>
      <c r="D3677" s="5" t="str">
        <f>VLOOKUP(C3677, 'DICIONÁRIO CNAES'!$A:$B, 2, FALSE)</f>
        <v>Fabricação de tintas, vernizes, esmaltes, lacas e produtos afins</v>
      </c>
      <c r="E3677" s="4">
        <v>2839.0264023200002</v>
      </c>
      <c r="F3677" s="4">
        <v>8732283.1073579993</v>
      </c>
    </row>
    <row r="3678" spans="1:6" x14ac:dyDescent="0.3">
      <c r="A3678" s="3" t="s">
        <v>25</v>
      </c>
      <c r="B3678" s="7" t="str">
        <f>VLOOKUP(VALUE(A3678), 'DICIONÁRIO UF'!$A:$B, 2, FALSE)</f>
        <v>Santa Catarina</v>
      </c>
      <c r="C3678" s="3">
        <v>20020</v>
      </c>
      <c r="D3678" s="5" t="str">
        <f>VLOOKUP(C3678, 'DICIONÁRIO CNAES'!$A:$B, 2, FALSE)</f>
        <v>Fabricação de sabões, detergentes, produtos de limpeza, cosméticos, produtos de perfumaria e de higiene pessoal</v>
      </c>
      <c r="E3678" s="4">
        <v>4303.8583964099998</v>
      </c>
      <c r="F3678" s="4">
        <v>8821947.888389999</v>
      </c>
    </row>
    <row r="3679" spans="1:6" x14ac:dyDescent="0.3">
      <c r="A3679" s="3" t="s">
        <v>25</v>
      </c>
      <c r="B3679" s="7" t="str">
        <f>VLOOKUP(VALUE(A3679), 'DICIONÁRIO UF'!$A:$B, 2, FALSE)</f>
        <v>Santa Catarina</v>
      </c>
      <c r="C3679" s="3">
        <v>20090</v>
      </c>
      <c r="D3679" s="5" t="str">
        <f>VLOOKUP(C3679, 'DICIONÁRIO CNAES'!$A:$B, 2, FALSE)</f>
        <v>Fabricação de outros produtos químicos não especificados anteriormente</v>
      </c>
      <c r="E3679" s="4">
        <v>5267.4299289600003</v>
      </c>
      <c r="F3679" s="4">
        <v>11567320.6859225</v>
      </c>
    </row>
    <row r="3680" spans="1:6" x14ac:dyDescent="0.3">
      <c r="A3680" s="3" t="s">
        <v>25</v>
      </c>
      <c r="B3680" s="7" t="str">
        <f>VLOOKUP(VALUE(A3680), 'DICIONÁRIO UF'!$A:$B, 2, FALSE)</f>
        <v>Santa Catarina</v>
      </c>
      <c r="C3680" s="3">
        <v>21000</v>
      </c>
      <c r="D3680" s="5" t="str">
        <f>VLOOKUP(C3680, 'DICIONÁRIO CNAES'!$A:$B, 2, FALSE)</f>
        <v>Fabricação de produtos farmoquimicos e farmacêuticos</v>
      </c>
      <c r="E3680" s="4">
        <v>2681.9336513899998</v>
      </c>
      <c r="F3680" s="4">
        <v>12226684.621606</v>
      </c>
    </row>
    <row r="3681" spans="1:6" x14ac:dyDescent="0.3">
      <c r="A3681" s="3" t="s">
        <v>25</v>
      </c>
      <c r="B3681" s="7" t="str">
        <f>VLOOKUP(VALUE(A3681), 'DICIONÁRIO UF'!$A:$B, 2, FALSE)</f>
        <v>Santa Catarina</v>
      </c>
      <c r="C3681" s="3">
        <v>22010</v>
      </c>
      <c r="D3681" s="5" t="str">
        <f>VLOOKUP(C3681, 'DICIONÁRIO CNAES'!$A:$B, 2, FALSE)</f>
        <v>Fabricação de produtos de borracha</v>
      </c>
      <c r="E3681" s="4">
        <v>4383.69318527</v>
      </c>
      <c r="F3681" s="4">
        <v>11000480.992839999</v>
      </c>
    </row>
    <row r="3682" spans="1:6" x14ac:dyDescent="0.3">
      <c r="A3682" s="3" t="s">
        <v>25</v>
      </c>
      <c r="B3682" s="7" t="str">
        <f>VLOOKUP(VALUE(A3682), 'DICIONÁRIO UF'!$A:$B, 2, FALSE)</f>
        <v>Santa Catarina</v>
      </c>
      <c r="C3682" s="3">
        <v>22020</v>
      </c>
      <c r="D3682" s="5" t="str">
        <f>VLOOKUP(C3682, 'DICIONÁRIO CNAES'!$A:$B, 2, FALSE)</f>
        <v>Fabricação de produtos de material plástico</v>
      </c>
      <c r="E3682" s="4">
        <v>45994.748518100001</v>
      </c>
      <c r="F3682" s="4">
        <v>119292291.1013011</v>
      </c>
    </row>
    <row r="3683" spans="1:6" x14ac:dyDescent="0.3">
      <c r="A3683" s="3" t="s">
        <v>25</v>
      </c>
      <c r="B3683" s="7" t="str">
        <f>VLOOKUP(VALUE(A3683), 'DICIONÁRIO UF'!$A:$B, 2, FALSE)</f>
        <v>Santa Catarina</v>
      </c>
      <c r="C3683" s="3">
        <v>23010</v>
      </c>
      <c r="D3683" s="5" t="str">
        <f>VLOOKUP(C3683, 'DICIONÁRIO CNAES'!$A:$B, 2, FALSE)</f>
        <v>Fabricação de vidro e produtos de vidro</v>
      </c>
      <c r="E3683" s="4">
        <v>2778.3297165600002</v>
      </c>
      <c r="F3683" s="4">
        <v>5701428.5593640003</v>
      </c>
    </row>
    <row r="3684" spans="1:6" x14ac:dyDescent="0.3">
      <c r="A3684" s="3" t="s">
        <v>25</v>
      </c>
      <c r="B3684" s="7" t="str">
        <f>VLOOKUP(VALUE(A3684), 'DICIONÁRIO UF'!$A:$B, 2, FALSE)</f>
        <v>Santa Catarina</v>
      </c>
      <c r="C3684" s="3">
        <v>23091</v>
      </c>
      <c r="D3684" s="5" t="str">
        <f>VLOOKUP(C3684, 'DICIONÁRIO CNAES'!$A:$B, 2, FALSE)</f>
        <v>Fabricação de produtos cerâmicos</v>
      </c>
      <c r="E3684" s="4">
        <v>15289.3155548</v>
      </c>
      <c r="F3684" s="4">
        <v>36493185.444882199</v>
      </c>
    </row>
    <row r="3685" spans="1:6" x14ac:dyDescent="0.3">
      <c r="A3685" s="3" t="s">
        <v>25</v>
      </c>
      <c r="B3685" s="7" t="str">
        <f>VLOOKUP(VALUE(A3685), 'DICIONÁRIO UF'!$A:$B, 2, FALSE)</f>
        <v>Santa Catarina</v>
      </c>
      <c r="C3685" s="3">
        <v>23099</v>
      </c>
      <c r="D3685" s="5" t="str">
        <f>VLOOKUP(C3685, 'DICIONÁRIO CNAES'!$A:$B, 2, FALSE)</f>
        <v>Fabricação de outros produtos de minerais não-metálicos não especificados anteriormente</v>
      </c>
      <c r="E3685" s="4">
        <v>20614.617815729998</v>
      </c>
      <c r="F3685" s="4">
        <v>51910847.555444852</v>
      </c>
    </row>
    <row r="3686" spans="1:6" x14ac:dyDescent="0.3">
      <c r="A3686" s="3" t="s">
        <v>25</v>
      </c>
      <c r="B3686" s="7" t="str">
        <f>VLOOKUP(VALUE(A3686), 'DICIONÁRIO UF'!$A:$B, 2, FALSE)</f>
        <v>Santa Catarina</v>
      </c>
      <c r="C3686" s="3">
        <v>24001</v>
      </c>
      <c r="D3686" s="5" t="str">
        <f>VLOOKUP(C3686, 'DICIONÁRIO CNAES'!$A:$B, 2, FALSE)</f>
        <v>Fabricação de produtos siderúrgicos</v>
      </c>
      <c r="E3686" s="4">
        <v>1750.54044239</v>
      </c>
      <c r="F3686" s="4">
        <v>3849922.792688</v>
      </c>
    </row>
    <row r="3687" spans="1:6" x14ac:dyDescent="0.3">
      <c r="A3687" s="3" t="s">
        <v>25</v>
      </c>
      <c r="B3687" s="7" t="str">
        <f>VLOOKUP(VALUE(A3687), 'DICIONÁRIO UF'!$A:$B, 2, FALSE)</f>
        <v>Santa Catarina</v>
      </c>
      <c r="C3687" s="3">
        <v>24002</v>
      </c>
      <c r="D3687" s="5" t="str">
        <f>VLOOKUP(C3687, 'DICIONÁRIO CNAES'!$A:$B, 2, FALSE)</f>
        <v>Metalurgia dos metais não-ferrosos</v>
      </c>
      <c r="E3687" s="4">
        <v>1603.45553206</v>
      </c>
      <c r="F3687" s="4">
        <v>2759207.600358</v>
      </c>
    </row>
    <row r="3688" spans="1:6" x14ac:dyDescent="0.3">
      <c r="A3688" s="3" t="s">
        <v>25</v>
      </c>
      <c r="B3688" s="7" t="str">
        <f>VLOOKUP(VALUE(A3688), 'DICIONÁRIO UF'!$A:$B, 2, FALSE)</f>
        <v>Santa Catarina</v>
      </c>
      <c r="C3688" s="3">
        <v>24003</v>
      </c>
      <c r="D3688" s="5" t="str">
        <f>VLOOKUP(C3688, 'DICIONÁRIO CNAES'!$A:$B, 2, FALSE)</f>
        <v>Fundição</v>
      </c>
      <c r="E3688" s="4">
        <v>12370.21722196</v>
      </c>
      <c r="F3688" s="4">
        <v>35858833.283323221</v>
      </c>
    </row>
    <row r="3689" spans="1:6" x14ac:dyDescent="0.3">
      <c r="A3689" s="3" t="s">
        <v>25</v>
      </c>
      <c r="B3689" s="7" t="str">
        <f>VLOOKUP(VALUE(A3689), 'DICIONÁRIO UF'!$A:$B, 2, FALSE)</f>
        <v>Santa Catarina</v>
      </c>
      <c r="C3689" s="3">
        <v>25001</v>
      </c>
      <c r="D3689" s="5" t="str">
        <f>VLOOKUP(C3689, 'DICIONÁRIO CNAES'!$A:$B, 2, FALSE)</f>
        <v>Fabricação de produtos de metal, exceto máquinas e equipamentos</v>
      </c>
      <c r="E3689" s="4">
        <v>77700.123585359994</v>
      </c>
      <c r="F3689" s="4">
        <v>220243279.9538914</v>
      </c>
    </row>
    <row r="3690" spans="1:6" x14ac:dyDescent="0.3">
      <c r="A3690" s="3" t="s">
        <v>25</v>
      </c>
      <c r="B3690" s="7" t="str">
        <f>VLOOKUP(VALUE(A3690), 'DICIONÁRIO UF'!$A:$B, 2, FALSE)</f>
        <v>Santa Catarina</v>
      </c>
      <c r="C3690" s="3">
        <v>25002</v>
      </c>
      <c r="D3690" s="5" t="str">
        <f>VLOOKUP(C3690, 'DICIONÁRIO CNAES'!$A:$B, 2, FALSE)</f>
        <v>Forjaria, estamparia, metalurgia do pó e serviços de tratamento de metais</v>
      </c>
      <c r="E3690" s="4">
        <v>13410.458032099999</v>
      </c>
      <c r="F3690" s="4">
        <v>30331218.237503</v>
      </c>
    </row>
    <row r="3691" spans="1:6" x14ac:dyDescent="0.3">
      <c r="A3691" s="3" t="s">
        <v>25</v>
      </c>
      <c r="B3691" s="7" t="str">
        <f>VLOOKUP(VALUE(A3691), 'DICIONÁRIO UF'!$A:$B, 2, FALSE)</f>
        <v>Santa Catarina</v>
      </c>
      <c r="C3691" s="3">
        <v>26010</v>
      </c>
      <c r="D3691" s="5" t="str">
        <f>VLOOKUP(C3691, 'DICIONÁRIO CNAES'!$A:$B, 2, FALSE)</f>
        <v>Fabricação de componentes eletrônicos</v>
      </c>
      <c r="E3691" s="4">
        <v>2487.3796205799999</v>
      </c>
      <c r="F3691" s="4">
        <v>13407140.966881</v>
      </c>
    </row>
    <row r="3692" spans="1:6" x14ac:dyDescent="0.3">
      <c r="A3692" s="3" t="s">
        <v>25</v>
      </c>
      <c r="B3692" s="7" t="str">
        <f>VLOOKUP(VALUE(A3692), 'DICIONÁRIO UF'!$A:$B, 2, FALSE)</f>
        <v>Santa Catarina</v>
      </c>
      <c r="C3692" s="3">
        <v>26020</v>
      </c>
      <c r="D3692" s="5" t="str">
        <f>VLOOKUP(C3692, 'DICIONÁRIO CNAES'!$A:$B, 2, FALSE)</f>
        <v>Fabricação de equipamentos de informática e periféricos</v>
      </c>
      <c r="E3692" s="4">
        <v>1198.86021766</v>
      </c>
      <c r="F3692" s="4">
        <v>2697435.4897349998</v>
      </c>
    </row>
    <row r="3693" spans="1:6" x14ac:dyDescent="0.3">
      <c r="A3693" s="3" t="s">
        <v>25</v>
      </c>
      <c r="B3693" s="7" t="str">
        <f>VLOOKUP(VALUE(A3693), 'DICIONÁRIO UF'!$A:$B, 2, FALSE)</f>
        <v>Santa Catarina</v>
      </c>
      <c r="C3693" s="3">
        <v>26030</v>
      </c>
      <c r="D3693" s="5" t="str">
        <f>VLOOKUP(C3693, 'DICIONÁRIO CNAES'!$A:$B, 2, FALSE)</f>
        <v>Fabricação de equipamentos de comunicação e de aparelhos de recepção, reprodução, gravação e amplificação de áudio e vídeo</v>
      </c>
      <c r="E3693" s="4">
        <v>2232.4195507700001</v>
      </c>
      <c r="F3693" s="4">
        <v>5323727.0617829999</v>
      </c>
    </row>
    <row r="3694" spans="1:6" x14ac:dyDescent="0.3">
      <c r="A3694" s="3" t="s">
        <v>25</v>
      </c>
      <c r="B3694" s="7" t="str">
        <f>VLOOKUP(VALUE(A3694), 'DICIONÁRIO UF'!$A:$B, 2, FALSE)</f>
        <v>Santa Catarina</v>
      </c>
      <c r="C3694" s="3">
        <v>26041</v>
      </c>
      <c r="D3694" s="5" t="str">
        <f>VLOOKUP(C3694, 'DICIONÁRIO CNAES'!$A:$B, 2, FALSE)</f>
        <v>Fabricação de aparelhos e instrumentos de medida, teste e controle; cronômetros e relógios e de aparelhos eletromédicos e eletroterapêuticos</v>
      </c>
      <c r="E3694" s="4">
        <v>3660.0970681700001</v>
      </c>
      <c r="F3694" s="4">
        <v>17330532.430318002</v>
      </c>
    </row>
    <row r="3695" spans="1:6" x14ac:dyDescent="0.3">
      <c r="A3695" s="3" t="s">
        <v>25</v>
      </c>
      <c r="B3695" s="7" t="str">
        <f>VLOOKUP(VALUE(A3695), 'DICIONÁRIO UF'!$A:$B, 2, FALSE)</f>
        <v>Santa Catarina</v>
      </c>
      <c r="C3695" s="3">
        <v>27010</v>
      </c>
      <c r="D3695" s="5" t="str">
        <f>VLOOKUP(C3695, 'DICIONÁRIO CNAES'!$A:$B, 2, FALSE)</f>
        <v>Fabricação de eletrodomesticos</v>
      </c>
      <c r="E3695" s="4">
        <v>13853.256838810001</v>
      </c>
      <c r="F3695" s="4">
        <v>32707988.090031721</v>
      </c>
    </row>
    <row r="3696" spans="1:6" x14ac:dyDescent="0.3">
      <c r="A3696" s="3" t="s">
        <v>25</v>
      </c>
      <c r="B3696" s="7" t="str">
        <f>VLOOKUP(VALUE(A3696), 'DICIONÁRIO UF'!$A:$B, 2, FALSE)</f>
        <v>Santa Catarina</v>
      </c>
      <c r="C3696" s="3">
        <v>27090</v>
      </c>
      <c r="D3696" s="5" t="str">
        <f>VLOOKUP(C3696, 'DICIONÁRIO CNAES'!$A:$B, 2, FALSE)</f>
        <v>Fabricação de máquinas, aparelhos e materiais elétricos diversos, exceto eletrodomesticos</v>
      </c>
      <c r="E3696" s="4">
        <v>19706.08203628</v>
      </c>
      <c r="F3696" s="4">
        <v>60565277.267628901</v>
      </c>
    </row>
    <row r="3697" spans="1:6" x14ac:dyDescent="0.3">
      <c r="A3697" s="3" t="s">
        <v>25</v>
      </c>
      <c r="B3697" s="7" t="str">
        <f>VLOOKUP(VALUE(A3697), 'DICIONÁRIO UF'!$A:$B, 2, FALSE)</f>
        <v>Santa Catarina</v>
      </c>
      <c r="C3697" s="3">
        <v>28000</v>
      </c>
      <c r="D3697" s="5" t="str">
        <f>VLOOKUP(C3697, 'DICIONÁRIO CNAES'!$A:$B, 2, FALSE)</f>
        <v>Fabricação de máquinas e equipamentos</v>
      </c>
      <c r="E3697" s="4">
        <v>32444.97917011</v>
      </c>
      <c r="F3697" s="4">
        <v>103272984.23152339</v>
      </c>
    </row>
    <row r="3698" spans="1:6" x14ac:dyDescent="0.3">
      <c r="A3698" s="3" t="s">
        <v>25</v>
      </c>
      <c r="B3698" s="7" t="str">
        <f>VLOOKUP(VALUE(A3698), 'DICIONÁRIO UF'!$A:$B, 2, FALSE)</f>
        <v>Santa Catarina</v>
      </c>
      <c r="C3698" s="3">
        <v>29001</v>
      </c>
      <c r="D3698" s="5" t="str">
        <f>VLOOKUP(C3698, 'DICIONÁRIO CNAES'!$A:$B, 2, FALSE)</f>
        <v>Fabricação e montagem de veículos automotores</v>
      </c>
      <c r="E3698" s="4">
        <v>4553.6981527600001</v>
      </c>
      <c r="F3698" s="4">
        <v>12844194.09558568</v>
      </c>
    </row>
    <row r="3699" spans="1:6" x14ac:dyDescent="0.3">
      <c r="A3699" s="3" t="s">
        <v>25</v>
      </c>
      <c r="B3699" s="7" t="str">
        <f>VLOOKUP(VALUE(A3699), 'DICIONÁRIO UF'!$A:$B, 2, FALSE)</f>
        <v>Santa Catarina</v>
      </c>
      <c r="C3699" s="3">
        <v>29002</v>
      </c>
      <c r="D3699" s="5" t="str">
        <f>VLOOKUP(C3699, 'DICIONÁRIO CNAES'!$A:$B, 2, FALSE)</f>
        <v>Fabricação de cabines, carrocerias, reboques e peças para veículos automotores</v>
      </c>
      <c r="E3699" s="4">
        <v>21676.241887330001</v>
      </c>
      <c r="F3699" s="4">
        <v>51956484.849886604</v>
      </c>
    </row>
    <row r="3700" spans="1:6" x14ac:dyDescent="0.3">
      <c r="A3700" s="3" t="s">
        <v>25</v>
      </c>
      <c r="B3700" s="7" t="str">
        <f>VLOOKUP(VALUE(A3700), 'DICIONÁRIO UF'!$A:$B, 2, FALSE)</f>
        <v>Santa Catarina</v>
      </c>
      <c r="C3700" s="3">
        <v>30010</v>
      </c>
      <c r="D3700" s="5" t="str">
        <f>VLOOKUP(C3700, 'DICIONÁRIO CNAES'!$A:$B, 2, FALSE)</f>
        <v xml:space="preserve">Construção de embarcações </v>
      </c>
      <c r="E3700" s="4">
        <v>4169.9025763099999</v>
      </c>
      <c r="F3700" s="4">
        <v>12266099.23213</v>
      </c>
    </row>
    <row r="3701" spans="1:6" x14ac:dyDescent="0.3">
      <c r="A3701" s="3" t="s">
        <v>25</v>
      </c>
      <c r="B3701" s="7" t="str">
        <f>VLOOKUP(VALUE(A3701), 'DICIONÁRIO UF'!$A:$B, 2, FALSE)</f>
        <v>Santa Catarina</v>
      </c>
      <c r="C3701" s="3">
        <v>30020</v>
      </c>
      <c r="D3701" s="5" t="str">
        <f>VLOOKUP(C3701, 'DICIONÁRIO CNAES'!$A:$B, 2, FALSE)</f>
        <v>Fabricação de veículos ferroviários</v>
      </c>
      <c r="E3701" s="4">
        <v>568.92494024999996</v>
      </c>
      <c r="F3701" s="4">
        <v>1137849.8805</v>
      </c>
    </row>
    <row r="3702" spans="1:6" x14ac:dyDescent="0.3">
      <c r="A3702" s="3" t="s">
        <v>25</v>
      </c>
      <c r="B3702" s="7" t="str">
        <f>VLOOKUP(VALUE(A3702), 'DICIONÁRIO UF'!$A:$B, 2, FALSE)</f>
        <v>Santa Catarina</v>
      </c>
      <c r="C3702" s="3">
        <v>30030</v>
      </c>
      <c r="D3702" s="5" t="str">
        <f>VLOOKUP(C3702, 'DICIONÁRIO CNAES'!$A:$B, 2, FALSE)</f>
        <v>Fabricação de aeronaves</v>
      </c>
      <c r="E3702" s="4">
        <v>233.14839637</v>
      </c>
      <c r="F3702" s="4">
        <v>1398890.3782200001</v>
      </c>
    </row>
    <row r="3703" spans="1:6" x14ac:dyDescent="0.3">
      <c r="A3703" s="3" t="s">
        <v>25</v>
      </c>
      <c r="B3703" s="7" t="str">
        <f>VLOOKUP(VALUE(A3703), 'DICIONÁRIO UF'!$A:$B, 2, FALSE)</f>
        <v>Santa Catarina</v>
      </c>
      <c r="C3703" s="3">
        <v>30090</v>
      </c>
      <c r="D3703" s="5" t="str">
        <f>VLOOKUP(C3703, 'DICIONÁRIO CNAES'!$A:$B, 2, FALSE)</f>
        <v>Fabricação de outros equipamentos de transporte não especificados anteriormente</v>
      </c>
      <c r="E3703" s="4">
        <v>2767.8343131800002</v>
      </c>
      <c r="F3703" s="4">
        <v>3832155.4891909999</v>
      </c>
    </row>
    <row r="3704" spans="1:6" x14ac:dyDescent="0.3">
      <c r="A3704" s="3" t="s">
        <v>25</v>
      </c>
      <c r="B3704" s="7" t="str">
        <f>VLOOKUP(VALUE(A3704), 'DICIONÁRIO UF'!$A:$B, 2, FALSE)</f>
        <v>Santa Catarina</v>
      </c>
      <c r="C3704" s="3">
        <v>31000</v>
      </c>
      <c r="D3704" s="5" t="str">
        <f>VLOOKUP(C3704, 'DICIONÁRIO CNAES'!$A:$B, 2, FALSE)</f>
        <v>Fabricação de móveis</v>
      </c>
      <c r="E3704" s="4">
        <v>63662.172917260003</v>
      </c>
      <c r="F3704" s="4">
        <v>152538851.04885209</v>
      </c>
    </row>
    <row r="3705" spans="1:6" x14ac:dyDescent="0.3">
      <c r="A3705" s="3" t="s">
        <v>25</v>
      </c>
      <c r="B3705" s="7" t="str">
        <f>VLOOKUP(VALUE(A3705), 'DICIONÁRIO UF'!$A:$B, 2, FALSE)</f>
        <v>Santa Catarina</v>
      </c>
      <c r="C3705" s="3">
        <v>32001</v>
      </c>
      <c r="D3705" s="5" t="str">
        <f>VLOOKUP(C3705, 'DICIONÁRIO CNAES'!$A:$B, 2, FALSE)</f>
        <v>Fabricação de artigos de joalheria, bijuteria e semelhantes</v>
      </c>
      <c r="E3705" s="4">
        <v>704.50533626999993</v>
      </c>
      <c r="F3705" s="4">
        <v>1126309.9059840001</v>
      </c>
    </row>
    <row r="3706" spans="1:6" x14ac:dyDescent="0.3">
      <c r="A3706" s="3" t="s">
        <v>25</v>
      </c>
      <c r="B3706" s="7" t="str">
        <f>VLOOKUP(VALUE(A3706), 'DICIONÁRIO UF'!$A:$B, 2, FALSE)</f>
        <v>Santa Catarina</v>
      </c>
      <c r="C3706" s="3">
        <v>32002</v>
      </c>
      <c r="D3706" s="5" t="str">
        <f>VLOOKUP(C3706, 'DICIONÁRIO CNAES'!$A:$B, 2, FALSE)</f>
        <v>Fabricação de instrumentos musicais</v>
      </c>
      <c r="E3706" s="4">
        <v>998.86573669999996</v>
      </c>
      <c r="F3706" s="4">
        <v>2497164.3417500001</v>
      </c>
    </row>
    <row r="3707" spans="1:6" x14ac:dyDescent="0.3">
      <c r="A3707" s="3" t="s">
        <v>25</v>
      </c>
      <c r="B3707" s="7" t="str">
        <f>VLOOKUP(VALUE(A3707), 'DICIONÁRIO UF'!$A:$B, 2, FALSE)</f>
        <v>Santa Catarina</v>
      </c>
      <c r="C3707" s="3">
        <v>32003</v>
      </c>
      <c r="D3707" s="5" t="str">
        <f>VLOOKUP(C3707, 'DICIONÁRIO CNAES'!$A:$B, 2, FALSE)</f>
        <v>Fabricação de artefatos para pesca e esporte e de brinquedos e jogos recreativos</v>
      </c>
      <c r="E3707" s="4">
        <v>1244.8049493799999</v>
      </c>
      <c r="F3707" s="4">
        <v>3848173.9425420002</v>
      </c>
    </row>
    <row r="3708" spans="1:6" x14ac:dyDescent="0.3">
      <c r="A3708" s="3" t="s">
        <v>25</v>
      </c>
      <c r="B3708" s="7" t="str">
        <f>VLOOKUP(VALUE(A3708), 'DICIONÁRIO UF'!$A:$B, 2, FALSE)</f>
        <v>Santa Catarina</v>
      </c>
      <c r="C3708" s="3">
        <v>32009</v>
      </c>
      <c r="D3708" s="5" t="str">
        <f>VLOOKUP(C3708, 'DICIONÁRIO CNAES'!$A:$B, 2, FALSE)</f>
        <v>Fabricação de produtos diversos</v>
      </c>
      <c r="E3708" s="4">
        <v>9461.2043836299999</v>
      </c>
      <c r="F3708" s="4">
        <v>17742682.429302</v>
      </c>
    </row>
    <row r="3709" spans="1:6" x14ac:dyDescent="0.3">
      <c r="A3709" s="3" t="s">
        <v>25</v>
      </c>
      <c r="B3709" s="7" t="str">
        <f>VLOOKUP(VALUE(A3709), 'DICIONÁRIO UF'!$A:$B, 2, FALSE)</f>
        <v>Santa Catarina</v>
      </c>
      <c r="C3709" s="3">
        <v>33001</v>
      </c>
      <c r="D3709" s="5" t="str">
        <f>VLOOKUP(C3709, 'DICIONÁRIO CNAES'!$A:$B, 2, FALSE)</f>
        <v>Manutenção e reparação de máquinas e equipamentos</v>
      </c>
      <c r="E3709" s="4">
        <v>9169.3936293499992</v>
      </c>
      <c r="F3709" s="4">
        <v>26805693.024472259</v>
      </c>
    </row>
    <row r="3710" spans="1:6" x14ac:dyDescent="0.3">
      <c r="A3710" s="3" t="s">
        <v>25</v>
      </c>
      <c r="B3710" s="7" t="str">
        <f>VLOOKUP(VALUE(A3710), 'DICIONÁRIO UF'!$A:$B, 2, FALSE)</f>
        <v>Santa Catarina</v>
      </c>
      <c r="C3710" s="3">
        <v>33002</v>
      </c>
      <c r="D3710" s="5" t="str">
        <f>VLOOKUP(C3710, 'DICIONÁRIO CNAES'!$A:$B, 2, FALSE)</f>
        <v>Instalação de máquinas e equipamentos</v>
      </c>
      <c r="E3710" s="4">
        <v>1425.7184531600001</v>
      </c>
      <c r="F3710" s="4">
        <v>5524065.5063420003</v>
      </c>
    </row>
    <row r="3711" spans="1:6" x14ac:dyDescent="0.3">
      <c r="A3711" s="3" t="s">
        <v>25</v>
      </c>
      <c r="B3711" s="7" t="str">
        <f>VLOOKUP(VALUE(A3711), 'DICIONÁRIO UF'!$A:$B, 2, FALSE)</f>
        <v>Santa Catarina</v>
      </c>
      <c r="C3711" s="3">
        <v>35010</v>
      </c>
      <c r="D3711" s="5" t="str">
        <f>VLOOKUP(C3711, 'DICIONÁRIO CNAES'!$A:$B, 2, FALSE)</f>
        <v>Geração, transmissão e distribuição de energia elétrica</v>
      </c>
      <c r="E3711" s="4">
        <v>9380.8651394099998</v>
      </c>
      <c r="F3711" s="4">
        <v>36787351.891642749</v>
      </c>
    </row>
    <row r="3712" spans="1:6" x14ac:dyDescent="0.3">
      <c r="A3712" s="3" t="s">
        <v>25</v>
      </c>
      <c r="B3712" s="7" t="str">
        <f>VLOOKUP(VALUE(A3712), 'DICIONÁRIO UF'!$A:$B, 2, FALSE)</f>
        <v>Santa Catarina</v>
      </c>
      <c r="C3712" s="3">
        <v>35021</v>
      </c>
      <c r="D3712" s="5" t="str">
        <f>VLOOKUP(C3712, 'DICIONÁRIO CNAES'!$A:$B, 2, FALSE)</f>
        <v>Produção e distribuição de combustíveis gasosos por redes urbanas</v>
      </c>
      <c r="E3712" s="4">
        <v>1657.6299181300001</v>
      </c>
      <c r="F3712" s="4">
        <v>14193378.530579999</v>
      </c>
    </row>
    <row r="3713" spans="1:6" x14ac:dyDescent="0.3">
      <c r="A3713" s="3" t="s">
        <v>25</v>
      </c>
      <c r="B3713" s="7" t="str">
        <f>VLOOKUP(VALUE(A3713), 'DICIONÁRIO UF'!$A:$B, 2, FALSE)</f>
        <v>Santa Catarina</v>
      </c>
      <c r="C3713" s="3">
        <v>36000</v>
      </c>
      <c r="D3713" s="5" t="str">
        <f>VLOOKUP(C3713, 'DICIONÁRIO CNAES'!$A:$B, 2, FALSE)</f>
        <v>Captação, tratamento e distribuição de água</v>
      </c>
      <c r="E3713" s="4">
        <v>6132.51009712</v>
      </c>
      <c r="F3713" s="4">
        <v>19810561.403479621</v>
      </c>
    </row>
    <row r="3714" spans="1:6" x14ac:dyDescent="0.3">
      <c r="A3714" s="3" t="s">
        <v>25</v>
      </c>
      <c r="B3714" s="7" t="str">
        <f>VLOOKUP(VALUE(A3714), 'DICIONÁRIO UF'!$A:$B, 2, FALSE)</f>
        <v>Santa Catarina</v>
      </c>
      <c r="C3714" s="3">
        <v>37000</v>
      </c>
      <c r="D3714" s="5" t="str">
        <f>VLOOKUP(C3714, 'DICIONÁRIO CNAES'!$A:$B, 2, FALSE)</f>
        <v>Esgoto e atividades relacionadas</v>
      </c>
      <c r="E3714" s="4">
        <v>59.70814232</v>
      </c>
      <c r="F3714" s="4">
        <v>95533.027711999996</v>
      </c>
    </row>
    <row r="3715" spans="1:6" x14ac:dyDescent="0.3">
      <c r="A3715" s="3" t="s">
        <v>25</v>
      </c>
      <c r="B3715" s="7" t="str">
        <f>VLOOKUP(VALUE(A3715), 'DICIONÁRIO UF'!$A:$B, 2, FALSE)</f>
        <v>Santa Catarina</v>
      </c>
      <c r="C3715" s="3">
        <v>38000</v>
      </c>
      <c r="D3715" s="5" t="str">
        <f>VLOOKUP(C3715, 'DICIONÁRIO CNAES'!$A:$B, 2, FALSE)</f>
        <v>Coleta, tratamento e disposição de resíduos; recuperação de materiais</v>
      </c>
      <c r="E3715" s="4">
        <v>9193.5330769499997</v>
      </c>
      <c r="F3715" s="4">
        <v>19008588.1528426</v>
      </c>
    </row>
    <row r="3716" spans="1:6" x14ac:dyDescent="0.3">
      <c r="A3716" s="3" t="s">
        <v>25</v>
      </c>
      <c r="B3716" s="7" t="str">
        <f>VLOOKUP(VALUE(A3716), 'DICIONÁRIO UF'!$A:$B, 2, FALSE)</f>
        <v>Santa Catarina</v>
      </c>
      <c r="C3716" s="3">
        <v>39000</v>
      </c>
      <c r="D3716" s="5" t="str">
        <f>VLOOKUP(C3716, 'DICIONÁRIO CNAES'!$A:$B, 2, FALSE)</f>
        <v>Descontaminação e outros serviços de gestão de resíduos</v>
      </c>
      <c r="E3716" s="4">
        <v>324.56945332999999</v>
      </c>
      <c r="F3716" s="4">
        <v>663739.3880700001</v>
      </c>
    </row>
    <row r="3717" spans="1:6" x14ac:dyDescent="0.3">
      <c r="A3717" s="3" t="s">
        <v>25</v>
      </c>
      <c r="B3717" s="7" t="str">
        <f>VLOOKUP(VALUE(A3717), 'DICIONÁRIO UF'!$A:$B, 2, FALSE)</f>
        <v>Santa Catarina</v>
      </c>
      <c r="C3717" s="3">
        <v>41000</v>
      </c>
      <c r="D3717" s="5" t="str">
        <f>VLOOKUP(C3717, 'DICIONÁRIO CNAES'!$A:$B, 2, FALSE)</f>
        <v>Construção de edifícios</v>
      </c>
      <c r="E3717" s="4">
        <v>183114.07719422999</v>
      </c>
      <c r="F3717" s="4">
        <v>419670978.9638809</v>
      </c>
    </row>
    <row r="3718" spans="1:6" x14ac:dyDescent="0.3">
      <c r="A3718" s="3" t="s">
        <v>25</v>
      </c>
      <c r="B3718" s="7" t="str">
        <f>VLOOKUP(VALUE(A3718), 'DICIONÁRIO UF'!$A:$B, 2, FALSE)</f>
        <v>Santa Catarina</v>
      </c>
      <c r="C3718" s="3">
        <v>42000</v>
      </c>
      <c r="D3718" s="5" t="str">
        <f>VLOOKUP(C3718, 'DICIONÁRIO CNAES'!$A:$B, 2, FALSE)</f>
        <v>Construção de obras de infra-estrutura</v>
      </c>
      <c r="E3718" s="4">
        <v>20551.92679673</v>
      </c>
      <c r="F3718" s="4">
        <v>64812805.929470249</v>
      </c>
    </row>
    <row r="3719" spans="1:6" x14ac:dyDescent="0.3">
      <c r="A3719" s="3" t="s">
        <v>25</v>
      </c>
      <c r="B3719" s="7" t="str">
        <f>VLOOKUP(VALUE(A3719), 'DICIONÁRIO UF'!$A:$B, 2, FALSE)</f>
        <v>Santa Catarina</v>
      </c>
      <c r="C3719" s="3">
        <v>43000</v>
      </c>
      <c r="D3719" s="5" t="str">
        <f>VLOOKUP(C3719, 'DICIONÁRIO CNAES'!$A:$B, 2, FALSE)</f>
        <v>Serviços especializados para construção</v>
      </c>
      <c r="E3719" s="4">
        <v>95200.553308150003</v>
      </c>
      <c r="F3719" s="4">
        <v>245535699.65216699</v>
      </c>
    </row>
    <row r="3720" spans="1:6" x14ac:dyDescent="0.3">
      <c r="A3720" s="3" t="s">
        <v>25</v>
      </c>
      <c r="B3720" s="7" t="str">
        <f>VLOOKUP(VALUE(A3720), 'DICIONÁRIO UF'!$A:$B, 2, FALSE)</f>
        <v>Santa Catarina</v>
      </c>
      <c r="C3720" s="3">
        <v>45010</v>
      </c>
      <c r="D3720" s="5" t="str">
        <f>VLOOKUP(C3720, 'DICIONÁRIO CNAES'!$A:$B, 2, FALSE)</f>
        <v>Comércio de veículos automotores</v>
      </c>
      <c r="E3720" s="4">
        <v>20402.824900240001</v>
      </c>
      <c r="F3720" s="4">
        <v>72204781.810967505</v>
      </c>
    </row>
    <row r="3721" spans="1:6" x14ac:dyDescent="0.3">
      <c r="A3721" s="3" t="s">
        <v>25</v>
      </c>
      <c r="B3721" s="7" t="str">
        <f>VLOOKUP(VALUE(A3721), 'DICIONÁRIO UF'!$A:$B, 2, FALSE)</f>
        <v>Santa Catarina</v>
      </c>
      <c r="C3721" s="3">
        <v>45020</v>
      </c>
      <c r="D3721" s="5" t="str">
        <f>VLOOKUP(C3721, 'DICIONÁRIO CNAES'!$A:$B, 2, FALSE)</f>
        <v>Manutenção e reparação de veículos automotores</v>
      </c>
      <c r="E3721" s="4">
        <v>92437.196573139998</v>
      </c>
      <c r="F3721" s="4">
        <v>282956735.80759841</v>
      </c>
    </row>
    <row r="3722" spans="1:6" x14ac:dyDescent="0.3">
      <c r="A3722" s="3" t="s">
        <v>25</v>
      </c>
      <c r="B3722" s="7" t="str">
        <f>VLOOKUP(VALUE(A3722), 'DICIONÁRIO UF'!$A:$B, 2, FALSE)</f>
        <v>Santa Catarina</v>
      </c>
      <c r="C3722" s="3">
        <v>45030</v>
      </c>
      <c r="D3722" s="5" t="str">
        <f>VLOOKUP(C3722, 'DICIONÁRIO CNAES'!$A:$B, 2, FALSE)</f>
        <v>Comércio de peças e acessórios para veículos automotores</v>
      </c>
      <c r="E3722" s="4">
        <v>14562.668074929999</v>
      </c>
      <c r="F3722" s="4">
        <v>45812728.770677</v>
      </c>
    </row>
    <row r="3723" spans="1:6" x14ac:dyDescent="0.3">
      <c r="A3723" s="3" t="s">
        <v>25</v>
      </c>
      <c r="B3723" s="7" t="str">
        <f>VLOOKUP(VALUE(A3723), 'DICIONÁRIO UF'!$A:$B, 2, FALSE)</f>
        <v>Santa Catarina</v>
      </c>
      <c r="C3723" s="3">
        <v>45040</v>
      </c>
      <c r="D3723" s="5" t="str">
        <f>VLOOKUP(C3723, 'DICIONÁRIO CNAES'!$A:$B, 2, FALSE)</f>
        <v>Comércio, manutenção e reparação de motocicletas, peças e acessórios</v>
      </c>
      <c r="E3723" s="4">
        <v>4484.5295342899999</v>
      </c>
      <c r="F3723" s="4">
        <v>11505968.596023999</v>
      </c>
    </row>
    <row r="3724" spans="1:6" x14ac:dyDescent="0.3">
      <c r="A3724" s="3" t="s">
        <v>25</v>
      </c>
      <c r="B3724" s="7" t="str">
        <f>VLOOKUP(VALUE(A3724), 'DICIONÁRIO UF'!$A:$B, 2, FALSE)</f>
        <v>Santa Catarina</v>
      </c>
      <c r="C3724" s="3">
        <v>48010</v>
      </c>
      <c r="D3724" s="5" t="str">
        <f>VLOOKUP(C3724, 'DICIONÁRIO CNAES'!$A:$B, 2, FALSE)</f>
        <v>Representantes comerciais e agentes do comércio, exceto de veículos automotores e motocicletas</v>
      </c>
      <c r="E3724" s="4">
        <v>9300.2899198800005</v>
      </c>
      <c r="F3724" s="4">
        <v>33469557.434066001</v>
      </c>
    </row>
    <row r="3725" spans="1:6" x14ac:dyDescent="0.3">
      <c r="A3725" s="3" t="s">
        <v>25</v>
      </c>
      <c r="B3725" s="7" t="str">
        <f>VLOOKUP(VALUE(A3725), 'DICIONÁRIO UF'!$A:$B, 2, FALSE)</f>
        <v>Santa Catarina</v>
      </c>
      <c r="C3725" s="3">
        <v>48020</v>
      </c>
      <c r="D3725" s="5" t="str">
        <f>VLOOKUP(C3725, 'DICIONÁRIO CNAES'!$A:$B, 2, FALSE)</f>
        <v>Comércio de matérias-primas agrícolas e animais vivos</v>
      </c>
      <c r="E3725" s="4">
        <v>5913.0425997900002</v>
      </c>
      <c r="F3725" s="4">
        <v>22723675.504630499</v>
      </c>
    </row>
    <row r="3726" spans="1:6" x14ac:dyDescent="0.3">
      <c r="A3726" s="3" t="s">
        <v>25</v>
      </c>
      <c r="B3726" s="7" t="str">
        <f>VLOOKUP(VALUE(A3726), 'DICIONÁRIO UF'!$A:$B, 2, FALSE)</f>
        <v>Santa Catarina</v>
      </c>
      <c r="C3726" s="3">
        <v>48030</v>
      </c>
      <c r="D3726" s="5" t="str">
        <f>VLOOKUP(C3726, 'DICIONÁRIO CNAES'!$A:$B, 2, FALSE)</f>
        <v>Comércio de produtos alimentícios, bebidas e fumo</v>
      </c>
      <c r="E3726" s="4">
        <v>112156.24476233999</v>
      </c>
      <c r="F3726" s="4">
        <v>255432700.7986764</v>
      </c>
    </row>
    <row r="3727" spans="1:6" x14ac:dyDescent="0.3">
      <c r="A3727" s="3" t="s">
        <v>25</v>
      </c>
      <c r="B3727" s="7" t="str">
        <f>VLOOKUP(VALUE(A3727), 'DICIONÁRIO UF'!$A:$B, 2, FALSE)</f>
        <v>Santa Catarina</v>
      </c>
      <c r="C3727" s="3">
        <v>48041</v>
      </c>
      <c r="D3727" s="5" t="str">
        <f>VLOOKUP(C3727, 'DICIONÁRIO CNAES'!$A:$B, 2, FALSE)</f>
        <v>Comércio de tecidos, artefatos de tecidos e armarinho</v>
      </c>
      <c r="E3727" s="4">
        <v>5363.0004760399997</v>
      </c>
      <c r="F3727" s="4">
        <v>14064567.61298128</v>
      </c>
    </row>
    <row r="3728" spans="1:6" x14ac:dyDescent="0.3">
      <c r="A3728" s="3" t="s">
        <v>25</v>
      </c>
      <c r="B3728" s="7" t="str">
        <f>VLOOKUP(VALUE(A3728), 'DICIONÁRIO UF'!$A:$B, 2, FALSE)</f>
        <v>Santa Catarina</v>
      </c>
      <c r="C3728" s="3">
        <v>48042</v>
      </c>
      <c r="D3728" s="5" t="str">
        <f>VLOOKUP(C3728, 'DICIONÁRIO CNAES'!$A:$B, 2, FALSE)</f>
        <v>Comércio de artigos do vestuário, complementos, calçados e artigos de viagem</v>
      </c>
      <c r="E3728" s="4">
        <v>75626.736892639994</v>
      </c>
      <c r="F3728" s="4">
        <v>156537551.6058813</v>
      </c>
    </row>
    <row r="3729" spans="1:6" x14ac:dyDescent="0.3">
      <c r="A3729" s="3" t="s">
        <v>25</v>
      </c>
      <c r="B3729" s="7" t="str">
        <f>VLOOKUP(VALUE(A3729), 'DICIONÁRIO UF'!$A:$B, 2, FALSE)</f>
        <v>Santa Catarina</v>
      </c>
      <c r="C3729" s="3">
        <v>48050</v>
      </c>
      <c r="D3729" s="5" t="str">
        <f>VLOOKUP(C3729, 'DICIONÁRIO CNAES'!$A:$B, 2, FALSE)</f>
        <v>Comércio de madeira, material de construção, ferragens e ferramentas</v>
      </c>
      <c r="E3729" s="4">
        <v>49595.543451750003</v>
      </c>
      <c r="F3729" s="4">
        <v>131277346.3059895</v>
      </c>
    </row>
    <row r="3730" spans="1:6" x14ac:dyDescent="0.3">
      <c r="A3730" s="3" t="s">
        <v>25</v>
      </c>
      <c r="B3730" s="7" t="str">
        <f>VLOOKUP(VALUE(A3730), 'DICIONÁRIO UF'!$A:$B, 2, FALSE)</f>
        <v>Santa Catarina</v>
      </c>
      <c r="C3730" s="3">
        <v>48060</v>
      </c>
      <c r="D3730" s="5" t="str">
        <f>VLOOKUP(C3730, 'DICIONÁRIO CNAES'!$A:$B, 2, FALSE)</f>
        <v>Comércio de combustíveis para veículos automotores</v>
      </c>
      <c r="E3730" s="4">
        <v>19519.712425239999</v>
      </c>
      <c r="F3730" s="4">
        <v>44994111.706518881</v>
      </c>
    </row>
    <row r="3731" spans="1:6" x14ac:dyDescent="0.3">
      <c r="A3731" s="3" t="s">
        <v>25</v>
      </c>
      <c r="B3731" s="7" t="str">
        <f>VLOOKUP(VALUE(A3731), 'DICIONÁRIO UF'!$A:$B, 2, FALSE)</f>
        <v>Santa Catarina</v>
      </c>
      <c r="C3731" s="3">
        <v>48071</v>
      </c>
      <c r="D3731" s="5" t="str">
        <f>VLOOKUP(C3731, 'DICIONÁRIO CNAES'!$A:$B, 2, FALSE)</f>
        <v>Comércio de produtos farmaceuticos, médicos, ortopédicos, odontológicos e de cosméticos e perfumaria</v>
      </c>
      <c r="E3731" s="4">
        <v>43732.852574119999</v>
      </c>
      <c r="F3731" s="4">
        <v>124591648.0310858</v>
      </c>
    </row>
    <row r="3732" spans="1:6" x14ac:dyDescent="0.3">
      <c r="A3732" s="3" t="s">
        <v>25</v>
      </c>
      <c r="B3732" s="7" t="str">
        <f>VLOOKUP(VALUE(A3732), 'DICIONÁRIO UF'!$A:$B, 2, FALSE)</f>
        <v>Santa Catarina</v>
      </c>
      <c r="C3732" s="3">
        <v>48072</v>
      </c>
      <c r="D3732" s="5" t="str">
        <f>VLOOKUP(C3732, 'DICIONÁRIO CNAES'!$A:$B, 2, FALSE)</f>
        <v>Comércio de artigos de escritório e de papelaria; livros, jornais e outras publicações</v>
      </c>
      <c r="E3732" s="4">
        <v>2769.0320428</v>
      </c>
      <c r="F3732" s="4">
        <v>8650841.3291290011</v>
      </c>
    </row>
    <row r="3733" spans="1:6" x14ac:dyDescent="0.3">
      <c r="A3733" s="3" t="s">
        <v>25</v>
      </c>
      <c r="B3733" s="7" t="str">
        <f>VLOOKUP(VALUE(A3733), 'DICIONÁRIO UF'!$A:$B, 2, FALSE)</f>
        <v>Santa Catarina</v>
      </c>
      <c r="C3733" s="3">
        <v>48073</v>
      </c>
      <c r="D3733" s="5" t="str">
        <f>VLOOKUP(C3733, 'DICIONÁRIO CNAES'!$A:$B, 2, FALSE)</f>
        <v>Comércio de eletrodomésticos, móveis e outros artigos de residência</v>
      </c>
      <c r="E3733" s="4">
        <v>35302.261986609999</v>
      </c>
      <c r="F3733" s="4">
        <v>105138797.8697042</v>
      </c>
    </row>
    <row r="3734" spans="1:6" x14ac:dyDescent="0.3">
      <c r="A3734" s="3" t="s">
        <v>25</v>
      </c>
      <c r="B3734" s="7" t="str">
        <f>VLOOKUP(VALUE(A3734), 'DICIONÁRIO UF'!$A:$B, 2, FALSE)</f>
        <v>Santa Catarina</v>
      </c>
      <c r="C3734" s="3">
        <v>48074</v>
      </c>
      <c r="D3734" s="5" t="str">
        <f>VLOOKUP(C3734, 'DICIONÁRIO CNAES'!$A:$B, 2, FALSE)</f>
        <v>Comércio de equipamentos e produtos de tecnologias de informação e comunicação</v>
      </c>
      <c r="E3734" s="4">
        <v>16794.274360660002</v>
      </c>
      <c r="F3734" s="4">
        <v>49334433.717551</v>
      </c>
    </row>
    <row r="3735" spans="1:6" x14ac:dyDescent="0.3">
      <c r="A3735" s="3" t="s">
        <v>25</v>
      </c>
      <c r="B3735" s="7" t="str">
        <f>VLOOKUP(VALUE(A3735), 'DICIONÁRIO UF'!$A:$B, 2, FALSE)</f>
        <v>Santa Catarina</v>
      </c>
      <c r="C3735" s="3">
        <v>48075</v>
      </c>
      <c r="D3735" s="5" t="str">
        <f>VLOOKUP(C3735, 'DICIONÁRIO CNAES'!$A:$B, 2, FALSE)</f>
        <v xml:space="preserve">Comércio de máquinas, aparelhos e equipamentos, exceto eletrodomésticos </v>
      </c>
      <c r="E3735" s="4">
        <v>20166.70186076</v>
      </c>
      <c r="F3735" s="4">
        <v>54748415.472259201</v>
      </c>
    </row>
    <row r="3736" spans="1:6" x14ac:dyDescent="0.3">
      <c r="A3736" s="3" t="s">
        <v>25</v>
      </c>
      <c r="B3736" s="7" t="str">
        <f>VLOOKUP(VALUE(A3736), 'DICIONÁRIO UF'!$A:$B, 2, FALSE)</f>
        <v>Santa Catarina</v>
      </c>
      <c r="C3736" s="3">
        <v>48076</v>
      </c>
      <c r="D3736" s="5" t="str">
        <f>VLOOKUP(C3736, 'DICIONÁRIO CNAES'!$A:$B, 2, FALSE)</f>
        <v>Comércio de combustíveis sólidos, líquidos e gasosos, exceto para veículos automotores</v>
      </c>
      <c r="E3736" s="4">
        <v>3822.0363333800001</v>
      </c>
      <c r="F3736" s="4">
        <v>8390693.7262180001</v>
      </c>
    </row>
    <row r="3737" spans="1:6" x14ac:dyDescent="0.3">
      <c r="A3737" s="3" t="s">
        <v>25</v>
      </c>
      <c r="B3737" s="7" t="str">
        <f>VLOOKUP(VALUE(A3737), 'DICIONÁRIO UF'!$A:$B, 2, FALSE)</f>
        <v>Santa Catarina</v>
      </c>
      <c r="C3737" s="3">
        <v>48077</v>
      </c>
      <c r="D3737" s="5" t="str">
        <f>VLOOKUP(C3737, 'DICIONÁRIO CNAES'!$A:$B, 2, FALSE)</f>
        <v>Comércio de produtos usados</v>
      </c>
      <c r="E3737" s="4">
        <v>2277.84999083</v>
      </c>
      <c r="F3737" s="4">
        <v>4591492.9594139997</v>
      </c>
    </row>
    <row r="3738" spans="1:6" x14ac:dyDescent="0.3">
      <c r="A3738" s="3" t="s">
        <v>25</v>
      </c>
      <c r="B3738" s="7" t="str">
        <f>VLOOKUP(VALUE(A3738), 'DICIONÁRIO UF'!$A:$B, 2, FALSE)</f>
        <v>Santa Catarina</v>
      </c>
      <c r="C3738" s="3">
        <v>48078</v>
      </c>
      <c r="D3738" s="5" t="str">
        <f>VLOOKUP(C3738, 'DICIONÁRIO CNAES'!$A:$B, 2, FALSE)</f>
        <v>Comercio de residuos e sucatas</v>
      </c>
      <c r="E3738" s="4">
        <v>10155.245495020001</v>
      </c>
      <c r="F3738" s="4">
        <v>20192390.869417101</v>
      </c>
    </row>
    <row r="3739" spans="1:6" x14ac:dyDescent="0.3">
      <c r="A3739" s="3" t="s">
        <v>25</v>
      </c>
      <c r="B3739" s="7" t="str">
        <f>VLOOKUP(VALUE(A3739), 'DICIONÁRIO UF'!$A:$B, 2, FALSE)</f>
        <v>Santa Catarina</v>
      </c>
      <c r="C3739" s="3">
        <v>48079</v>
      </c>
      <c r="D3739" s="5" t="str">
        <f>VLOOKUP(C3739, 'DICIONÁRIO CNAES'!$A:$B, 2, FALSE)</f>
        <v>Comércio de produtos novos não especificados anteriormente</v>
      </c>
      <c r="E3739" s="4">
        <v>52066.946118450003</v>
      </c>
      <c r="F3739" s="4">
        <v>131891967.2958505</v>
      </c>
    </row>
    <row r="3740" spans="1:6" x14ac:dyDescent="0.3">
      <c r="A3740" s="3" t="s">
        <v>25</v>
      </c>
      <c r="B3740" s="7" t="str">
        <f>VLOOKUP(VALUE(A3740), 'DICIONÁRIO UF'!$A:$B, 2, FALSE)</f>
        <v>Santa Catarina</v>
      </c>
      <c r="C3740" s="3">
        <v>48080</v>
      </c>
      <c r="D3740" s="5" t="str">
        <f>VLOOKUP(C3740, 'DICIONÁRIO CNAES'!$A:$B, 2, FALSE)</f>
        <v>Supermercado e hipermercado</v>
      </c>
      <c r="E3740" s="4">
        <v>86447.865005379994</v>
      </c>
      <c r="F3740" s="4">
        <v>165586103.32045031</v>
      </c>
    </row>
    <row r="3741" spans="1:6" x14ac:dyDescent="0.3">
      <c r="A3741" s="3" t="s">
        <v>25</v>
      </c>
      <c r="B3741" s="7" t="str">
        <f>VLOOKUP(VALUE(A3741), 'DICIONÁRIO UF'!$A:$B, 2, FALSE)</f>
        <v>Santa Catarina</v>
      </c>
      <c r="C3741" s="3">
        <v>48090</v>
      </c>
      <c r="D3741" s="5" t="str">
        <f>VLOOKUP(C3741, 'DICIONÁRIO CNAES'!$A:$B, 2, FALSE)</f>
        <v>Lojas de departamento e outros comércios não especializados, sem predominância de produtos alimentícios</v>
      </c>
      <c r="E3741" s="4">
        <v>12858.16750077</v>
      </c>
      <c r="F3741" s="4">
        <v>23670834.324269421</v>
      </c>
    </row>
    <row r="3742" spans="1:6" x14ac:dyDescent="0.3">
      <c r="A3742" s="3" t="s">
        <v>25</v>
      </c>
      <c r="B3742" s="7" t="str">
        <f>VLOOKUP(VALUE(A3742), 'DICIONÁRIO UF'!$A:$B, 2, FALSE)</f>
        <v>Santa Catarina</v>
      </c>
      <c r="C3742" s="3">
        <v>48100</v>
      </c>
      <c r="D3742" s="5" t="str">
        <f>VLOOKUP(C3742, 'DICIONÁRIO CNAES'!$A:$B, 2, FALSE)</f>
        <v>Comércio ambulante e feiras</v>
      </c>
      <c r="E3742" s="4">
        <v>12947.453445380001</v>
      </c>
      <c r="F3742" s="4">
        <v>22483858.548085</v>
      </c>
    </row>
    <row r="3743" spans="1:6" x14ac:dyDescent="0.3">
      <c r="A3743" s="3" t="s">
        <v>25</v>
      </c>
      <c r="B3743" s="7" t="str">
        <f>VLOOKUP(VALUE(A3743), 'DICIONÁRIO UF'!$A:$B, 2, FALSE)</f>
        <v>Santa Catarina</v>
      </c>
      <c r="C3743" s="3">
        <v>49010</v>
      </c>
      <c r="D3743" s="5" t="str">
        <f>VLOOKUP(C3743, 'DICIONÁRIO CNAES'!$A:$B, 2, FALSE)</f>
        <v>Transporte ferroviário e metroferroviário</v>
      </c>
      <c r="E3743" s="4">
        <v>524.55491927000003</v>
      </c>
      <c r="F3743" s="4">
        <v>1419496.23233</v>
      </c>
    </row>
    <row r="3744" spans="1:6" x14ac:dyDescent="0.3">
      <c r="A3744" s="3" t="s">
        <v>25</v>
      </c>
      <c r="B3744" s="7" t="str">
        <f>VLOOKUP(VALUE(A3744), 'DICIONÁRIO UF'!$A:$B, 2, FALSE)</f>
        <v>Santa Catarina</v>
      </c>
      <c r="C3744" s="3">
        <v>49030</v>
      </c>
      <c r="D3744" s="5" t="str">
        <f>VLOOKUP(C3744, 'DICIONÁRIO CNAES'!$A:$B, 2, FALSE)</f>
        <v>Transporte rodoviário de passageiros</v>
      </c>
      <c r="E3744" s="4">
        <v>32768.90968194</v>
      </c>
      <c r="F3744" s="4">
        <v>83832609.314637095</v>
      </c>
    </row>
    <row r="3745" spans="1:6" x14ac:dyDescent="0.3">
      <c r="A3745" s="3" t="s">
        <v>25</v>
      </c>
      <c r="B3745" s="7" t="str">
        <f>VLOOKUP(VALUE(A3745), 'DICIONÁRIO UF'!$A:$B, 2, FALSE)</f>
        <v>Santa Catarina</v>
      </c>
      <c r="C3745" s="3">
        <v>49040</v>
      </c>
      <c r="D3745" s="5" t="str">
        <f>VLOOKUP(C3745, 'DICIONÁRIO CNAES'!$A:$B, 2, FALSE)</f>
        <v>Transporte rodoviário de carga</v>
      </c>
      <c r="E3745" s="4">
        <v>108852.00507109999</v>
      </c>
      <c r="F3745" s="4">
        <v>292597416.43882728</v>
      </c>
    </row>
    <row r="3746" spans="1:6" x14ac:dyDescent="0.3">
      <c r="A3746" s="3" t="s">
        <v>25</v>
      </c>
      <c r="B3746" s="7" t="str">
        <f>VLOOKUP(VALUE(A3746), 'DICIONÁRIO UF'!$A:$B, 2, FALSE)</f>
        <v>Santa Catarina</v>
      </c>
      <c r="C3746" s="3">
        <v>49090</v>
      </c>
      <c r="D3746" s="5" t="str">
        <f>VLOOKUP(C3746, 'DICIONÁRIO CNAES'!$A:$B, 2, FALSE)</f>
        <v>Outros transportes terrestres</v>
      </c>
      <c r="E3746" s="4">
        <v>336.30755857999998</v>
      </c>
      <c r="F3746" s="4">
        <v>5044613.3786999993</v>
      </c>
    </row>
    <row r="3747" spans="1:6" x14ac:dyDescent="0.3">
      <c r="A3747" s="3" t="s">
        <v>25</v>
      </c>
      <c r="B3747" s="7" t="str">
        <f>VLOOKUP(VALUE(A3747), 'DICIONÁRIO UF'!$A:$B, 2, FALSE)</f>
        <v>Santa Catarina</v>
      </c>
      <c r="C3747" s="3">
        <v>50000</v>
      </c>
      <c r="D3747" s="5" t="str">
        <f>VLOOKUP(C3747, 'DICIONÁRIO CNAES'!$A:$B, 2, FALSE)</f>
        <v>Transporte Aquaviário</v>
      </c>
      <c r="E3747" s="4">
        <v>2756.1388816399999</v>
      </c>
      <c r="F3747" s="4">
        <v>10098688.134221001</v>
      </c>
    </row>
    <row r="3748" spans="1:6" x14ac:dyDescent="0.3">
      <c r="A3748" s="3" t="s">
        <v>25</v>
      </c>
      <c r="B3748" s="7" t="str">
        <f>VLOOKUP(VALUE(A3748), 'DICIONÁRIO UF'!$A:$B, 2, FALSE)</f>
        <v>Santa Catarina</v>
      </c>
      <c r="C3748" s="3">
        <v>51000</v>
      </c>
      <c r="D3748" s="5" t="str">
        <f>VLOOKUP(C3748, 'DICIONÁRIO CNAES'!$A:$B, 2, FALSE)</f>
        <v>Transporte Aéreo</v>
      </c>
      <c r="E3748" s="4">
        <v>984.73498533999998</v>
      </c>
      <c r="F3748" s="4">
        <v>2344521.6759700002</v>
      </c>
    </row>
    <row r="3749" spans="1:6" x14ac:dyDescent="0.3">
      <c r="A3749" s="3" t="s">
        <v>25</v>
      </c>
      <c r="B3749" s="7" t="str">
        <f>VLOOKUP(VALUE(A3749), 'DICIONÁRIO UF'!$A:$B, 2, FALSE)</f>
        <v>Santa Catarina</v>
      </c>
      <c r="C3749" s="3">
        <v>52010</v>
      </c>
      <c r="D3749" s="5" t="str">
        <f>VLOOKUP(C3749, 'DICIONÁRIO CNAES'!$A:$B, 2, FALSE)</f>
        <v>Armazenamento, carga e descarga</v>
      </c>
      <c r="E3749" s="4">
        <v>5270.77344292</v>
      </c>
      <c r="F3749" s="4">
        <v>14259112.7853045</v>
      </c>
    </row>
    <row r="3750" spans="1:6" x14ac:dyDescent="0.3">
      <c r="A3750" s="3" t="s">
        <v>25</v>
      </c>
      <c r="B3750" s="7" t="str">
        <f>VLOOKUP(VALUE(A3750), 'DICIONÁRIO UF'!$A:$B, 2, FALSE)</f>
        <v>Santa Catarina</v>
      </c>
      <c r="C3750" s="3">
        <v>52020</v>
      </c>
      <c r="D3750" s="5" t="str">
        <f>VLOOKUP(C3750, 'DICIONÁRIO CNAES'!$A:$B, 2, FALSE)</f>
        <v xml:space="preserve">Atividades auxiliares dos transportes e atividades relacionadas à organização do transporte de carga </v>
      </c>
      <c r="E3750" s="4">
        <v>23591.686733809998</v>
      </c>
      <c r="F3750" s="4">
        <v>56775738.086718231</v>
      </c>
    </row>
    <row r="3751" spans="1:6" x14ac:dyDescent="0.3">
      <c r="A3751" s="3" t="s">
        <v>25</v>
      </c>
      <c r="B3751" s="7" t="str">
        <f>VLOOKUP(VALUE(A3751), 'DICIONÁRIO UF'!$A:$B, 2, FALSE)</f>
        <v>Santa Catarina</v>
      </c>
      <c r="C3751" s="3">
        <v>53001</v>
      </c>
      <c r="D3751" s="5" t="str">
        <f>VLOOKUP(C3751, 'DICIONÁRIO CNAES'!$A:$B, 2, FALSE)</f>
        <v>Atividades de Correio</v>
      </c>
      <c r="E3751" s="4">
        <v>3955.2720368499999</v>
      </c>
      <c r="F3751" s="4">
        <v>13713926.468874</v>
      </c>
    </row>
    <row r="3752" spans="1:6" x14ac:dyDescent="0.3">
      <c r="A3752" s="3" t="s">
        <v>25</v>
      </c>
      <c r="B3752" s="7" t="str">
        <f>VLOOKUP(VALUE(A3752), 'DICIONÁRIO UF'!$A:$B, 2, FALSE)</f>
        <v>Santa Catarina</v>
      </c>
      <c r="C3752" s="3">
        <v>53002</v>
      </c>
      <c r="D3752" s="5" t="str">
        <f>VLOOKUP(C3752, 'DICIONÁRIO CNAES'!$A:$B, 2, FALSE)</f>
        <v>Atividades de malote e de entrega</v>
      </c>
      <c r="E3752" s="4">
        <v>18129.101620130001</v>
      </c>
      <c r="F3752" s="4">
        <v>40698253.187683597</v>
      </c>
    </row>
    <row r="3753" spans="1:6" x14ac:dyDescent="0.3">
      <c r="A3753" s="3" t="s">
        <v>25</v>
      </c>
      <c r="B3753" s="7" t="str">
        <f>VLOOKUP(VALUE(A3753), 'DICIONÁRIO UF'!$A:$B, 2, FALSE)</f>
        <v>Santa Catarina</v>
      </c>
      <c r="C3753" s="3">
        <v>55000</v>
      </c>
      <c r="D3753" s="5" t="str">
        <f>VLOOKUP(C3753, 'DICIONÁRIO CNAES'!$A:$B, 2, FALSE)</f>
        <v>Alojamento</v>
      </c>
      <c r="E3753" s="4">
        <v>12102.4039639</v>
      </c>
      <c r="F3753" s="4">
        <v>24921680.711990278</v>
      </c>
    </row>
    <row r="3754" spans="1:6" x14ac:dyDescent="0.3">
      <c r="A3754" s="3" t="s">
        <v>25</v>
      </c>
      <c r="B3754" s="7" t="str">
        <f>VLOOKUP(VALUE(A3754), 'DICIONÁRIO UF'!$A:$B, 2, FALSE)</f>
        <v>Santa Catarina</v>
      </c>
      <c r="C3754" s="3">
        <v>56011</v>
      </c>
      <c r="D3754" s="5" t="str">
        <f>VLOOKUP(C3754, 'DICIONÁRIO CNAES'!$A:$B, 2, FALSE)</f>
        <v>Restaurantes e outros estabelecimentos de serviços de alimentação e bebidas</v>
      </c>
      <c r="E3754" s="4">
        <v>107450.85623789</v>
      </c>
      <c r="F3754" s="4">
        <v>241235124.61331251</v>
      </c>
    </row>
    <row r="3755" spans="1:6" x14ac:dyDescent="0.3">
      <c r="A3755" s="3" t="s">
        <v>25</v>
      </c>
      <c r="B3755" s="7" t="str">
        <f>VLOOKUP(VALUE(A3755), 'DICIONÁRIO UF'!$A:$B, 2, FALSE)</f>
        <v>Santa Catarina</v>
      </c>
      <c r="C3755" s="3">
        <v>56012</v>
      </c>
      <c r="D3755" s="5" t="str">
        <f>VLOOKUP(C3755, 'DICIONÁRIO CNAES'!$A:$B, 2, FALSE)</f>
        <v>Serviços de catering, bufê e outros serviços de comida preparada</v>
      </c>
      <c r="E3755" s="4">
        <v>14644.94569069</v>
      </c>
      <c r="F3755" s="4">
        <v>24959371.74319575</v>
      </c>
    </row>
    <row r="3756" spans="1:6" x14ac:dyDescent="0.3">
      <c r="A3756" s="3" t="s">
        <v>25</v>
      </c>
      <c r="B3756" s="7" t="str">
        <f>VLOOKUP(VALUE(A3756), 'DICIONÁRIO UF'!$A:$B, 2, FALSE)</f>
        <v>Santa Catarina</v>
      </c>
      <c r="C3756" s="3">
        <v>56020</v>
      </c>
      <c r="D3756" s="5" t="str">
        <f>VLOOKUP(C3756, 'DICIONÁRIO CNAES'!$A:$B, 2, FALSE)</f>
        <v>Serviços ambulantes de alimentação</v>
      </c>
      <c r="E3756" s="4">
        <v>3870.7655869599998</v>
      </c>
      <c r="F3756" s="4">
        <v>7004215.1597589999</v>
      </c>
    </row>
    <row r="3757" spans="1:6" x14ac:dyDescent="0.3">
      <c r="A3757" s="3" t="s">
        <v>25</v>
      </c>
      <c r="B3757" s="7" t="str">
        <f>VLOOKUP(VALUE(A3757), 'DICIONÁRIO UF'!$A:$B, 2, FALSE)</f>
        <v>Santa Catarina</v>
      </c>
      <c r="C3757" s="3">
        <v>58000</v>
      </c>
      <c r="D3757" s="5" t="str">
        <f>VLOOKUP(C3757, 'DICIONÁRIO CNAES'!$A:$B, 2, FALSE)</f>
        <v xml:space="preserve">Edição e Edição integrada à impressão </v>
      </c>
      <c r="E3757" s="4">
        <v>1242.4407580699999</v>
      </c>
      <c r="F3757" s="4">
        <v>2843726.942214</v>
      </c>
    </row>
    <row r="3758" spans="1:6" x14ac:dyDescent="0.3">
      <c r="A3758" s="3" t="s">
        <v>25</v>
      </c>
      <c r="B3758" s="7" t="str">
        <f>VLOOKUP(VALUE(A3758), 'DICIONÁRIO UF'!$A:$B, 2, FALSE)</f>
        <v>Santa Catarina</v>
      </c>
      <c r="C3758" s="3">
        <v>59000</v>
      </c>
      <c r="D3758" s="5" t="str">
        <f>VLOOKUP(C3758, 'DICIONÁRIO CNAES'!$A:$B, 2, FALSE)</f>
        <v>Atividades cinematográficas, produção de vídeos e de programas de televisão, gravação de som e de música</v>
      </c>
      <c r="E3758" s="4">
        <v>1539.32403636</v>
      </c>
      <c r="F3758" s="4">
        <v>5009944.9447929999</v>
      </c>
    </row>
    <row r="3759" spans="1:6" x14ac:dyDescent="0.3">
      <c r="A3759" s="3" t="s">
        <v>25</v>
      </c>
      <c r="B3759" s="7" t="str">
        <f>VLOOKUP(VALUE(A3759), 'DICIONÁRIO UF'!$A:$B, 2, FALSE)</f>
        <v>Santa Catarina</v>
      </c>
      <c r="C3759" s="3">
        <v>60001</v>
      </c>
      <c r="D3759" s="5" t="str">
        <f>VLOOKUP(C3759, 'DICIONÁRIO CNAES'!$A:$B, 2, FALSE)</f>
        <v>Atividades de rádio</v>
      </c>
      <c r="E3759" s="4">
        <v>2759.5654898100001</v>
      </c>
      <c r="F3759" s="4">
        <v>11176176.129284</v>
      </c>
    </row>
    <row r="3760" spans="1:6" x14ac:dyDescent="0.3">
      <c r="A3760" s="3" t="s">
        <v>25</v>
      </c>
      <c r="B3760" s="7" t="str">
        <f>VLOOKUP(VALUE(A3760), 'DICIONÁRIO UF'!$A:$B, 2, FALSE)</f>
        <v>Santa Catarina</v>
      </c>
      <c r="C3760" s="3">
        <v>60002</v>
      </c>
      <c r="D3760" s="5" t="str">
        <f>VLOOKUP(C3760, 'DICIONÁRIO CNAES'!$A:$B, 2, FALSE)</f>
        <v>Atividades de televisão</v>
      </c>
      <c r="E3760" s="4">
        <v>216.37422900000001</v>
      </c>
      <c r="F3760" s="4">
        <v>2268215.92348648</v>
      </c>
    </row>
    <row r="3761" spans="1:6" x14ac:dyDescent="0.3">
      <c r="A3761" s="3" t="s">
        <v>25</v>
      </c>
      <c r="B3761" s="7" t="str">
        <f>VLOOKUP(VALUE(A3761), 'DICIONÁRIO UF'!$A:$B, 2, FALSE)</f>
        <v>Santa Catarina</v>
      </c>
      <c r="C3761" s="3">
        <v>61000</v>
      </c>
      <c r="D3761" s="5" t="str">
        <f>VLOOKUP(C3761, 'DICIONÁRIO CNAES'!$A:$B, 2, FALSE)</f>
        <v>Telecomunicações</v>
      </c>
      <c r="E3761" s="4">
        <v>13524.643909320001</v>
      </c>
      <c r="F3761" s="4">
        <v>38410366.8719218</v>
      </c>
    </row>
    <row r="3762" spans="1:6" x14ac:dyDescent="0.3">
      <c r="A3762" s="3" t="s">
        <v>25</v>
      </c>
      <c r="B3762" s="7" t="str">
        <f>VLOOKUP(VALUE(A3762), 'DICIONÁRIO UF'!$A:$B, 2, FALSE)</f>
        <v>Santa Catarina</v>
      </c>
      <c r="C3762" s="3">
        <v>62000</v>
      </c>
      <c r="D3762" s="5" t="str">
        <f>VLOOKUP(C3762, 'DICIONÁRIO CNAES'!$A:$B, 2, FALSE)</f>
        <v>Atividades dos serviços de tecnologia da informação</v>
      </c>
      <c r="E3762" s="4">
        <v>58397.760821850003</v>
      </c>
      <c r="F3762" s="4">
        <v>311619632.7021299</v>
      </c>
    </row>
    <row r="3763" spans="1:6" x14ac:dyDescent="0.3">
      <c r="A3763" s="3" t="s">
        <v>25</v>
      </c>
      <c r="B3763" s="7" t="str">
        <f>VLOOKUP(VALUE(A3763), 'DICIONÁRIO UF'!$A:$B, 2, FALSE)</f>
        <v>Santa Catarina</v>
      </c>
      <c r="C3763" s="3">
        <v>63000</v>
      </c>
      <c r="D3763" s="5" t="str">
        <f>VLOOKUP(C3763, 'DICIONÁRIO CNAES'!$A:$B, 2, FALSE)</f>
        <v>Atividades de prestação de serviços de informação</v>
      </c>
      <c r="E3763" s="4">
        <v>1775.6221147000001</v>
      </c>
      <c r="F3763" s="4">
        <v>10066914.597275</v>
      </c>
    </row>
    <row r="3764" spans="1:6" x14ac:dyDescent="0.3">
      <c r="A3764" s="3" t="s">
        <v>25</v>
      </c>
      <c r="B3764" s="7" t="str">
        <f>VLOOKUP(VALUE(A3764), 'DICIONÁRIO UF'!$A:$B, 2, FALSE)</f>
        <v>Santa Catarina</v>
      </c>
      <c r="C3764" s="3">
        <v>64000</v>
      </c>
      <c r="D3764" s="5" t="str">
        <f>VLOOKUP(C3764, 'DICIONÁRIO CNAES'!$A:$B, 2, FALSE)</f>
        <v>Serviços financeiros</v>
      </c>
      <c r="E3764" s="4">
        <v>35538.28070969</v>
      </c>
      <c r="F3764" s="4">
        <v>159734377.11579171</v>
      </c>
    </row>
    <row r="3765" spans="1:6" x14ac:dyDescent="0.3">
      <c r="A3765" s="3" t="s">
        <v>25</v>
      </c>
      <c r="B3765" s="7" t="str">
        <f>VLOOKUP(VALUE(A3765), 'DICIONÁRIO UF'!$A:$B, 2, FALSE)</f>
        <v>Santa Catarina</v>
      </c>
      <c r="C3765" s="3">
        <v>65000</v>
      </c>
      <c r="D3765" s="5" t="str">
        <f>VLOOKUP(C3765, 'DICIONÁRIO CNAES'!$A:$B, 2, FALSE)</f>
        <v>Seguros e previdência privada</v>
      </c>
      <c r="E3765" s="4">
        <v>4948.2157330700002</v>
      </c>
      <c r="F3765" s="4">
        <v>11674493.934933521</v>
      </c>
    </row>
    <row r="3766" spans="1:6" x14ac:dyDescent="0.3">
      <c r="A3766" s="3" t="s">
        <v>25</v>
      </c>
      <c r="B3766" s="7" t="str">
        <f>VLOOKUP(VALUE(A3766), 'DICIONÁRIO UF'!$A:$B, 2, FALSE)</f>
        <v>Santa Catarina</v>
      </c>
      <c r="C3766" s="3">
        <v>66001</v>
      </c>
      <c r="D3766" s="5" t="str">
        <f>VLOOKUP(C3766, 'DICIONÁRIO CNAES'!$A:$B, 2, FALSE)</f>
        <v>Atividades auxiliares dos serviços financeiros</v>
      </c>
      <c r="E3766" s="4">
        <v>10822.87027268</v>
      </c>
      <c r="F3766" s="4">
        <v>51383343.401010998</v>
      </c>
    </row>
    <row r="3767" spans="1:6" x14ac:dyDescent="0.3">
      <c r="A3767" s="3" t="s">
        <v>25</v>
      </c>
      <c r="B3767" s="7" t="str">
        <f>VLOOKUP(VALUE(A3767), 'DICIONÁRIO UF'!$A:$B, 2, FALSE)</f>
        <v>Santa Catarina</v>
      </c>
      <c r="C3767" s="3">
        <v>66002</v>
      </c>
      <c r="D3767" s="5" t="str">
        <f>VLOOKUP(C3767, 'DICIONÁRIO CNAES'!$A:$B, 2, FALSE)</f>
        <v>Atividades auxiliares dos seguros, da previdência complementar e dos planos de saúde</v>
      </c>
      <c r="E3767" s="4">
        <v>7537.2364272300001</v>
      </c>
      <c r="F3767" s="4">
        <v>35047249.952189997</v>
      </c>
    </row>
    <row r="3768" spans="1:6" x14ac:dyDescent="0.3">
      <c r="A3768" s="3" t="s">
        <v>25</v>
      </c>
      <c r="B3768" s="7" t="str">
        <f>VLOOKUP(VALUE(A3768), 'DICIONÁRIO UF'!$A:$B, 2, FALSE)</f>
        <v>Santa Catarina</v>
      </c>
      <c r="C3768" s="3">
        <v>68000</v>
      </c>
      <c r="D3768" s="5" t="str">
        <f>VLOOKUP(C3768, 'DICIONÁRIO CNAES'!$A:$B, 2, FALSE)</f>
        <v>Atividades imobiliárias</v>
      </c>
      <c r="E3768" s="4">
        <v>29078.057670549999</v>
      </c>
      <c r="F3768" s="4">
        <v>99645558.335589394</v>
      </c>
    </row>
    <row r="3769" spans="1:6" x14ac:dyDescent="0.3">
      <c r="A3769" s="3" t="s">
        <v>25</v>
      </c>
      <c r="B3769" s="7" t="str">
        <f>VLOOKUP(VALUE(A3769), 'DICIONÁRIO UF'!$A:$B, 2, FALSE)</f>
        <v>Santa Catarina</v>
      </c>
      <c r="C3769" s="3">
        <v>69000</v>
      </c>
      <c r="D3769" s="5" t="str">
        <f>VLOOKUP(C3769, 'DICIONÁRIO CNAES'!$A:$B, 2, FALSE)</f>
        <v xml:space="preserve">Atividades jurídicas, de contabilidade e de auditoria </v>
      </c>
      <c r="E3769" s="4">
        <v>82815.149653200002</v>
      </c>
      <c r="F3769" s="4">
        <v>302825053.93007427</v>
      </c>
    </row>
    <row r="3770" spans="1:6" x14ac:dyDescent="0.3">
      <c r="A3770" s="3" t="s">
        <v>25</v>
      </c>
      <c r="B3770" s="7" t="str">
        <f>VLOOKUP(VALUE(A3770), 'DICIONÁRIO UF'!$A:$B, 2, FALSE)</f>
        <v>Santa Catarina</v>
      </c>
      <c r="C3770" s="3">
        <v>70000</v>
      </c>
      <c r="D3770" s="5" t="str">
        <f>VLOOKUP(C3770, 'DICIONÁRIO CNAES'!$A:$B, 2, FALSE)</f>
        <v>Atividades de consultoria em gestão empresarial</v>
      </c>
      <c r="E3770" s="4">
        <v>5254.9740627900001</v>
      </c>
      <c r="F3770" s="4">
        <v>25704242.793295659</v>
      </c>
    </row>
    <row r="3771" spans="1:6" x14ac:dyDescent="0.3">
      <c r="A3771" s="3" t="s">
        <v>25</v>
      </c>
      <c r="B3771" s="7" t="str">
        <f>VLOOKUP(VALUE(A3771), 'DICIONÁRIO UF'!$A:$B, 2, FALSE)</f>
        <v>Santa Catarina</v>
      </c>
      <c r="C3771" s="3">
        <v>71000</v>
      </c>
      <c r="D3771" s="5" t="str">
        <f>VLOOKUP(C3771, 'DICIONÁRIO CNAES'!$A:$B, 2, FALSE)</f>
        <v>Serviços de arquitetura e engenharia e atividades técnicas relacionadas; Testes e análises técnicas</v>
      </c>
      <c r="E3771" s="4">
        <v>34864.43728133</v>
      </c>
      <c r="F3771" s="4">
        <v>130240568.007704</v>
      </c>
    </row>
    <row r="3772" spans="1:6" x14ac:dyDescent="0.3">
      <c r="A3772" s="3" t="s">
        <v>25</v>
      </c>
      <c r="B3772" s="7" t="str">
        <f>VLOOKUP(VALUE(A3772), 'DICIONÁRIO UF'!$A:$B, 2, FALSE)</f>
        <v>Santa Catarina</v>
      </c>
      <c r="C3772" s="3">
        <v>72000</v>
      </c>
      <c r="D3772" s="5" t="str">
        <f>VLOOKUP(C3772, 'DICIONÁRIO CNAES'!$A:$B, 2, FALSE)</f>
        <v>Pesquisa e desenvolvimento científico</v>
      </c>
      <c r="E3772" s="4">
        <v>2856.7915454399999</v>
      </c>
      <c r="F3772" s="4">
        <v>13630672.496610001</v>
      </c>
    </row>
    <row r="3773" spans="1:6" x14ac:dyDescent="0.3">
      <c r="A3773" s="3" t="s">
        <v>25</v>
      </c>
      <c r="B3773" s="7" t="str">
        <f>VLOOKUP(VALUE(A3773), 'DICIONÁRIO UF'!$A:$B, 2, FALSE)</f>
        <v>Santa Catarina</v>
      </c>
      <c r="C3773" s="3">
        <v>73010</v>
      </c>
      <c r="D3773" s="5" t="str">
        <f>VLOOKUP(C3773, 'DICIONÁRIO CNAES'!$A:$B, 2, FALSE)</f>
        <v>Publicidade</v>
      </c>
      <c r="E3773" s="4">
        <v>15806.32131958</v>
      </c>
      <c r="F3773" s="4">
        <v>55131147.711779997</v>
      </c>
    </row>
    <row r="3774" spans="1:6" x14ac:dyDescent="0.3">
      <c r="A3774" s="3" t="s">
        <v>25</v>
      </c>
      <c r="B3774" s="7" t="str">
        <f>VLOOKUP(VALUE(A3774), 'DICIONÁRIO UF'!$A:$B, 2, FALSE)</f>
        <v>Santa Catarina</v>
      </c>
      <c r="C3774" s="3">
        <v>73020</v>
      </c>
      <c r="D3774" s="5" t="str">
        <f>VLOOKUP(C3774, 'DICIONÁRIO CNAES'!$A:$B, 2, FALSE)</f>
        <v>Pesquisas de mercado e opinião pública</v>
      </c>
      <c r="E3774" s="4">
        <v>382.36218607000001</v>
      </c>
      <c r="F3774" s="4">
        <v>1147086.5582099999</v>
      </c>
    </row>
    <row r="3775" spans="1:6" x14ac:dyDescent="0.3">
      <c r="A3775" s="3" t="s">
        <v>25</v>
      </c>
      <c r="B3775" s="7" t="str">
        <f>VLOOKUP(VALUE(A3775), 'DICIONÁRIO UF'!$A:$B, 2, FALSE)</f>
        <v>Santa Catarina</v>
      </c>
      <c r="C3775" s="3">
        <v>74000</v>
      </c>
      <c r="D3775" s="5" t="str">
        <f>VLOOKUP(C3775, 'DICIONÁRIO CNAES'!$A:$B, 2, FALSE)</f>
        <v>Outras atividades profissionais, científicas e técnicas não especificadas anteriormente</v>
      </c>
      <c r="E3775" s="4">
        <v>16561.954960949999</v>
      </c>
      <c r="F3775" s="4">
        <v>60685249.830629997</v>
      </c>
    </row>
    <row r="3776" spans="1:6" x14ac:dyDescent="0.3">
      <c r="A3776" s="3" t="s">
        <v>25</v>
      </c>
      <c r="B3776" s="7" t="str">
        <f>VLOOKUP(VALUE(A3776), 'DICIONÁRIO UF'!$A:$B, 2, FALSE)</f>
        <v>Santa Catarina</v>
      </c>
      <c r="C3776" s="3">
        <v>75000</v>
      </c>
      <c r="D3776" s="5" t="str">
        <f>VLOOKUP(C3776, 'DICIONÁRIO CNAES'!$A:$B, 2, FALSE)</f>
        <v>Atividades veterinárias</v>
      </c>
      <c r="E3776" s="4">
        <v>11748.443640699999</v>
      </c>
      <c r="F3776" s="4">
        <v>39004418.453087702</v>
      </c>
    </row>
    <row r="3777" spans="1:6" x14ac:dyDescent="0.3">
      <c r="A3777" s="3" t="s">
        <v>25</v>
      </c>
      <c r="B3777" s="7" t="str">
        <f>VLOOKUP(VALUE(A3777), 'DICIONÁRIO UF'!$A:$B, 2, FALSE)</f>
        <v>Santa Catarina</v>
      </c>
      <c r="C3777" s="3">
        <v>77010</v>
      </c>
      <c r="D3777" s="5" t="str">
        <f>VLOOKUP(C3777, 'DICIONÁRIO CNAES'!$A:$B, 2, FALSE)</f>
        <v>Aluguel de objetos pessoais e domésticos</v>
      </c>
      <c r="E3777" s="4">
        <v>958.36981739999999</v>
      </c>
      <c r="F3777" s="4">
        <v>4043800.8219789998</v>
      </c>
    </row>
    <row r="3778" spans="1:6" x14ac:dyDescent="0.3">
      <c r="A3778" s="3" t="s">
        <v>25</v>
      </c>
      <c r="B3778" s="7" t="str">
        <f>VLOOKUP(VALUE(A3778), 'DICIONÁRIO UF'!$A:$B, 2, FALSE)</f>
        <v>Santa Catarina</v>
      </c>
      <c r="C3778" s="3">
        <v>77020</v>
      </c>
      <c r="D3778" s="5" t="str">
        <f>VLOOKUP(C3778, 'DICIONÁRIO CNAES'!$A:$B, 2, FALSE)</f>
        <v>Aluguel de meios de transportes, maquinas e equipamentos sem operador e gestão de ativos intangíveis não financeiros</v>
      </c>
      <c r="E3778" s="4">
        <v>1446.3643468400001</v>
      </c>
      <c r="F3778" s="4">
        <v>4219993.7689818814</v>
      </c>
    </row>
    <row r="3779" spans="1:6" x14ac:dyDescent="0.3">
      <c r="A3779" s="3" t="s">
        <v>25</v>
      </c>
      <c r="B3779" s="7" t="str">
        <f>VLOOKUP(VALUE(A3779), 'DICIONÁRIO UF'!$A:$B, 2, FALSE)</f>
        <v>Santa Catarina</v>
      </c>
      <c r="C3779" s="3">
        <v>78000</v>
      </c>
      <c r="D3779" s="5" t="str">
        <f>VLOOKUP(C3779, 'DICIONÁRIO CNAES'!$A:$B, 2, FALSE)</f>
        <v>Seleção, agenciamento e locação de mão-de-obra</v>
      </c>
      <c r="E3779" s="4">
        <v>14665.06301407</v>
      </c>
      <c r="F3779" s="4">
        <v>41197744.364644803</v>
      </c>
    </row>
    <row r="3780" spans="1:6" x14ac:dyDescent="0.3">
      <c r="A3780" s="3" t="s">
        <v>25</v>
      </c>
      <c r="B3780" s="7" t="str">
        <f>VLOOKUP(VALUE(A3780), 'DICIONÁRIO UF'!$A:$B, 2, FALSE)</f>
        <v>Santa Catarina</v>
      </c>
      <c r="C3780" s="3">
        <v>79000</v>
      </c>
      <c r="D3780" s="5" t="str">
        <f>VLOOKUP(C3780, 'DICIONÁRIO CNAES'!$A:$B, 2, FALSE)</f>
        <v>Agências de viagens, operadores turísticos e serviços de reservas</v>
      </c>
      <c r="E3780" s="4">
        <v>5741.9983923099999</v>
      </c>
      <c r="F3780" s="4">
        <v>22677842.968409501</v>
      </c>
    </row>
    <row r="3781" spans="1:6" x14ac:dyDescent="0.3">
      <c r="A3781" s="3" t="s">
        <v>25</v>
      </c>
      <c r="B3781" s="7" t="str">
        <f>VLOOKUP(VALUE(A3781), 'DICIONÁRIO UF'!$A:$B, 2, FALSE)</f>
        <v>Santa Catarina</v>
      </c>
      <c r="C3781" s="3">
        <v>80000</v>
      </c>
      <c r="D3781" s="5" t="str">
        <f>VLOOKUP(C3781, 'DICIONÁRIO CNAES'!$A:$B, 2, FALSE)</f>
        <v>Atividades de vigilância, segurança, transporte de valores e investigação</v>
      </c>
      <c r="E3781" s="4">
        <v>34164.429555679999</v>
      </c>
      <c r="F3781" s="4">
        <v>68887635.485311925</v>
      </c>
    </row>
    <row r="3782" spans="1:6" x14ac:dyDescent="0.3">
      <c r="A3782" s="3" t="s">
        <v>25</v>
      </c>
      <c r="B3782" s="7" t="str">
        <f>VLOOKUP(VALUE(A3782), 'DICIONÁRIO UF'!$A:$B, 2, FALSE)</f>
        <v>Santa Catarina</v>
      </c>
      <c r="C3782" s="3">
        <v>81011</v>
      </c>
      <c r="D3782" s="5" t="str">
        <f>VLOOKUP(C3782, 'DICIONÁRIO CNAES'!$A:$B, 2, FALSE)</f>
        <v>Serviços de limpeza e de apoio a edifícios, exceto condomínios prediais</v>
      </c>
      <c r="E3782" s="4">
        <v>33082.8802096</v>
      </c>
      <c r="F3782" s="4">
        <v>51723526.820651241</v>
      </c>
    </row>
    <row r="3783" spans="1:6" x14ac:dyDescent="0.3">
      <c r="A3783" s="3" t="s">
        <v>25</v>
      </c>
      <c r="B3783" s="7" t="str">
        <f>VLOOKUP(VALUE(A3783), 'DICIONÁRIO UF'!$A:$B, 2, FALSE)</f>
        <v>Santa Catarina</v>
      </c>
      <c r="C3783" s="3">
        <v>81012</v>
      </c>
      <c r="D3783" s="5" t="str">
        <f>VLOOKUP(C3783, 'DICIONÁRIO CNAES'!$A:$B, 2, FALSE)</f>
        <v>Condomínios prediais</v>
      </c>
      <c r="E3783" s="4">
        <v>8210.7910218399993</v>
      </c>
      <c r="F3783" s="4">
        <v>15003138.00388216</v>
      </c>
    </row>
    <row r="3784" spans="1:6" x14ac:dyDescent="0.3">
      <c r="A3784" s="3" t="s">
        <v>25</v>
      </c>
      <c r="B3784" s="7" t="str">
        <f>VLOOKUP(VALUE(A3784), 'DICIONÁRIO UF'!$A:$B, 2, FALSE)</f>
        <v>Santa Catarina</v>
      </c>
      <c r="C3784" s="3">
        <v>81020</v>
      </c>
      <c r="D3784" s="5" t="str">
        <f>VLOOKUP(C3784, 'DICIONÁRIO CNAES'!$A:$B, 2, FALSE)</f>
        <v>Atividades paisagísticas</v>
      </c>
      <c r="E3784" s="4">
        <v>7490.3308717199998</v>
      </c>
      <c r="F3784" s="4">
        <v>11851044.452203</v>
      </c>
    </row>
    <row r="3785" spans="1:6" x14ac:dyDescent="0.3">
      <c r="A3785" s="3" t="s">
        <v>25</v>
      </c>
      <c r="B3785" s="7" t="str">
        <f>VLOOKUP(VALUE(A3785), 'DICIONÁRIO UF'!$A:$B, 2, FALSE)</f>
        <v>Santa Catarina</v>
      </c>
      <c r="C3785" s="3">
        <v>82001</v>
      </c>
      <c r="D3785" s="5" t="str">
        <f>VLOOKUP(C3785, 'DICIONÁRIO CNAES'!$A:$B, 2, FALSE)</f>
        <v>Serviços de escritório e apoio administrativo</v>
      </c>
      <c r="E3785" s="4">
        <v>2198.4552591400002</v>
      </c>
      <c r="F3785" s="4">
        <v>7529325.6151769999</v>
      </c>
    </row>
    <row r="3786" spans="1:6" x14ac:dyDescent="0.3">
      <c r="A3786" s="3" t="s">
        <v>25</v>
      </c>
      <c r="B3786" s="7" t="str">
        <f>VLOOKUP(VALUE(A3786), 'DICIONÁRIO UF'!$A:$B, 2, FALSE)</f>
        <v>Santa Catarina</v>
      </c>
      <c r="C3786" s="3">
        <v>82002</v>
      </c>
      <c r="D3786" s="5" t="str">
        <f>VLOOKUP(C3786, 'DICIONÁRIO CNAES'!$A:$B, 2, FALSE)</f>
        <v>Atividades de teleatendimento</v>
      </c>
      <c r="E3786" s="4">
        <v>5179.6622727399999</v>
      </c>
      <c r="F3786" s="4">
        <v>10692304.554710999</v>
      </c>
    </row>
    <row r="3787" spans="1:6" x14ac:dyDescent="0.3">
      <c r="A3787" s="3" t="s">
        <v>25</v>
      </c>
      <c r="B3787" s="7" t="str">
        <f>VLOOKUP(VALUE(A3787), 'DICIONÁRIO UF'!$A:$B, 2, FALSE)</f>
        <v>Santa Catarina</v>
      </c>
      <c r="C3787" s="3">
        <v>82003</v>
      </c>
      <c r="D3787" s="5" t="str">
        <f>VLOOKUP(C3787, 'DICIONÁRIO CNAES'!$A:$B, 2, FALSE)</f>
        <v>Atividades de organização de eventos, exceto culturais e esportivos</v>
      </c>
      <c r="E3787" s="4">
        <v>1945.1666548400001</v>
      </c>
      <c r="F3787" s="4">
        <v>4517943.2520519998</v>
      </c>
    </row>
    <row r="3788" spans="1:6" x14ac:dyDescent="0.3">
      <c r="A3788" s="3" t="s">
        <v>25</v>
      </c>
      <c r="B3788" s="7" t="str">
        <f>VLOOKUP(VALUE(A3788), 'DICIONÁRIO UF'!$A:$B, 2, FALSE)</f>
        <v>Santa Catarina</v>
      </c>
      <c r="C3788" s="3">
        <v>82009</v>
      </c>
      <c r="D3788" s="5" t="str">
        <f>VLOOKUP(C3788, 'DICIONÁRIO CNAES'!$A:$B, 2, FALSE)</f>
        <v>Outras atividades de serviços prestados principalmente às empresas</v>
      </c>
      <c r="E3788" s="4">
        <v>9810.7801084399998</v>
      </c>
      <c r="F3788" s="4">
        <v>19001141.492868502</v>
      </c>
    </row>
    <row r="3789" spans="1:6" x14ac:dyDescent="0.3">
      <c r="A3789" s="3" t="s">
        <v>25</v>
      </c>
      <c r="B3789" s="7" t="str">
        <f>VLOOKUP(VALUE(A3789), 'DICIONÁRIO UF'!$A:$B, 2, FALSE)</f>
        <v>Santa Catarina</v>
      </c>
      <c r="C3789" s="3">
        <v>84011</v>
      </c>
      <c r="D3789" s="5" t="str">
        <f>VLOOKUP(C3789, 'DICIONÁRIO CNAES'!$A:$B, 2, FALSE)</f>
        <v>Administração publica e regulação da política econômica e social - Federal</v>
      </c>
      <c r="E3789" s="4">
        <v>12250.9379697</v>
      </c>
      <c r="F3789" s="4">
        <v>144655652.4047519</v>
      </c>
    </row>
    <row r="3790" spans="1:6" x14ac:dyDescent="0.3">
      <c r="A3790" s="3" t="s">
        <v>25</v>
      </c>
      <c r="B3790" s="7" t="str">
        <f>VLOOKUP(VALUE(A3790), 'DICIONÁRIO UF'!$A:$B, 2, FALSE)</f>
        <v>Santa Catarina</v>
      </c>
      <c r="C3790" s="3">
        <v>84012</v>
      </c>
      <c r="D3790" s="5" t="str">
        <f>VLOOKUP(C3790, 'DICIONÁRIO CNAES'!$A:$B, 2, FALSE)</f>
        <v>Administração publica e regulação da política econômica e social - Estadual</v>
      </c>
      <c r="E3790" s="4">
        <v>8059.3975694000001</v>
      </c>
      <c r="F3790" s="4">
        <v>41060707.990904003</v>
      </c>
    </row>
    <row r="3791" spans="1:6" x14ac:dyDescent="0.3">
      <c r="A3791" s="3" t="s">
        <v>25</v>
      </c>
      <c r="B3791" s="7" t="str">
        <f>VLOOKUP(VALUE(A3791), 'DICIONÁRIO UF'!$A:$B, 2, FALSE)</f>
        <v>Santa Catarina</v>
      </c>
      <c r="C3791" s="3">
        <v>84013</v>
      </c>
      <c r="D3791" s="5" t="str">
        <f>VLOOKUP(C3791, 'DICIONÁRIO CNAES'!$A:$B, 2, FALSE)</f>
        <v>Administração publica e regulação da política econômica e social - Municipal</v>
      </c>
      <c r="E3791" s="4">
        <v>91907.339421929995</v>
      </c>
      <c r="F3791" s="4">
        <v>295614021.61818922</v>
      </c>
    </row>
    <row r="3792" spans="1:6" x14ac:dyDescent="0.3">
      <c r="A3792" s="3" t="s">
        <v>25</v>
      </c>
      <c r="B3792" s="7" t="str">
        <f>VLOOKUP(VALUE(A3792), 'DICIONÁRIO UF'!$A:$B, 2, FALSE)</f>
        <v>Santa Catarina</v>
      </c>
      <c r="C3792" s="3">
        <v>84014</v>
      </c>
      <c r="D3792" s="5" t="str">
        <f>VLOOKUP(C3792, 'DICIONÁRIO CNAES'!$A:$B, 2, FALSE)</f>
        <v>Defesa</v>
      </c>
      <c r="E3792" s="4">
        <v>5240.1418516100002</v>
      </c>
      <c r="F3792" s="4">
        <v>15087145.02366519</v>
      </c>
    </row>
    <row r="3793" spans="1:6" x14ac:dyDescent="0.3">
      <c r="A3793" s="3" t="s">
        <v>25</v>
      </c>
      <c r="B3793" s="7" t="str">
        <f>VLOOKUP(VALUE(A3793), 'DICIONÁRIO UF'!$A:$B, 2, FALSE)</f>
        <v>Santa Catarina</v>
      </c>
      <c r="C3793" s="3">
        <v>84015</v>
      </c>
      <c r="D3793" s="5" t="str">
        <f>VLOOKUP(C3793, 'DICIONÁRIO CNAES'!$A:$B, 2, FALSE)</f>
        <v>Outros serviços coletivos prestados pela administração pública - Federal</v>
      </c>
      <c r="E3793" s="4">
        <v>6359.5780445099999</v>
      </c>
      <c r="F3793" s="4">
        <v>71036404.087792009</v>
      </c>
    </row>
    <row r="3794" spans="1:6" x14ac:dyDescent="0.3">
      <c r="A3794" s="3" t="s">
        <v>25</v>
      </c>
      <c r="B3794" s="7" t="str">
        <f>VLOOKUP(VALUE(A3794), 'DICIONÁRIO UF'!$A:$B, 2, FALSE)</f>
        <v>Santa Catarina</v>
      </c>
      <c r="C3794" s="3">
        <v>84016</v>
      </c>
      <c r="D3794" s="5" t="str">
        <f>VLOOKUP(C3794, 'DICIONÁRIO CNAES'!$A:$B, 2, FALSE)</f>
        <v>Outros serviços coletivos prestados pela administração pública - Estadual</v>
      </c>
      <c r="E3794" s="4">
        <v>31962.300858430001</v>
      </c>
      <c r="F3794" s="4">
        <v>217987780.46067899</v>
      </c>
    </row>
    <row r="3795" spans="1:6" x14ac:dyDescent="0.3">
      <c r="A3795" s="3" t="s">
        <v>25</v>
      </c>
      <c r="B3795" s="7" t="str">
        <f>VLOOKUP(VALUE(A3795), 'DICIONÁRIO UF'!$A:$B, 2, FALSE)</f>
        <v>Santa Catarina</v>
      </c>
      <c r="C3795" s="3">
        <v>84017</v>
      </c>
      <c r="D3795" s="5" t="str">
        <f>VLOOKUP(C3795, 'DICIONÁRIO CNAES'!$A:$B, 2, FALSE)</f>
        <v>Outros serviços coletivos prestados pela administração pública - Municipal</v>
      </c>
      <c r="E3795" s="4">
        <v>131.67347921999999</v>
      </c>
      <c r="F3795" s="4">
        <v>329183.69804999989</v>
      </c>
    </row>
    <row r="3796" spans="1:6" x14ac:dyDescent="0.3">
      <c r="A3796" s="3" t="s">
        <v>25</v>
      </c>
      <c r="B3796" s="7" t="str">
        <f>VLOOKUP(VALUE(A3796), 'DICIONÁRIO UF'!$A:$B, 2, FALSE)</f>
        <v>Santa Catarina</v>
      </c>
      <c r="C3796" s="3">
        <v>84020</v>
      </c>
      <c r="D3796" s="5" t="str">
        <f>VLOOKUP(C3796, 'DICIONÁRIO CNAES'!$A:$B, 2, FALSE)</f>
        <v>Seguridade social obrigatória</v>
      </c>
      <c r="E3796" s="4">
        <v>1567.31014207</v>
      </c>
      <c r="F3796" s="4">
        <v>8701744.7238149997</v>
      </c>
    </row>
    <row r="3797" spans="1:6" x14ac:dyDescent="0.3">
      <c r="A3797" s="3" t="s">
        <v>25</v>
      </c>
      <c r="B3797" s="7" t="str">
        <f>VLOOKUP(VALUE(A3797), 'DICIONÁRIO UF'!$A:$B, 2, FALSE)</f>
        <v>Santa Catarina</v>
      </c>
      <c r="C3797" s="3">
        <v>85011</v>
      </c>
      <c r="D3797" s="5" t="str">
        <f>VLOOKUP(C3797, 'DICIONÁRIO CNAES'!$A:$B, 2, FALSE)</f>
        <v>Creche</v>
      </c>
      <c r="E3797" s="4">
        <v>30686.647512330001</v>
      </c>
      <c r="F3797" s="4">
        <v>69058091.125560343</v>
      </c>
    </row>
    <row r="3798" spans="1:6" x14ac:dyDescent="0.3">
      <c r="A3798" s="3" t="s">
        <v>25</v>
      </c>
      <c r="B3798" s="7" t="str">
        <f>VLOOKUP(VALUE(A3798), 'DICIONÁRIO UF'!$A:$B, 2, FALSE)</f>
        <v>Santa Catarina</v>
      </c>
      <c r="C3798" s="3">
        <v>85012</v>
      </c>
      <c r="D3798" s="5" t="str">
        <f>VLOOKUP(C3798, 'DICIONÁRIO CNAES'!$A:$B, 2, FALSE)</f>
        <v>Pré-escola e ensino fundamental</v>
      </c>
      <c r="E3798" s="4">
        <v>108101.5783537</v>
      </c>
      <c r="F3798" s="4">
        <v>344353581.58377862</v>
      </c>
    </row>
    <row r="3799" spans="1:6" x14ac:dyDescent="0.3">
      <c r="A3799" s="3" t="s">
        <v>25</v>
      </c>
      <c r="B3799" s="7" t="str">
        <f>VLOOKUP(VALUE(A3799), 'DICIONÁRIO UF'!$A:$B, 2, FALSE)</f>
        <v>Santa Catarina</v>
      </c>
      <c r="C3799" s="3">
        <v>85013</v>
      </c>
      <c r="D3799" s="5" t="str">
        <f>VLOOKUP(C3799, 'DICIONÁRIO CNAES'!$A:$B, 2, FALSE)</f>
        <v>Ensino médio</v>
      </c>
      <c r="E3799" s="4">
        <v>37626.511128259997</v>
      </c>
      <c r="F3799" s="4">
        <v>141258056.92765361</v>
      </c>
    </row>
    <row r="3800" spans="1:6" x14ac:dyDescent="0.3">
      <c r="A3800" s="3" t="s">
        <v>25</v>
      </c>
      <c r="B3800" s="7" t="str">
        <f>VLOOKUP(VALUE(A3800), 'DICIONÁRIO UF'!$A:$B, 2, FALSE)</f>
        <v>Santa Catarina</v>
      </c>
      <c r="C3800" s="3">
        <v>85014</v>
      </c>
      <c r="D3800" s="5" t="str">
        <f>VLOOKUP(C3800, 'DICIONÁRIO CNAES'!$A:$B, 2, FALSE)</f>
        <v>Educação superior</v>
      </c>
      <c r="E3800" s="4">
        <v>32550.4233637</v>
      </c>
      <c r="F3800" s="4">
        <v>221200931.64548689</v>
      </c>
    </row>
    <row r="3801" spans="1:6" x14ac:dyDescent="0.3">
      <c r="A3801" s="3" t="s">
        <v>25</v>
      </c>
      <c r="B3801" s="7" t="str">
        <f>VLOOKUP(VALUE(A3801), 'DICIONÁRIO UF'!$A:$B, 2, FALSE)</f>
        <v>Santa Catarina</v>
      </c>
      <c r="C3801" s="3">
        <v>85021</v>
      </c>
      <c r="D3801" s="5" t="str">
        <f>VLOOKUP(C3801, 'DICIONÁRIO CNAES'!$A:$B, 2, FALSE)</f>
        <v>Serviços auxiliares à educação</v>
      </c>
      <c r="E3801" s="4">
        <v>191.52880751999999</v>
      </c>
      <c r="F3801" s="4">
        <v>287293.21127999999</v>
      </c>
    </row>
    <row r="3802" spans="1:6" x14ac:dyDescent="0.3">
      <c r="A3802" s="3" t="s">
        <v>25</v>
      </c>
      <c r="B3802" s="7" t="str">
        <f>VLOOKUP(VALUE(A3802), 'DICIONÁRIO UF'!$A:$B, 2, FALSE)</f>
        <v>Santa Catarina</v>
      </c>
      <c r="C3802" s="3">
        <v>85029</v>
      </c>
      <c r="D3802" s="5" t="str">
        <f>VLOOKUP(C3802, 'DICIONÁRIO CNAES'!$A:$B, 2, FALSE)</f>
        <v>Outras atividades de ensino</v>
      </c>
      <c r="E3802" s="4">
        <v>22203.56953447</v>
      </c>
      <c r="F3802" s="4">
        <v>62859050.065954402</v>
      </c>
    </row>
    <row r="3803" spans="1:6" x14ac:dyDescent="0.3">
      <c r="A3803" s="3" t="s">
        <v>25</v>
      </c>
      <c r="B3803" s="7" t="str">
        <f>VLOOKUP(VALUE(A3803), 'DICIONÁRIO UF'!$A:$B, 2, FALSE)</f>
        <v>Santa Catarina</v>
      </c>
      <c r="C3803" s="3">
        <v>86001</v>
      </c>
      <c r="D3803" s="5" t="str">
        <f>VLOOKUP(C3803, 'DICIONÁRIO CNAES'!$A:$B, 2, FALSE)</f>
        <v>Atividades de atendimento hospitalar</v>
      </c>
      <c r="E3803" s="4">
        <v>51640.84352486</v>
      </c>
      <c r="F3803" s="4">
        <v>188993327.6832774</v>
      </c>
    </row>
    <row r="3804" spans="1:6" x14ac:dyDescent="0.3">
      <c r="A3804" s="3" t="s">
        <v>25</v>
      </c>
      <c r="B3804" s="7" t="str">
        <f>VLOOKUP(VALUE(A3804), 'DICIONÁRIO UF'!$A:$B, 2, FALSE)</f>
        <v>Santa Catarina</v>
      </c>
      <c r="C3804" s="3">
        <v>86002</v>
      </c>
      <c r="D3804" s="5" t="str">
        <f>VLOOKUP(C3804, 'DICIONÁRIO CNAES'!$A:$B, 2, FALSE)</f>
        <v>Atividades de atenção ambulatorial executadas por médicos e odontólogos</v>
      </c>
      <c r="E3804" s="4">
        <v>61760.12175287</v>
      </c>
      <c r="F3804" s="4">
        <v>293601442.34614092</v>
      </c>
    </row>
    <row r="3805" spans="1:6" x14ac:dyDescent="0.3">
      <c r="A3805" s="3" t="s">
        <v>25</v>
      </c>
      <c r="B3805" s="7" t="str">
        <f>VLOOKUP(VALUE(A3805), 'DICIONÁRIO UF'!$A:$B, 2, FALSE)</f>
        <v>Santa Catarina</v>
      </c>
      <c r="C3805" s="3">
        <v>86003</v>
      </c>
      <c r="D3805" s="5" t="str">
        <f>VLOOKUP(C3805, 'DICIONÁRIO CNAES'!$A:$B, 2, FALSE)</f>
        <v>Atividades de serviços de complementação diagnóstica e terapêutica</v>
      </c>
      <c r="E3805" s="4">
        <v>9010.2298832100005</v>
      </c>
      <c r="F3805" s="4">
        <v>24298040.3244345</v>
      </c>
    </row>
    <row r="3806" spans="1:6" x14ac:dyDescent="0.3">
      <c r="A3806" s="3" t="s">
        <v>25</v>
      </c>
      <c r="B3806" s="7" t="str">
        <f>VLOOKUP(VALUE(A3806), 'DICIONÁRIO UF'!$A:$B, 2, FALSE)</f>
        <v>Santa Catarina</v>
      </c>
      <c r="C3806" s="3">
        <v>86004</v>
      </c>
      <c r="D3806" s="5" t="str">
        <f>VLOOKUP(C3806, 'DICIONÁRIO CNAES'!$A:$B, 2, FALSE)</f>
        <v>Atividades de profissionais da área de saúde, exceto médicos e odontólogos</v>
      </c>
      <c r="E3806" s="4">
        <v>15056.424682569999</v>
      </c>
      <c r="F3806" s="4">
        <v>47966344.646953002</v>
      </c>
    </row>
    <row r="3807" spans="1:6" x14ac:dyDescent="0.3">
      <c r="A3807" s="3" t="s">
        <v>25</v>
      </c>
      <c r="B3807" s="7" t="str">
        <f>VLOOKUP(VALUE(A3807), 'DICIONÁRIO UF'!$A:$B, 2, FALSE)</f>
        <v>Santa Catarina</v>
      </c>
      <c r="C3807" s="3">
        <v>86009</v>
      </c>
      <c r="D3807" s="5" t="str">
        <f>VLOOKUP(C3807, 'DICIONÁRIO CNAES'!$A:$B, 2, FALSE)</f>
        <v>Atividades de atenção à saúde humana não especificadas anteriormente</v>
      </c>
      <c r="E3807" s="4">
        <v>8032.6820502400014</v>
      </c>
      <c r="F3807" s="4">
        <v>20452095.460868001</v>
      </c>
    </row>
    <row r="3808" spans="1:6" x14ac:dyDescent="0.3">
      <c r="A3808" s="3" t="s">
        <v>25</v>
      </c>
      <c r="B3808" s="7" t="str">
        <f>VLOOKUP(VALUE(A3808), 'DICIONÁRIO UF'!$A:$B, 2, FALSE)</f>
        <v>Santa Catarina</v>
      </c>
      <c r="C3808" s="3">
        <v>87000</v>
      </c>
      <c r="D3808" s="5" t="str">
        <f>VLOOKUP(C3808, 'DICIONÁRIO CNAES'!$A:$B, 2, FALSE)</f>
        <v>Atividades de assistência à saude humana integradas com assistencia social, inclusive prestadas em residencias</v>
      </c>
      <c r="E3808" s="4">
        <v>9401.4549831900003</v>
      </c>
      <c r="F3808" s="4">
        <v>19669492.342404701</v>
      </c>
    </row>
    <row r="3809" spans="1:6" x14ac:dyDescent="0.3">
      <c r="A3809" s="3" t="s">
        <v>25</v>
      </c>
      <c r="B3809" s="7" t="str">
        <f>VLOOKUP(VALUE(A3809), 'DICIONÁRIO UF'!$A:$B, 2, FALSE)</f>
        <v>Santa Catarina</v>
      </c>
      <c r="C3809" s="3">
        <v>88000</v>
      </c>
      <c r="D3809" s="5" t="str">
        <f>VLOOKUP(C3809, 'DICIONÁRIO CNAES'!$A:$B, 2, FALSE)</f>
        <v>Serviços de assistência social sem alojamento</v>
      </c>
      <c r="E3809" s="4">
        <v>5816.68252545</v>
      </c>
      <c r="F3809" s="4">
        <v>15104134.1595325</v>
      </c>
    </row>
    <row r="3810" spans="1:6" x14ac:dyDescent="0.3">
      <c r="A3810" s="3" t="s">
        <v>25</v>
      </c>
      <c r="B3810" s="7" t="str">
        <f>VLOOKUP(VALUE(A3810), 'DICIONÁRIO UF'!$A:$B, 2, FALSE)</f>
        <v>Santa Catarina</v>
      </c>
      <c r="C3810" s="3">
        <v>90000</v>
      </c>
      <c r="D3810" s="5" t="str">
        <f>VLOOKUP(C3810, 'DICIONÁRIO CNAES'!$A:$B, 2, FALSE)</f>
        <v>Atividades artísticas, criativas e de espetáculos</v>
      </c>
      <c r="E3810" s="4">
        <v>5274.9252542599997</v>
      </c>
      <c r="F3810" s="4">
        <v>13844939.797173999</v>
      </c>
    </row>
    <row r="3811" spans="1:6" x14ac:dyDescent="0.3">
      <c r="A3811" s="3" t="s">
        <v>25</v>
      </c>
      <c r="B3811" s="7" t="str">
        <f>VLOOKUP(VALUE(A3811), 'DICIONÁRIO UF'!$A:$B, 2, FALSE)</f>
        <v>Santa Catarina</v>
      </c>
      <c r="C3811" s="3">
        <v>92000</v>
      </c>
      <c r="D3811" s="5" t="str">
        <f>VLOOKUP(C3811, 'DICIONÁRIO CNAES'!$A:$B, 2, FALSE)</f>
        <v>Atividades de exploração de jogos de azar e apostas</v>
      </c>
      <c r="E3811" s="4">
        <v>857.51270030000001</v>
      </c>
      <c r="F3811" s="4">
        <v>2126586.668445</v>
      </c>
    </row>
    <row r="3812" spans="1:6" x14ac:dyDescent="0.3">
      <c r="A3812" s="3" t="s">
        <v>25</v>
      </c>
      <c r="B3812" s="7" t="str">
        <f>VLOOKUP(VALUE(A3812), 'DICIONÁRIO UF'!$A:$B, 2, FALSE)</f>
        <v>Santa Catarina</v>
      </c>
      <c r="C3812" s="3">
        <v>93011</v>
      </c>
      <c r="D3812" s="5" t="str">
        <f>VLOOKUP(C3812, 'DICIONÁRIO CNAES'!$A:$B, 2, FALSE)</f>
        <v>Atividades esportivas</v>
      </c>
      <c r="E3812" s="4">
        <v>4189.9372608499998</v>
      </c>
      <c r="F3812" s="4">
        <v>11324413.054321</v>
      </c>
    </row>
    <row r="3813" spans="1:6" x14ac:dyDescent="0.3">
      <c r="A3813" s="3" t="s">
        <v>25</v>
      </c>
      <c r="B3813" s="7" t="str">
        <f>VLOOKUP(VALUE(A3813), 'DICIONÁRIO UF'!$A:$B, 2, FALSE)</f>
        <v>Santa Catarina</v>
      </c>
      <c r="C3813" s="3">
        <v>93012</v>
      </c>
      <c r="D3813" s="5" t="str">
        <f>VLOOKUP(C3813, 'DICIONÁRIO CNAES'!$A:$B, 2, FALSE)</f>
        <v>Atividades de condicionamento físico</v>
      </c>
      <c r="E3813" s="4">
        <v>16322.74853216</v>
      </c>
      <c r="F3813" s="4">
        <v>46561601.113552898</v>
      </c>
    </row>
    <row r="3814" spans="1:6" x14ac:dyDescent="0.3">
      <c r="A3814" s="3" t="s">
        <v>25</v>
      </c>
      <c r="B3814" s="7" t="str">
        <f>VLOOKUP(VALUE(A3814), 'DICIONÁRIO UF'!$A:$B, 2, FALSE)</f>
        <v>Santa Catarina</v>
      </c>
      <c r="C3814" s="3">
        <v>93020</v>
      </c>
      <c r="D3814" s="5" t="str">
        <f>VLOOKUP(C3814, 'DICIONÁRIO CNAES'!$A:$B, 2, FALSE)</f>
        <v>Atividades de recreação e lazer</v>
      </c>
      <c r="E3814" s="4">
        <v>3539.5257219800001</v>
      </c>
      <c r="F3814" s="4">
        <v>6579277.9020787999</v>
      </c>
    </row>
    <row r="3815" spans="1:6" x14ac:dyDescent="0.3">
      <c r="A3815" s="3" t="s">
        <v>25</v>
      </c>
      <c r="B3815" s="7" t="str">
        <f>VLOOKUP(VALUE(A3815), 'DICIONÁRIO UF'!$A:$B, 2, FALSE)</f>
        <v>Santa Catarina</v>
      </c>
      <c r="C3815" s="3">
        <v>94010</v>
      </c>
      <c r="D3815" s="5" t="str">
        <f>VLOOKUP(C3815, 'DICIONÁRIO CNAES'!$A:$B, 2, FALSE)</f>
        <v>Atividades de organizações associativas patronais, empresariais e profissionais</v>
      </c>
      <c r="E3815" s="4">
        <v>2389.1220992799999</v>
      </c>
      <c r="F3815" s="4">
        <v>7283284.9888095995</v>
      </c>
    </row>
    <row r="3816" spans="1:6" x14ac:dyDescent="0.3">
      <c r="A3816" s="3" t="s">
        <v>25</v>
      </c>
      <c r="B3816" s="7" t="str">
        <f>VLOOKUP(VALUE(A3816), 'DICIONÁRIO UF'!$A:$B, 2, FALSE)</f>
        <v>Santa Catarina</v>
      </c>
      <c r="C3816" s="3">
        <v>94020</v>
      </c>
      <c r="D3816" s="5" t="str">
        <f>VLOOKUP(C3816, 'DICIONÁRIO CNAES'!$A:$B, 2, FALSE)</f>
        <v>Atividades de organizações sindicais</v>
      </c>
      <c r="E3816" s="4">
        <v>2603.63733508</v>
      </c>
      <c r="F3816" s="4">
        <v>5111049.0391729996</v>
      </c>
    </row>
    <row r="3817" spans="1:6" x14ac:dyDescent="0.3">
      <c r="A3817" s="3" t="s">
        <v>25</v>
      </c>
      <c r="B3817" s="7" t="str">
        <f>VLOOKUP(VALUE(A3817), 'DICIONÁRIO UF'!$A:$B, 2, FALSE)</f>
        <v>Santa Catarina</v>
      </c>
      <c r="C3817" s="3">
        <v>94091</v>
      </c>
      <c r="D3817" s="5" t="str">
        <f>VLOOKUP(C3817, 'DICIONÁRIO CNAES'!$A:$B, 2, FALSE)</f>
        <v>Atividades de organizações religiosas e filosóficas</v>
      </c>
      <c r="E3817" s="4">
        <v>7640.2758715999998</v>
      </c>
      <c r="F3817" s="4">
        <v>18930117.778533801</v>
      </c>
    </row>
    <row r="3818" spans="1:6" x14ac:dyDescent="0.3">
      <c r="A3818" s="3" t="s">
        <v>25</v>
      </c>
      <c r="B3818" s="7" t="str">
        <f>VLOOKUP(VALUE(A3818), 'DICIONÁRIO UF'!$A:$B, 2, FALSE)</f>
        <v>Santa Catarina</v>
      </c>
      <c r="C3818" s="3">
        <v>94099</v>
      </c>
      <c r="D3818" s="5" t="str">
        <f>VLOOKUP(C3818, 'DICIONÁRIO CNAES'!$A:$B, 2, FALSE)</f>
        <v xml:space="preserve">Outras atividades associativas não especificadas anteriormente </v>
      </c>
      <c r="E3818" s="4">
        <v>1857.81006357</v>
      </c>
      <c r="F3818" s="4">
        <v>3980528.0926950001</v>
      </c>
    </row>
    <row r="3819" spans="1:6" x14ac:dyDescent="0.3">
      <c r="A3819" s="3" t="s">
        <v>25</v>
      </c>
      <c r="B3819" s="7" t="str">
        <f>VLOOKUP(VALUE(A3819), 'DICIONÁRIO UF'!$A:$B, 2, FALSE)</f>
        <v>Santa Catarina</v>
      </c>
      <c r="C3819" s="3">
        <v>95010</v>
      </c>
      <c r="D3819" s="5" t="str">
        <f>VLOOKUP(C3819, 'DICIONÁRIO CNAES'!$A:$B, 2, FALSE)</f>
        <v>Reparação e manutenção de equipamentos de informática e comunicação</v>
      </c>
      <c r="E3819" s="4">
        <v>5561.8074386400003</v>
      </c>
      <c r="F3819" s="4">
        <v>11751923.542698801</v>
      </c>
    </row>
    <row r="3820" spans="1:6" x14ac:dyDescent="0.3">
      <c r="A3820" s="3" t="s">
        <v>25</v>
      </c>
      <c r="B3820" s="7" t="str">
        <f>VLOOKUP(VALUE(A3820), 'DICIONÁRIO UF'!$A:$B, 2, FALSE)</f>
        <v>Santa Catarina</v>
      </c>
      <c r="C3820" s="3">
        <v>95030</v>
      </c>
      <c r="D3820" s="5" t="str">
        <f>VLOOKUP(C3820, 'DICIONÁRIO CNAES'!$A:$B, 2, FALSE)</f>
        <v>Reparação e manutenção de objetos e equipamentos pessoais e domésticos</v>
      </c>
      <c r="E3820" s="4">
        <v>18526.36281481</v>
      </c>
      <c r="F3820" s="4">
        <v>46088209.099702001</v>
      </c>
    </row>
    <row r="3821" spans="1:6" x14ac:dyDescent="0.3">
      <c r="A3821" s="3" t="s">
        <v>25</v>
      </c>
      <c r="B3821" s="7" t="str">
        <f>VLOOKUP(VALUE(A3821), 'DICIONÁRIO UF'!$A:$B, 2, FALSE)</f>
        <v>Santa Catarina</v>
      </c>
      <c r="C3821" s="3">
        <v>96010</v>
      </c>
      <c r="D3821" s="5" t="str">
        <f>VLOOKUP(C3821, 'DICIONÁRIO CNAES'!$A:$B, 2, FALSE)</f>
        <v>Lavanderias, tinturarias e toalheiros</v>
      </c>
      <c r="E3821" s="4">
        <v>6298.63883541</v>
      </c>
      <c r="F3821" s="4">
        <v>13500953.960719099</v>
      </c>
    </row>
    <row r="3822" spans="1:6" x14ac:dyDescent="0.3">
      <c r="A3822" s="3" t="s">
        <v>25</v>
      </c>
      <c r="B3822" s="7" t="str">
        <f>VLOOKUP(VALUE(A3822), 'DICIONÁRIO UF'!$A:$B, 2, FALSE)</f>
        <v>Santa Catarina</v>
      </c>
      <c r="C3822" s="3">
        <v>96020</v>
      </c>
      <c r="D3822" s="5" t="str">
        <f>VLOOKUP(C3822, 'DICIONÁRIO CNAES'!$A:$B, 2, FALSE)</f>
        <v>Cabeleireiros e outras atividades de tratamento de beleza</v>
      </c>
      <c r="E3822" s="4">
        <v>64016.868138630001</v>
      </c>
      <c r="F3822" s="4">
        <v>141377683.6791226</v>
      </c>
    </row>
    <row r="3823" spans="1:6" x14ac:dyDescent="0.3">
      <c r="A3823" s="3" t="s">
        <v>25</v>
      </c>
      <c r="B3823" s="7" t="str">
        <f>VLOOKUP(VALUE(A3823), 'DICIONÁRIO UF'!$A:$B, 2, FALSE)</f>
        <v>Santa Catarina</v>
      </c>
      <c r="C3823" s="3">
        <v>96030</v>
      </c>
      <c r="D3823" s="5" t="str">
        <f>VLOOKUP(C3823, 'DICIONÁRIO CNAES'!$A:$B, 2, FALSE)</f>
        <v xml:space="preserve">Atividades funerárias e serviços relacionados </v>
      </c>
      <c r="E3823" s="4">
        <v>7314.6657719499999</v>
      </c>
      <c r="F3823" s="4">
        <v>21054721.403067999</v>
      </c>
    </row>
    <row r="3824" spans="1:6" x14ac:dyDescent="0.3">
      <c r="A3824" s="3" t="s">
        <v>25</v>
      </c>
      <c r="B3824" s="7" t="str">
        <f>VLOOKUP(VALUE(A3824), 'DICIONÁRIO UF'!$A:$B, 2, FALSE)</f>
        <v>Santa Catarina</v>
      </c>
      <c r="C3824" s="3">
        <v>96090</v>
      </c>
      <c r="D3824" s="5" t="str">
        <f>VLOOKUP(C3824, 'DICIONÁRIO CNAES'!$A:$B, 2, FALSE)</f>
        <v>Outras atividades de serviços pessoais</v>
      </c>
      <c r="E3824" s="4">
        <v>22258.67128631</v>
      </c>
      <c r="F3824" s="4">
        <v>61053676.153779998</v>
      </c>
    </row>
    <row r="3825" spans="1:6" x14ac:dyDescent="0.3">
      <c r="A3825" s="3" t="s">
        <v>25</v>
      </c>
      <c r="B3825" s="7" t="str">
        <f>VLOOKUP(VALUE(A3825), 'DICIONÁRIO UF'!$A:$B, 2, FALSE)</f>
        <v>Santa Catarina</v>
      </c>
      <c r="C3825" s="3">
        <v>97000</v>
      </c>
      <c r="D3825" s="5" t="str">
        <f>VLOOKUP(C3825, 'DICIONÁRIO CNAES'!$A:$B, 2, FALSE)</f>
        <v>Serviços domésticos</v>
      </c>
      <c r="E3825" s="4">
        <v>162251.33460582999</v>
      </c>
      <c r="F3825" s="4">
        <v>220358907.20591241</v>
      </c>
    </row>
    <row r="3826" spans="1:6" x14ac:dyDescent="0.3">
      <c r="A3826" s="3" t="s">
        <v>26</v>
      </c>
      <c r="B3826" s="7" t="str">
        <f>VLOOKUP(VALUE(A3826), 'DICIONÁRIO UF'!$A:$B, 2, FALSE)</f>
        <v>Rio Grande do Sul</v>
      </c>
      <c r="C3826" s="3">
        <v>1101</v>
      </c>
      <c r="D3826" s="5" t="str">
        <f>VLOOKUP(C3826, 'DICIONÁRIO CNAES'!$A:$B, 2, FALSE)</f>
        <v>Cultivo de arroz</v>
      </c>
      <c r="E3826" s="4">
        <v>27742.701820959999</v>
      </c>
      <c r="F3826" s="4">
        <v>104342463.2845435</v>
      </c>
    </row>
    <row r="3827" spans="1:6" x14ac:dyDescent="0.3">
      <c r="A3827" s="3" t="s">
        <v>26</v>
      </c>
      <c r="B3827" s="7" t="str">
        <f>VLOOKUP(VALUE(A3827), 'DICIONÁRIO UF'!$A:$B, 2, FALSE)</f>
        <v>Rio Grande do Sul</v>
      </c>
      <c r="C3827" s="3">
        <v>1102</v>
      </c>
      <c r="D3827" s="5" t="str">
        <f>VLOOKUP(C3827, 'DICIONÁRIO CNAES'!$A:$B, 2, FALSE)</f>
        <v>Cultivo de milho</v>
      </c>
      <c r="E3827" s="4">
        <v>42093.219373100001</v>
      </c>
      <c r="F3827" s="4">
        <v>43599441.760605797</v>
      </c>
    </row>
    <row r="3828" spans="1:6" x14ac:dyDescent="0.3">
      <c r="A3828" s="3" t="s">
        <v>26</v>
      </c>
      <c r="B3828" s="7" t="str">
        <f>VLOOKUP(VALUE(A3828), 'DICIONÁRIO UF'!$A:$B, 2, FALSE)</f>
        <v>Rio Grande do Sul</v>
      </c>
      <c r="C3828" s="3">
        <v>1103</v>
      </c>
      <c r="D3828" s="5" t="str">
        <f>VLOOKUP(C3828, 'DICIONÁRIO CNAES'!$A:$B, 2, FALSE)</f>
        <v>Cultivo de outros cereais</v>
      </c>
      <c r="E3828" s="4">
        <v>1100.9708922</v>
      </c>
      <c r="F3828" s="4">
        <v>1851238.6698439999</v>
      </c>
    </row>
    <row r="3829" spans="1:6" x14ac:dyDescent="0.3">
      <c r="A3829" s="3" t="s">
        <v>26</v>
      </c>
      <c r="B3829" s="7" t="str">
        <f>VLOOKUP(VALUE(A3829), 'DICIONÁRIO UF'!$A:$B, 2, FALSE)</f>
        <v>Rio Grande do Sul</v>
      </c>
      <c r="C3829" s="3">
        <v>1105</v>
      </c>
      <c r="D3829" s="5" t="str">
        <f>VLOOKUP(C3829, 'DICIONÁRIO CNAES'!$A:$B, 2, FALSE)</f>
        <v>Cultivo de cana-de-açúcar</v>
      </c>
      <c r="E3829" s="4">
        <v>860.81348965999996</v>
      </c>
      <c r="F3829" s="4">
        <v>1194811.8536169999</v>
      </c>
    </row>
    <row r="3830" spans="1:6" x14ac:dyDescent="0.3">
      <c r="A3830" s="3" t="s">
        <v>26</v>
      </c>
      <c r="B3830" s="7" t="str">
        <f>VLOOKUP(VALUE(A3830), 'DICIONÁRIO UF'!$A:$B, 2, FALSE)</f>
        <v>Rio Grande do Sul</v>
      </c>
      <c r="C3830" s="3">
        <v>1106</v>
      </c>
      <c r="D3830" s="5" t="str">
        <f>VLOOKUP(C3830, 'DICIONÁRIO CNAES'!$A:$B, 2, FALSE)</f>
        <v>Cultivo de fumo</v>
      </c>
      <c r="E3830" s="4">
        <v>126522.10558521</v>
      </c>
      <c r="F3830" s="4">
        <v>135830291.02620921</v>
      </c>
    </row>
    <row r="3831" spans="1:6" x14ac:dyDescent="0.3">
      <c r="A3831" s="3" t="s">
        <v>26</v>
      </c>
      <c r="B3831" s="7" t="str">
        <f>VLOOKUP(VALUE(A3831), 'DICIONÁRIO UF'!$A:$B, 2, FALSE)</f>
        <v>Rio Grande do Sul</v>
      </c>
      <c r="C3831" s="3">
        <v>1107</v>
      </c>
      <c r="D3831" s="5" t="str">
        <f>VLOOKUP(C3831, 'DICIONÁRIO CNAES'!$A:$B, 2, FALSE)</f>
        <v>Cultivo de soja</v>
      </c>
      <c r="E3831" s="4">
        <v>163498.94096596001</v>
      </c>
      <c r="F3831" s="4">
        <v>474553499.40631372</v>
      </c>
    </row>
    <row r="3832" spans="1:6" x14ac:dyDescent="0.3">
      <c r="A3832" s="3" t="s">
        <v>26</v>
      </c>
      <c r="B3832" s="7" t="str">
        <f>VLOOKUP(VALUE(A3832), 'DICIONÁRIO UF'!$A:$B, 2, FALSE)</f>
        <v>Rio Grande do Sul</v>
      </c>
      <c r="C3832" s="3">
        <v>1108</v>
      </c>
      <c r="D3832" s="5" t="str">
        <f>VLOOKUP(C3832, 'DICIONÁRIO CNAES'!$A:$B, 2, FALSE)</f>
        <v>Cultivo de mandioca</v>
      </c>
      <c r="E3832" s="4">
        <v>10992.386215189999</v>
      </c>
      <c r="F3832" s="4">
        <v>10506884.504547</v>
      </c>
    </row>
    <row r="3833" spans="1:6" x14ac:dyDescent="0.3">
      <c r="A3833" s="3" t="s">
        <v>26</v>
      </c>
      <c r="B3833" s="7" t="str">
        <f>VLOOKUP(VALUE(A3833), 'DICIONÁRIO UF'!$A:$B, 2, FALSE)</f>
        <v>Rio Grande do Sul</v>
      </c>
      <c r="C3833" s="3">
        <v>1109</v>
      </c>
      <c r="D3833" s="5" t="str">
        <f>VLOOKUP(C3833, 'DICIONÁRIO CNAES'!$A:$B, 2, FALSE)</f>
        <v>Cultivo de outras lavouras temporárias não especificadas anteriormente</v>
      </c>
      <c r="E3833" s="4">
        <v>17338.711420200001</v>
      </c>
      <c r="F3833" s="4">
        <v>18040558.948445499</v>
      </c>
    </row>
    <row r="3834" spans="1:6" x14ac:dyDescent="0.3">
      <c r="A3834" s="3" t="s">
        <v>26</v>
      </c>
      <c r="B3834" s="7" t="str">
        <f>VLOOKUP(VALUE(A3834), 'DICIONÁRIO UF'!$A:$B, 2, FALSE)</f>
        <v>Rio Grande do Sul</v>
      </c>
      <c r="C3834" s="3">
        <v>1110</v>
      </c>
      <c r="D3834" s="5" t="str">
        <f>VLOOKUP(C3834, 'DICIONÁRIO CNAES'!$A:$B, 2, FALSE)</f>
        <v>Horticultura</v>
      </c>
      <c r="E3834" s="4">
        <v>33834.530053809998</v>
      </c>
      <c r="F3834" s="4">
        <v>44764823.411503501</v>
      </c>
    </row>
    <row r="3835" spans="1:6" x14ac:dyDescent="0.3">
      <c r="A3835" s="3" t="s">
        <v>26</v>
      </c>
      <c r="B3835" s="7" t="str">
        <f>VLOOKUP(VALUE(A3835), 'DICIONÁRIO UF'!$A:$B, 2, FALSE)</f>
        <v>Rio Grande do Sul</v>
      </c>
      <c r="C3835" s="3">
        <v>1112</v>
      </c>
      <c r="D3835" s="5" t="str">
        <f>VLOOKUP(C3835, 'DICIONÁRIO CNAES'!$A:$B, 2, FALSE)</f>
        <v>Cultivo de frutas cítricas</v>
      </c>
      <c r="E3835" s="4">
        <v>5705.0109355699997</v>
      </c>
      <c r="F3835" s="4">
        <v>6528001.7571441997</v>
      </c>
    </row>
    <row r="3836" spans="1:6" x14ac:dyDescent="0.3">
      <c r="A3836" s="3" t="s">
        <v>26</v>
      </c>
      <c r="B3836" s="7" t="str">
        <f>VLOOKUP(VALUE(A3836), 'DICIONÁRIO UF'!$A:$B, 2, FALSE)</f>
        <v>Rio Grande do Sul</v>
      </c>
      <c r="C3836" s="3">
        <v>1115</v>
      </c>
      <c r="D3836" s="5" t="str">
        <f>VLOOKUP(C3836, 'DICIONÁRIO CNAES'!$A:$B, 2, FALSE)</f>
        <v>Cultivo de uva</v>
      </c>
      <c r="E3836" s="4">
        <v>20454.032197320001</v>
      </c>
      <c r="F3836" s="4">
        <v>47673753.1728312</v>
      </c>
    </row>
    <row r="3837" spans="1:6" x14ac:dyDescent="0.3">
      <c r="A3837" s="3" t="s">
        <v>26</v>
      </c>
      <c r="B3837" s="7" t="str">
        <f>VLOOKUP(VALUE(A3837), 'DICIONÁRIO UF'!$A:$B, 2, FALSE)</f>
        <v>Rio Grande do Sul</v>
      </c>
      <c r="C3837" s="3">
        <v>1116</v>
      </c>
      <c r="D3837" s="5" t="str">
        <f>VLOOKUP(C3837, 'DICIONÁRIO CNAES'!$A:$B, 2, FALSE)</f>
        <v>Cultivo de banana</v>
      </c>
      <c r="E3837" s="4">
        <v>241.51718847999999</v>
      </c>
      <c r="F3837" s="4">
        <v>2415171.8848000001</v>
      </c>
    </row>
    <row r="3838" spans="1:6" x14ac:dyDescent="0.3">
      <c r="A3838" s="3" t="s">
        <v>26</v>
      </c>
      <c r="B3838" s="7" t="str">
        <f>VLOOKUP(VALUE(A3838), 'DICIONÁRIO UF'!$A:$B, 2, FALSE)</f>
        <v>Rio Grande do Sul</v>
      </c>
      <c r="C3838" s="3">
        <v>1117</v>
      </c>
      <c r="D3838" s="5" t="str">
        <f>VLOOKUP(C3838, 'DICIONÁRIO CNAES'!$A:$B, 2, FALSE)</f>
        <v>Cultivo de outras plantas e frutas de lavoura permanente não especificadas anteriormente</v>
      </c>
      <c r="E3838" s="4">
        <v>21665.261399859999</v>
      </c>
      <c r="F3838" s="4">
        <v>33040239.904413</v>
      </c>
    </row>
    <row r="3839" spans="1:6" x14ac:dyDescent="0.3">
      <c r="A3839" s="3" t="s">
        <v>26</v>
      </c>
      <c r="B3839" s="7" t="str">
        <f>VLOOKUP(VALUE(A3839), 'DICIONÁRIO UF'!$A:$B, 2, FALSE)</f>
        <v>Rio Grande do Sul</v>
      </c>
      <c r="C3839" s="3">
        <v>1118</v>
      </c>
      <c r="D3839" s="5" t="str">
        <f>VLOOKUP(C3839, 'DICIONÁRIO CNAES'!$A:$B, 2, FALSE)</f>
        <v>Produção de sementes e mudas certificadas</v>
      </c>
      <c r="E3839" s="4">
        <v>2099.3808803000002</v>
      </c>
      <c r="F3839" s="4">
        <v>12623211.442706</v>
      </c>
    </row>
    <row r="3840" spans="1:6" x14ac:dyDescent="0.3">
      <c r="A3840" s="3" t="s">
        <v>26</v>
      </c>
      <c r="B3840" s="7" t="str">
        <f>VLOOKUP(VALUE(A3840), 'DICIONÁRIO UF'!$A:$B, 2, FALSE)</f>
        <v>Rio Grande do Sul</v>
      </c>
      <c r="C3840" s="3">
        <v>1119</v>
      </c>
      <c r="D3840" s="5" t="str">
        <f>VLOOKUP(C3840, 'DICIONÁRIO CNAES'!$A:$B, 2, FALSE)</f>
        <v>Lavoura não especificada</v>
      </c>
      <c r="E3840" s="4">
        <v>2644.2936548799998</v>
      </c>
      <c r="F3840" s="4">
        <v>2774499.8063412998</v>
      </c>
    </row>
    <row r="3841" spans="1:6" x14ac:dyDescent="0.3">
      <c r="A3841" s="3" t="s">
        <v>26</v>
      </c>
      <c r="B3841" s="7" t="str">
        <f>VLOOKUP(VALUE(A3841), 'DICIONÁRIO UF'!$A:$B, 2, FALSE)</f>
        <v>Rio Grande do Sul</v>
      </c>
      <c r="C3841" s="3">
        <v>1201</v>
      </c>
      <c r="D3841" s="5" t="str">
        <f>VLOOKUP(C3841, 'DICIONÁRIO CNAES'!$A:$B, 2, FALSE)</f>
        <v>Criação de bovinos</v>
      </c>
      <c r="E3841" s="4">
        <v>124164.65773609</v>
      </c>
      <c r="F3841" s="4">
        <v>355076248.93338633</v>
      </c>
    </row>
    <row r="3842" spans="1:6" x14ac:dyDescent="0.3">
      <c r="A3842" s="3" t="s">
        <v>26</v>
      </c>
      <c r="B3842" s="7" t="str">
        <f>VLOOKUP(VALUE(A3842), 'DICIONÁRIO UF'!$A:$B, 2, FALSE)</f>
        <v>Rio Grande do Sul</v>
      </c>
      <c r="C3842" s="3">
        <v>1202</v>
      </c>
      <c r="D3842" s="5" t="str">
        <f>VLOOKUP(C3842, 'DICIONÁRIO CNAES'!$A:$B, 2, FALSE)</f>
        <v>Criação de outros animais de grande porte não especificados anteriormente</v>
      </c>
      <c r="E3842" s="4">
        <v>492.71972135999999</v>
      </c>
      <c r="F3842" s="4">
        <v>1214003.506968</v>
      </c>
    </row>
    <row r="3843" spans="1:6" x14ac:dyDescent="0.3">
      <c r="A3843" s="3" t="s">
        <v>26</v>
      </c>
      <c r="B3843" s="7" t="str">
        <f>VLOOKUP(VALUE(A3843), 'DICIONÁRIO UF'!$A:$B, 2, FALSE)</f>
        <v>Rio Grande do Sul</v>
      </c>
      <c r="C3843" s="3">
        <v>1203</v>
      </c>
      <c r="D3843" s="5" t="str">
        <f>VLOOKUP(C3843, 'DICIONÁRIO CNAES'!$A:$B, 2, FALSE)</f>
        <v>Criação de caprinos e ovinos</v>
      </c>
      <c r="E3843" s="4">
        <v>3541.96215807</v>
      </c>
      <c r="F3843" s="4">
        <v>5574694.5797951501</v>
      </c>
    </row>
    <row r="3844" spans="1:6" x14ac:dyDescent="0.3">
      <c r="A3844" s="3" t="s">
        <v>26</v>
      </c>
      <c r="B3844" s="7" t="str">
        <f>VLOOKUP(VALUE(A3844), 'DICIONÁRIO UF'!$A:$B, 2, FALSE)</f>
        <v>Rio Grande do Sul</v>
      </c>
      <c r="C3844" s="3">
        <v>1204</v>
      </c>
      <c r="D3844" s="5" t="str">
        <f>VLOOKUP(C3844, 'DICIONÁRIO CNAES'!$A:$B, 2, FALSE)</f>
        <v>Criação de suínos</v>
      </c>
      <c r="E3844" s="4">
        <v>14433.370080160001</v>
      </c>
      <c r="F3844" s="4">
        <v>38345671.601393498</v>
      </c>
    </row>
    <row r="3845" spans="1:6" x14ac:dyDescent="0.3">
      <c r="A3845" s="3" t="s">
        <v>26</v>
      </c>
      <c r="B3845" s="7" t="str">
        <f>VLOOKUP(VALUE(A3845), 'DICIONÁRIO UF'!$A:$B, 2, FALSE)</f>
        <v>Rio Grande do Sul</v>
      </c>
      <c r="C3845" s="3">
        <v>1205</v>
      </c>
      <c r="D3845" s="5" t="str">
        <f>VLOOKUP(C3845, 'DICIONÁRIO CNAES'!$A:$B, 2, FALSE)</f>
        <v>Criação de aves</v>
      </c>
      <c r="E3845" s="4">
        <v>16111.99769647</v>
      </c>
      <c r="F3845" s="4">
        <v>33654368.61451795</v>
      </c>
    </row>
    <row r="3846" spans="1:6" x14ac:dyDescent="0.3">
      <c r="A3846" s="3" t="s">
        <v>26</v>
      </c>
      <c r="B3846" s="7" t="str">
        <f>VLOOKUP(VALUE(A3846), 'DICIONÁRIO UF'!$A:$B, 2, FALSE)</f>
        <v>Rio Grande do Sul</v>
      </c>
      <c r="C3846" s="3">
        <v>1206</v>
      </c>
      <c r="D3846" s="5" t="str">
        <f>VLOOKUP(C3846, 'DICIONÁRIO CNAES'!$A:$B, 2, FALSE)</f>
        <v>Apicultura</v>
      </c>
      <c r="E3846" s="4">
        <v>5953.9338451100002</v>
      </c>
      <c r="F3846" s="4">
        <v>9212666.7780954596</v>
      </c>
    </row>
    <row r="3847" spans="1:6" x14ac:dyDescent="0.3">
      <c r="A3847" s="3" t="s">
        <v>26</v>
      </c>
      <c r="B3847" s="7" t="str">
        <f>VLOOKUP(VALUE(A3847), 'DICIONÁRIO UF'!$A:$B, 2, FALSE)</f>
        <v>Rio Grande do Sul</v>
      </c>
      <c r="C3847" s="3">
        <v>1208</v>
      </c>
      <c r="D3847" s="5" t="str">
        <f>VLOOKUP(C3847, 'DICIONÁRIO CNAES'!$A:$B, 2, FALSE)</f>
        <v xml:space="preserve">Criação de outros animais não especificados anteriormente </v>
      </c>
      <c r="E3847" s="4">
        <v>1471.2754173599999</v>
      </c>
      <c r="F3847" s="4">
        <v>6860799.7017400004</v>
      </c>
    </row>
    <row r="3848" spans="1:6" x14ac:dyDescent="0.3">
      <c r="A3848" s="3" t="s">
        <v>26</v>
      </c>
      <c r="B3848" s="7" t="str">
        <f>VLOOKUP(VALUE(A3848), 'DICIONÁRIO UF'!$A:$B, 2, FALSE)</f>
        <v>Rio Grande do Sul</v>
      </c>
      <c r="C3848" s="3">
        <v>1209</v>
      </c>
      <c r="D3848" s="5" t="str">
        <f>VLOOKUP(C3848, 'DICIONÁRIO CNAES'!$A:$B, 2, FALSE)</f>
        <v>Pecuária não especificada</v>
      </c>
      <c r="E3848" s="4">
        <v>916.88535577000005</v>
      </c>
      <c r="F3848" s="4">
        <v>1283639.498078</v>
      </c>
    </row>
    <row r="3849" spans="1:6" x14ac:dyDescent="0.3">
      <c r="A3849" s="3" t="s">
        <v>26</v>
      </c>
      <c r="B3849" s="7" t="str">
        <f>VLOOKUP(VALUE(A3849), 'DICIONÁRIO UF'!$A:$B, 2, FALSE)</f>
        <v>Rio Grande do Sul</v>
      </c>
      <c r="C3849" s="3">
        <v>1401</v>
      </c>
      <c r="D3849" s="5" t="str">
        <f>VLOOKUP(C3849, 'DICIONÁRIO CNAES'!$A:$B, 2, FALSE)</f>
        <v>Atividades de apoio à agricultura e pós-colheita</v>
      </c>
      <c r="E3849" s="4">
        <v>3575.4413308799999</v>
      </c>
      <c r="F3849" s="4">
        <v>10423765.9794256</v>
      </c>
    </row>
    <row r="3850" spans="1:6" x14ac:dyDescent="0.3">
      <c r="A3850" s="3" t="s">
        <v>26</v>
      </c>
      <c r="B3850" s="7" t="str">
        <f>VLOOKUP(VALUE(A3850), 'DICIONÁRIO UF'!$A:$B, 2, FALSE)</f>
        <v>Rio Grande do Sul</v>
      </c>
      <c r="C3850" s="3">
        <v>1402</v>
      </c>
      <c r="D3850" s="5" t="str">
        <f>VLOOKUP(C3850, 'DICIONÁRIO CNAES'!$A:$B, 2, FALSE)</f>
        <v xml:space="preserve">Atividades de apoio à pecuária </v>
      </c>
      <c r="E3850" s="4">
        <v>3021.63337774</v>
      </c>
      <c r="F3850" s="4">
        <v>3696470.1985220001</v>
      </c>
    </row>
    <row r="3851" spans="1:6" x14ac:dyDescent="0.3">
      <c r="A3851" s="3" t="s">
        <v>26</v>
      </c>
      <c r="B3851" s="7" t="str">
        <f>VLOOKUP(VALUE(A3851), 'DICIONÁRIO UF'!$A:$B, 2, FALSE)</f>
        <v>Rio Grande do Sul</v>
      </c>
      <c r="C3851" s="3">
        <v>2000</v>
      </c>
      <c r="D3851" s="5" t="str">
        <f>VLOOKUP(C3851, 'DICIONÁRIO CNAES'!$A:$B, 2, FALSE)</f>
        <v xml:space="preserve">Produção florestal </v>
      </c>
      <c r="E3851" s="4">
        <v>18356.634923959999</v>
      </c>
      <c r="F3851" s="4">
        <v>34886189.315885</v>
      </c>
    </row>
    <row r="3852" spans="1:6" x14ac:dyDescent="0.3">
      <c r="A3852" s="3" t="s">
        <v>26</v>
      </c>
      <c r="B3852" s="7" t="str">
        <f>VLOOKUP(VALUE(A3852), 'DICIONÁRIO UF'!$A:$B, 2, FALSE)</f>
        <v>Rio Grande do Sul</v>
      </c>
      <c r="C3852" s="3">
        <v>3001</v>
      </c>
      <c r="D3852" s="5" t="str">
        <f>VLOOKUP(C3852, 'DICIONÁRIO CNAES'!$A:$B, 2, FALSE)</f>
        <v>Pesca</v>
      </c>
      <c r="E3852" s="4">
        <v>5144.4240048600004</v>
      </c>
      <c r="F3852" s="4">
        <v>3593955.1348859998</v>
      </c>
    </row>
    <row r="3853" spans="1:6" x14ac:dyDescent="0.3">
      <c r="A3853" s="3" t="s">
        <v>26</v>
      </c>
      <c r="B3853" s="7" t="str">
        <f>VLOOKUP(VALUE(A3853), 'DICIONÁRIO UF'!$A:$B, 2, FALSE)</f>
        <v>Rio Grande do Sul</v>
      </c>
      <c r="C3853" s="3">
        <v>3002</v>
      </c>
      <c r="D3853" s="5" t="str">
        <f>VLOOKUP(C3853, 'DICIONÁRIO CNAES'!$A:$B, 2, FALSE)</f>
        <v>Aqüicultura</v>
      </c>
      <c r="E3853" s="4">
        <v>2805.6729864600002</v>
      </c>
      <c r="F3853" s="4">
        <v>7516634.7033024998</v>
      </c>
    </row>
    <row r="3854" spans="1:6" x14ac:dyDescent="0.3">
      <c r="A3854" s="3" t="s">
        <v>26</v>
      </c>
      <c r="B3854" s="7" t="str">
        <f>VLOOKUP(VALUE(A3854), 'DICIONÁRIO UF'!$A:$B, 2, FALSE)</f>
        <v>Rio Grande do Sul</v>
      </c>
      <c r="C3854" s="3">
        <v>5000</v>
      </c>
      <c r="D3854" s="5" t="str">
        <f>VLOOKUP(C3854, 'DICIONÁRIO CNAES'!$A:$B, 2, FALSE)</f>
        <v>Extração de carvão mineral</v>
      </c>
      <c r="E3854" s="4">
        <v>1293.67652284</v>
      </c>
      <c r="F3854" s="4">
        <v>2221995.4504419998</v>
      </c>
    </row>
    <row r="3855" spans="1:6" x14ac:dyDescent="0.3">
      <c r="A3855" s="3" t="s">
        <v>26</v>
      </c>
      <c r="B3855" s="7" t="str">
        <f>VLOOKUP(VALUE(A3855), 'DICIONÁRIO UF'!$A:$B, 2, FALSE)</f>
        <v>Rio Grande do Sul</v>
      </c>
      <c r="C3855" s="3">
        <v>6000</v>
      </c>
      <c r="D3855" s="5" t="str">
        <f>VLOOKUP(C3855, 'DICIONÁRIO CNAES'!$A:$B, 2, FALSE)</f>
        <v xml:space="preserve">Extração de petróleo e gás natural </v>
      </c>
      <c r="E3855" s="4">
        <v>1715.37572284</v>
      </c>
      <c r="F3855" s="4">
        <v>18654390.71232</v>
      </c>
    </row>
    <row r="3856" spans="1:6" x14ac:dyDescent="0.3">
      <c r="A3856" s="3" t="s">
        <v>26</v>
      </c>
      <c r="B3856" s="7" t="str">
        <f>VLOOKUP(VALUE(A3856), 'DICIONÁRIO UF'!$A:$B, 2, FALSE)</f>
        <v>Rio Grande do Sul</v>
      </c>
      <c r="C3856" s="3">
        <v>8001</v>
      </c>
      <c r="D3856" s="5" t="str">
        <f>VLOOKUP(C3856, 'DICIONÁRIO CNAES'!$A:$B, 2, FALSE)</f>
        <v>Extração de pedras, areia e argila</v>
      </c>
      <c r="E3856" s="4">
        <v>8907.2720635200003</v>
      </c>
      <c r="F3856" s="4">
        <v>21495846.745979998</v>
      </c>
    </row>
    <row r="3857" spans="1:6" x14ac:dyDescent="0.3">
      <c r="A3857" s="3" t="s">
        <v>26</v>
      </c>
      <c r="B3857" s="7" t="str">
        <f>VLOOKUP(VALUE(A3857), 'DICIONÁRIO UF'!$A:$B, 2, FALSE)</f>
        <v>Rio Grande do Sul</v>
      </c>
      <c r="C3857" s="3">
        <v>8002</v>
      </c>
      <c r="D3857" s="5" t="str">
        <f>VLOOKUP(C3857, 'DICIONÁRIO CNAES'!$A:$B, 2, FALSE)</f>
        <v>Extração de gemas (pedras preciosas e semi-preciosas)</v>
      </c>
      <c r="E3857" s="4">
        <v>214.62169213000001</v>
      </c>
      <c r="F3857" s="4">
        <v>1287730.1527799999</v>
      </c>
    </row>
    <row r="3858" spans="1:6" x14ac:dyDescent="0.3">
      <c r="A3858" s="3" t="s">
        <v>26</v>
      </c>
      <c r="B3858" s="7" t="str">
        <f>VLOOKUP(VALUE(A3858), 'DICIONÁRIO UF'!$A:$B, 2, FALSE)</f>
        <v>Rio Grande do Sul</v>
      </c>
      <c r="C3858" s="3">
        <v>9000</v>
      </c>
      <c r="D3858" s="5" t="str">
        <f>VLOOKUP(C3858, 'DICIONÁRIO CNAES'!$A:$B, 2, FALSE)</f>
        <v>Atividades de apoio à extração de minerais</v>
      </c>
      <c r="E3858" s="4">
        <v>468.39283763999998</v>
      </c>
      <c r="F3858" s="4">
        <v>10773035.26572</v>
      </c>
    </row>
    <row r="3859" spans="1:6" x14ac:dyDescent="0.3">
      <c r="A3859" s="3" t="s">
        <v>26</v>
      </c>
      <c r="B3859" s="7" t="str">
        <f>VLOOKUP(VALUE(A3859), 'DICIONÁRIO UF'!$A:$B, 2, FALSE)</f>
        <v>Rio Grande do Sul</v>
      </c>
      <c r="C3859" s="3">
        <v>10010</v>
      </c>
      <c r="D3859" s="5" t="str">
        <f>VLOOKUP(C3859, 'DICIONÁRIO CNAES'!$A:$B, 2, FALSE)</f>
        <v xml:space="preserve">Abate e fabricação de produtos de carne e pescado </v>
      </c>
      <c r="E3859" s="4">
        <v>62568.414115489999</v>
      </c>
      <c r="F3859" s="4">
        <v>134349594.15792981</v>
      </c>
    </row>
    <row r="3860" spans="1:6" x14ac:dyDescent="0.3">
      <c r="A3860" s="3" t="s">
        <v>26</v>
      </c>
      <c r="B3860" s="7" t="str">
        <f>VLOOKUP(VALUE(A3860), 'DICIONÁRIO UF'!$A:$B, 2, FALSE)</f>
        <v>Rio Grande do Sul</v>
      </c>
      <c r="C3860" s="3">
        <v>10021</v>
      </c>
      <c r="D3860" s="5" t="str">
        <f>VLOOKUP(C3860, 'DICIONÁRIO CNAES'!$A:$B, 2, FALSE)</f>
        <v>Fabricação de conservas de frutas, legumes e outros vegetais</v>
      </c>
      <c r="E3860" s="4">
        <v>2098.7771249500001</v>
      </c>
      <c r="F3860" s="4">
        <v>2422479.7316149999</v>
      </c>
    </row>
    <row r="3861" spans="1:6" x14ac:dyDescent="0.3">
      <c r="A3861" s="3" t="s">
        <v>26</v>
      </c>
      <c r="B3861" s="7" t="str">
        <f>VLOOKUP(VALUE(A3861), 'DICIONÁRIO UF'!$A:$B, 2, FALSE)</f>
        <v>Rio Grande do Sul</v>
      </c>
      <c r="C3861" s="3">
        <v>10022</v>
      </c>
      <c r="D3861" s="5" t="str">
        <f>VLOOKUP(C3861, 'DICIONÁRIO CNAES'!$A:$B, 2, FALSE)</f>
        <v>Fabricação de óleos vegetais e gorduras vegetais e animais</v>
      </c>
      <c r="E3861" s="4">
        <v>1134.4862849199999</v>
      </c>
      <c r="F3861" s="4">
        <v>1489959.5753840001</v>
      </c>
    </row>
    <row r="3862" spans="1:6" x14ac:dyDescent="0.3">
      <c r="A3862" s="3" t="s">
        <v>26</v>
      </c>
      <c r="B3862" s="7" t="str">
        <f>VLOOKUP(VALUE(A3862), 'DICIONÁRIO UF'!$A:$B, 2, FALSE)</f>
        <v>Rio Grande do Sul</v>
      </c>
      <c r="C3862" s="3">
        <v>10030</v>
      </c>
      <c r="D3862" s="5" t="str">
        <f>VLOOKUP(C3862, 'DICIONÁRIO CNAES'!$A:$B, 2, FALSE)</f>
        <v>Laticínios</v>
      </c>
      <c r="E3862" s="4">
        <v>11895.90003932</v>
      </c>
      <c r="F3862" s="4">
        <v>21038771.16846307</v>
      </c>
    </row>
    <row r="3863" spans="1:6" x14ac:dyDescent="0.3">
      <c r="A3863" s="3" t="s">
        <v>26</v>
      </c>
      <c r="B3863" s="7" t="str">
        <f>VLOOKUP(VALUE(A3863), 'DICIONÁRIO UF'!$A:$B, 2, FALSE)</f>
        <v>Rio Grande do Sul</v>
      </c>
      <c r="C3863" s="3">
        <v>10091</v>
      </c>
      <c r="D3863" s="5" t="str">
        <f>VLOOKUP(C3863, 'DICIONÁRIO CNAES'!$A:$B, 2, FALSE)</f>
        <v>Moagem, fabricação de produtos amiláceos e de alimentos para animais</v>
      </c>
      <c r="E3863" s="4">
        <v>20275.835761580001</v>
      </c>
      <c r="F3863" s="4">
        <v>49561345.23301854</v>
      </c>
    </row>
    <row r="3864" spans="1:6" x14ac:dyDescent="0.3">
      <c r="A3864" s="3" t="s">
        <v>26</v>
      </c>
      <c r="B3864" s="7" t="str">
        <f>VLOOKUP(VALUE(A3864), 'DICIONÁRIO UF'!$A:$B, 2, FALSE)</f>
        <v>Rio Grande do Sul</v>
      </c>
      <c r="C3864" s="3">
        <v>10092</v>
      </c>
      <c r="D3864" s="5" t="str">
        <f>VLOOKUP(C3864, 'DICIONÁRIO CNAES'!$A:$B, 2, FALSE)</f>
        <v>Fabricação e refino do açúcar</v>
      </c>
      <c r="E3864" s="4">
        <v>372.46898027999998</v>
      </c>
      <c r="F3864" s="4">
        <v>457763.27846399997</v>
      </c>
    </row>
    <row r="3865" spans="1:6" x14ac:dyDescent="0.3">
      <c r="A3865" s="3" t="s">
        <v>26</v>
      </c>
      <c r="B3865" s="7" t="str">
        <f>VLOOKUP(VALUE(A3865), 'DICIONÁRIO UF'!$A:$B, 2, FALSE)</f>
        <v>Rio Grande do Sul</v>
      </c>
      <c r="C3865" s="3">
        <v>10093</v>
      </c>
      <c r="D3865" s="5" t="str">
        <f>VLOOKUP(C3865, 'DICIONÁRIO CNAES'!$A:$B, 2, FALSE)</f>
        <v>Torrefação e moagem de café</v>
      </c>
      <c r="E3865" s="4">
        <v>926.13203190000002</v>
      </c>
      <c r="F3865" s="4">
        <v>2778396.0956999999</v>
      </c>
    </row>
    <row r="3866" spans="1:6" x14ac:dyDescent="0.3">
      <c r="A3866" s="3" t="s">
        <v>26</v>
      </c>
      <c r="B3866" s="7" t="str">
        <f>VLOOKUP(VALUE(A3866), 'DICIONÁRIO UF'!$A:$B, 2, FALSE)</f>
        <v>Rio Grande do Sul</v>
      </c>
      <c r="C3866" s="3">
        <v>10099</v>
      </c>
      <c r="D3866" s="5" t="str">
        <f>VLOOKUP(C3866, 'DICIONÁRIO CNAES'!$A:$B, 2, FALSE)</f>
        <v>Fabricação de outros produtos alimentícios</v>
      </c>
      <c r="E3866" s="4">
        <v>31376.028112060001</v>
      </c>
      <c r="F3866" s="4">
        <v>69209691.389506981</v>
      </c>
    </row>
    <row r="3867" spans="1:6" x14ac:dyDescent="0.3">
      <c r="A3867" s="3" t="s">
        <v>26</v>
      </c>
      <c r="B3867" s="7" t="str">
        <f>VLOOKUP(VALUE(A3867), 'DICIONÁRIO UF'!$A:$B, 2, FALSE)</f>
        <v>Rio Grande do Sul</v>
      </c>
      <c r="C3867" s="3">
        <v>11000</v>
      </c>
      <c r="D3867" s="5" t="str">
        <f>VLOOKUP(C3867, 'DICIONÁRIO CNAES'!$A:$B, 2, FALSE)</f>
        <v>Fabricação de bebidas</v>
      </c>
      <c r="E3867" s="4">
        <v>11582.41738846</v>
      </c>
      <c r="F3867" s="4">
        <v>41486994.981537297</v>
      </c>
    </row>
    <row r="3868" spans="1:6" x14ac:dyDescent="0.3">
      <c r="A3868" s="3" t="s">
        <v>26</v>
      </c>
      <c r="B3868" s="7" t="str">
        <f>VLOOKUP(VALUE(A3868), 'DICIONÁRIO UF'!$A:$B, 2, FALSE)</f>
        <v>Rio Grande do Sul</v>
      </c>
      <c r="C3868" s="3">
        <v>12000</v>
      </c>
      <c r="D3868" s="5" t="str">
        <f>VLOOKUP(C3868, 'DICIONÁRIO CNAES'!$A:$B, 2, FALSE)</f>
        <v>Processamento industrial e fabricação de produtos do fumo</v>
      </c>
      <c r="E3868" s="4">
        <v>5437.5961764399999</v>
      </c>
      <c r="F3868" s="4">
        <v>18513601.609492999</v>
      </c>
    </row>
    <row r="3869" spans="1:6" x14ac:dyDescent="0.3">
      <c r="A3869" s="3" t="s">
        <v>26</v>
      </c>
      <c r="B3869" s="7" t="str">
        <f>VLOOKUP(VALUE(A3869), 'DICIONÁRIO UF'!$A:$B, 2, FALSE)</f>
        <v>Rio Grande do Sul</v>
      </c>
      <c r="C3869" s="3">
        <v>13001</v>
      </c>
      <c r="D3869" s="5" t="str">
        <f>VLOOKUP(C3869, 'DICIONÁRIO CNAES'!$A:$B, 2, FALSE)</f>
        <v>Preparação de fibras, fiação e tecelagem</v>
      </c>
      <c r="E3869" s="4">
        <v>3660.9447509900001</v>
      </c>
      <c r="F3869" s="4">
        <v>6923899.8105734996</v>
      </c>
    </row>
    <row r="3870" spans="1:6" x14ac:dyDescent="0.3">
      <c r="A3870" s="3" t="s">
        <v>26</v>
      </c>
      <c r="B3870" s="7" t="str">
        <f>VLOOKUP(VALUE(A3870), 'DICIONÁRIO UF'!$A:$B, 2, FALSE)</f>
        <v>Rio Grande do Sul</v>
      </c>
      <c r="C3870" s="3">
        <v>13002</v>
      </c>
      <c r="D3870" s="5" t="str">
        <f>VLOOKUP(C3870, 'DICIONÁRIO CNAES'!$A:$B, 2, FALSE)</f>
        <v>Fabricação de artefatos têxteis, exceto vestuário</v>
      </c>
      <c r="E3870" s="4">
        <v>16095.807268869999</v>
      </c>
      <c r="F3870" s="4">
        <v>21652912.373025998</v>
      </c>
    </row>
    <row r="3871" spans="1:6" x14ac:dyDescent="0.3">
      <c r="A3871" s="3" t="s">
        <v>26</v>
      </c>
      <c r="B3871" s="7" t="str">
        <f>VLOOKUP(VALUE(A3871), 'DICIONÁRIO UF'!$A:$B, 2, FALSE)</f>
        <v>Rio Grande do Sul</v>
      </c>
      <c r="C3871" s="3">
        <v>14001</v>
      </c>
      <c r="D3871" s="5" t="str">
        <f>VLOOKUP(C3871, 'DICIONÁRIO CNAES'!$A:$B, 2, FALSE)</f>
        <v>Confecção de artigos do vestuário e acessórios, exceto sob medida</v>
      </c>
      <c r="E3871" s="4">
        <v>40230.932438939999</v>
      </c>
      <c r="F3871" s="4">
        <v>63921385.532377698</v>
      </c>
    </row>
    <row r="3872" spans="1:6" x14ac:dyDescent="0.3">
      <c r="A3872" s="3" t="s">
        <v>26</v>
      </c>
      <c r="B3872" s="7" t="str">
        <f>VLOOKUP(VALUE(A3872), 'DICIONÁRIO UF'!$A:$B, 2, FALSE)</f>
        <v>Rio Grande do Sul</v>
      </c>
      <c r="C3872" s="3">
        <v>14002</v>
      </c>
      <c r="D3872" s="5" t="str">
        <f>VLOOKUP(C3872, 'DICIONÁRIO CNAES'!$A:$B, 2, FALSE)</f>
        <v>Confecção, sob medida, de artigos do vestuário</v>
      </c>
      <c r="E3872" s="4">
        <v>27121.604622499999</v>
      </c>
      <c r="F3872" s="4">
        <v>39642766.75890106</v>
      </c>
    </row>
    <row r="3873" spans="1:6" x14ac:dyDescent="0.3">
      <c r="A3873" s="3" t="s">
        <v>26</v>
      </c>
      <c r="B3873" s="7" t="str">
        <f>VLOOKUP(VALUE(A3873), 'DICIONÁRIO UF'!$A:$B, 2, FALSE)</f>
        <v>Rio Grande do Sul</v>
      </c>
      <c r="C3873" s="3">
        <v>15011</v>
      </c>
      <c r="D3873" s="5" t="str">
        <f>VLOOKUP(C3873, 'DICIONÁRIO CNAES'!$A:$B, 2, FALSE)</f>
        <v>Curtimento e outras preparações de couro</v>
      </c>
      <c r="E3873" s="4">
        <v>8667.1126415500003</v>
      </c>
      <c r="F3873" s="4">
        <v>29270318.845269799</v>
      </c>
    </row>
    <row r="3874" spans="1:6" x14ac:dyDescent="0.3">
      <c r="A3874" s="3" t="s">
        <v>26</v>
      </c>
      <c r="B3874" s="7" t="str">
        <f>VLOOKUP(VALUE(A3874), 'DICIONÁRIO UF'!$A:$B, 2, FALSE)</f>
        <v>Rio Grande do Sul</v>
      </c>
      <c r="C3874" s="3">
        <v>15012</v>
      </c>
      <c r="D3874" s="5" t="str">
        <f>VLOOKUP(C3874, 'DICIONÁRIO CNAES'!$A:$B, 2, FALSE)</f>
        <v>Fabricação de artigos de viagem e de artefatos diversos de couro</v>
      </c>
      <c r="E3874" s="4">
        <v>1155.8955584800001</v>
      </c>
      <c r="F3874" s="4">
        <v>1782072.117477</v>
      </c>
    </row>
    <row r="3875" spans="1:6" x14ac:dyDescent="0.3">
      <c r="A3875" s="3" t="s">
        <v>26</v>
      </c>
      <c r="B3875" s="7" t="str">
        <f>VLOOKUP(VALUE(A3875), 'DICIONÁRIO UF'!$A:$B, 2, FALSE)</f>
        <v>Rio Grande do Sul</v>
      </c>
      <c r="C3875" s="3">
        <v>15020</v>
      </c>
      <c r="D3875" s="5" t="str">
        <f>VLOOKUP(C3875, 'DICIONÁRIO CNAES'!$A:$B, 2, FALSE)</f>
        <v>Fabricação de calçados e partes para calçados, de qualquer material</v>
      </c>
      <c r="E3875" s="4">
        <v>103255.88124620001</v>
      </c>
      <c r="F3875" s="4">
        <v>214648805.26989019</v>
      </c>
    </row>
    <row r="3876" spans="1:6" x14ac:dyDescent="0.3">
      <c r="A3876" s="3" t="s">
        <v>26</v>
      </c>
      <c r="B3876" s="7" t="str">
        <f>VLOOKUP(VALUE(A3876), 'DICIONÁRIO UF'!$A:$B, 2, FALSE)</f>
        <v>Rio Grande do Sul</v>
      </c>
      <c r="C3876" s="3">
        <v>16001</v>
      </c>
      <c r="D3876" s="5" t="str">
        <f>VLOOKUP(C3876, 'DICIONÁRIO CNAES'!$A:$B, 2, FALSE)</f>
        <v>Serrarias</v>
      </c>
      <c r="E3876" s="4">
        <v>8566.0335951600009</v>
      </c>
      <c r="F3876" s="4">
        <v>12194936.331576001</v>
      </c>
    </row>
    <row r="3877" spans="1:6" x14ac:dyDescent="0.3">
      <c r="A3877" s="3" t="s">
        <v>26</v>
      </c>
      <c r="B3877" s="7" t="str">
        <f>VLOOKUP(VALUE(A3877), 'DICIONÁRIO UF'!$A:$B, 2, FALSE)</f>
        <v>Rio Grande do Sul</v>
      </c>
      <c r="C3877" s="3">
        <v>16002</v>
      </c>
      <c r="D3877" s="5" t="str">
        <f>VLOOKUP(C3877, 'DICIONÁRIO CNAES'!$A:$B, 2, FALSE)</f>
        <v>Fabricação de produtos de madeira, cortiça e material trançado, exceto móveis</v>
      </c>
      <c r="E3877" s="4">
        <v>15310.113419380001</v>
      </c>
      <c r="F3877" s="4">
        <v>33340976.674396999</v>
      </c>
    </row>
    <row r="3878" spans="1:6" x14ac:dyDescent="0.3">
      <c r="A3878" s="3" t="s">
        <v>26</v>
      </c>
      <c r="B3878" s="7" t="str">
        <f>VLOOKUP(VALUE(A3878), 'DICIONÁRIO UF'!$A:$B, 2, FALSE)</f>
        <v>Rio Grande do Sul</v>
      </c>
      <c r="C3878" s="3">
        <v>17001</v>
      </c>
      <c r="D3878" s="5" t="str">
        <f>VLOOKUP(C3878, 'DICIONÁRIO CNAES'!$A:$B, 2, FALSE)</f>
        <v>Fabricação de celulose, papel, cartolina e papel-cartão</v>
      </c>
      <c r="E3878" s="4">
        <v>2716.3928436400001</v>
      </c>
      <c r="F3878" s="4">
        <v>7246088.688666299</v>
      </c>
    </row>
    <row r="3879" spans="1:6" x14ac:dyDescent="0.3">
      <c r="A3879" s="3" t="s">
        <v>26</v>
      </c>
      <c r="B3879" s="7" t="str">
        <f>VLOOKUP(VALUE(A3879), 'DICIONÁRIO UF'!$A:$B, 2, FALSE)</f>
        <v>Rio Grande do Sul</v>
      </c>
      <c r="C3879" s="3">
        <v>17002</v>
      </c>
      <c r="D3879" s="5" t="str">
        <f>VLOOKUP(C3879, 'DICIONÁRIO CNAES'!$A:$B, 2, FALSE)</f>
        <v>Fabricação de embalagens e de produtos diversos de papel, cartolina, papel-cartão e papelão ondulado</v>
      </c>
      <c r="E3879" s="4">
        <v>8073.31901423</v>
      </c>
      <c r="F3879" s="4">
        <v>20165380.92186936</v>
      </c>
    </row>
    <row r="3880" spans="1:6" x14ac:dyDescent="0.3">
      <c r="A3880" s="3" t="s">
        <v>26</v>
      </c>
      <c r="B3880" s="7" t="str">
        <f>VLOOKUP(VALUE(A3880), 'DICIONÁRIO UF'!$A:$B, 2, FALSE)</f>
        <v>Rio Grande do Sul</v>
      </c>
      <c r="C3880" s="3">
        <v>18000</v>
      </c>
      <c r="D3880" s="5" t="str">
        <f>VLOOKUP(C3880, 'DICIONÁRIO CNAES'!$A:$B, 2, FALSE)</f>
        <v>Impressão e reprodução de gravações</v>
      </c>
      <c r="E3880" s="4">
        <v>12840.18949735</v>
      </c>
      <c r="F3880" s="4">
        <v>26035586.19286564</v>
      </c>
    </row>
    <row r="3881" spans="1:6" x14ac:dyDescent="0.3">
      <c r="A3881" s="3" t="s">
        <v>26</v>
      </c>
      <c r="B3881" s="7" t="str">
        <f>VLOOKUP(VALUE(A3881), 'DICIONÁRIO UF'!$A:$B, 2, FALSE)</f>
        <v>Rio Grande do Sul</v>
      </c>
      <c r="C3881" s="3">
        <v>19020</v>
      </c>
      <c r="D3881" s="5" t="str">
        <f>VLOOKUP(C3881, 'DICIONÁRIO CNAES'!$A:$B, 2, FALSE)</f>
        <v>Fabricação de produtos derivados do petróleo</v>
      </c>
      <c r="E3881" s="4">
        <v>2244.5665357799999</v>
      </c>
      <c r="F3881" s="4">
        <v>17970199.656431999</v>
      </c>
    </row>
    <row r="3882" spans="1:6" x14ac:dyDescent="0.3">
      <c r="A3882" s="3" t="s">
        <v>26</v>
      </c>
      <c r="B3882" s="7" t="str">
        <f>VLOOKUP(VALUE(A3882), 'DICIONÁRIO UF'!$A:$B, 2, FALSE)</f>
        <v>Rio Grande do Sul</v>
      </c>
      <c r="C3882" s="3">
        <v>19030</v>
      </c>
      <c r="D3882" s="5" t="str">
        <f>VLOOKUP(C3882, 'DICIONÁRIO CNAES'!$A:$B, 2, FALSE)</f>
        <v>Produção de biocombustíveis</v>
      </c>
      <c r="E3882" s="4">
        <v>3152.5572034699999</v>
      </c>
      <c r="F3882" s="4">
        <v>10197622.413362</v>
      </c>
    </row>
    <row r="3883" spans="1:6" x14ac:dyDescent="0.3">
      <c r="A3883" s="3" t="s">
        <v>26</v>
      </c>
      <c r="B3883" s="7" t="str">
        <f>VLOOKUP(VALUE(A3883), 'DICIONÁRIO UF'!$A:$B, 2, FALSE)</f>
        <v>Rio Grande do Sul</v>
      </c>
      <c r="C3883" s="3">
        <v>20010</v>
      </c>
      <c r="D3883" s="5" t="str">
        <f>VLOOKUP(C3883, 'DICIONÁRIO CNAES'!$A:$B, 2, FALSE)</f>
        <v>Fabricação de tintas, vernizes, esmaltes, lacas e produtos afins</v>
      </c>
      <c r="E3883" s="4">
        <v>1430.3739318400001</v>
      </c>
      <c r="F3883" s="4">
        <v>10774440.38504</v>
      </c>
    </row>
    <row r="3884" spans="1:6" x14ac:dyDescent="0.3">
      <c r="A3884" s="3" t="s">
        <v>26</v>
      </c>
      <c r="B3884" s="7" t="str">
        <f>VLOOKUP(VALUE(A3884), 'DICIONÁRIO UF'!$A:$B, 2, FALSE)</f>
        <v>Rio Grande do Sul</v>
      </c>
      <c r="C3884" s="3">
        <v>20020</v>
      </c>
      <c r="D3884" s="5" t="str">
        <f>VLOOKUP(C3884, 'DICIONÁRIO CNAES'!$A:$B, 2, FALSE)</f>
        <v>Fabricação de sabões, detergentes, produtos de limpeza, cosméticos, produtos de perfumaria e de higiene pessoal</v>
      </c>
      <c r="E3884" s="4">
        <v>5555.6559826499997</v>
      </c>
      <c r="F3884" s="4">
        <v>19255392.043680999</v>
      </c>
    </row>
    <row r="3885" spans="1:6" x14ac:dyDescent="0.3">
      <c r="A3885" s="3" t="s">
        <v>26</v>
      </c>
      <c r="B3885" s="7" t="str">
        <f>VLOOKUP(VALUE(A3885), 'DICIONÁRIO UF'!$A:$B, 2, FALSE)</f>
        <v>Rio Grande do Sul</v>
      </c>
      <c r="C3885" s="3">
        <v>20090</v>
      </c>
      <c r="D3885" s="5" t="str">
        <f>VLOOKUP(C3885, 'DICIONÁRIO CNAES'!$A:$B, 2, FALSE)</f>
        <v>Fabricação de outros produtos químicos não especificados anteriormente</v>
      </c>
      <c r="E3885" s="4">
        <v>18541.309691769999</v>
      </c>
      <c r="F3885" s="4">
        <v>63925956.866396703</v>
      </c>
    </row>
    <row r="3886" spans="1:6" x14ac:dyDescent="0.3">
      <c r="A3886" s="3" t="s">
        <v>26</v>
      </c>
      <c r="B3886" s="7" t="str">
        <f>VLOOKUP(VALUE(A3886), 'DICIONÁRIO UF'!$A:$B, 2, FALSE)</f>
        <v>Rio Grande do Sul</v>
      </c>
      <c r="C3886" s="3">
        <v>21000</v>
      </c>
      <c r="D3886" s="5" t="str">
        <f>VLOOKUP(C3886, 'DICIONÁRIO CNAES'!$A:$B, 2, FALSE)</f>
        <v>Fabricação de produtos farmoquimicos e farmacêuticos</v>
      </c>
      <c r="E3886" s="4">
        <v>4159.4037626299996</v>
      </c>
      <c r="F3886" s="4">
        <v>17125206.136066601</v>
      </c>
    </row>
    <row r="3887" spans="1:6" x14ac:dyDescent="0.3">
      <c r="A3887" s="3" t="s">
        <v>26</v>
      </c>
      <c r="B3887" s="7" t="str">
        <f>VLOOKUP(VALUE(A3887), 'DICIONÁRIO UF'!$A:$B, 2, FALSE)</f>
        <v>Rio Grande do Sul</v>
      </c>
      <c r="C3887" s="3">
        <v>22010</v>
      </c>
      <c r="D3887" s="5" t="str">
        <f>VLOOKUP(C3887, 'DICIONÁRIO CNAES'!$A:$B, 2, FALSE)</f>
        <v>Fabricação de produtos de borracha</v>
      </c>
      <c r="E3887" s="4">
        <v>9431.0159272399997</v>
      </c>
      <c r="F3887" s="4">
        <v>24142862.693608001</v>
      </c>
    </row>
    <row r="3888" spans="1:6" x14ac:dyDescent="0.3">
      <c r="A3888" s="3" t="s">
        <v>26</v>
      </c>
      <c r="B3888" s="7" t="str">
        <f>VLOOKUP(VALUE(A3888), 'DICIONÁRIO UF'!$A:$B, 2, FALSE)</f>
        <v>Rio Grande do Sul</v>
      </c>
      <c r="C3888" s="3">
        <v>22020</v>
      </c>
      <c r="D3888" s="5" t="str">
        <f>VLOOKUP(C3888, 'DICIONÁRIO CNAES'!$A:$B, 2, FALSE)</f>
        <v>Fabricação de produtos de material plástico</v>
      </c>
      <c r="E3888" s="4">
        <v>28425.20466657</v>
      </c>
      <c r="F3888" s="4">
        <v>110385507.875448</v>
      </c>
    </row>
    <row r="3889" spans="1:6" x14ac:dyDescent="0.3">
      <c r="A3889" s="3" t="s">
        <v>26</v>
      </c>
      <c r="B3889" s="7" t="str">
        <f>VLOOKUP(VALUE(A3889), 'DICIONÁRIO UF'!$A:$B, 2, FALSE)</f>
        <v>Rio Grande do Sul</v>
      </c>
      <c r="C3889" s="3">
        <v>23010</v>
      </c>
      <c r="D3889" s="5" t="str">
        <f>VLOOKUP(C3889, 'DICIONÁRIO CNAES'!$A:$B, 2, FALSE)</f>
        <v>Fabricação de vidro e produtos de vidro</v>
      </c>
      <c r="E3889" s="4">
        <v>5462.2169092499998</v>
      </c>
      <c r="F3889" s="4">
        <v>10813655.432703</v>
      </c>
    </row>
    <row r="3890" spans="1:6" x14ac:dyDescent="0.3">
      <c r="A3890" s="3" t="s">
        <v>26</v>
      </c>
      <c r="B3890" s="7" t="str">
        <f>VLOOKUP(VALUE(A3890), 'DICIONÁRIO UF'!$A:$B, 2, FALSE)</f>
        <v>Rio Grande do Sul</v>
      </c>
      <c r="C3890" s="3">
        <v>23091</v>
      </c>
      <c r="D3890" s="5" t="str">
        <f>VLOOKUP(C3890, 'DICIONÁRIO CNAES'!$A:$B, 2, FALSE)</f>
        <v>Fabricação de produtos cerâmicos</v>
      </c>
      <c r="E3890" s="4">
        <v>7771.9889768900002</v>
      </c>
      <c r="F3890" s="4">
        <v>10213910.595523501</v>
      </c>
    </row>
    <row r="3891" spans="1:6" x14ac:dyDescent="0.3">
      <c r="A3891" s="3" t="s">
        <v>26</v>
      </c>
      <c r="B3891" s="7" t="str">
        <f>VLOOKUP(VALUE(A3891), 'DICIONÁRIO UF'!$A:$B, 2, FALSE)</f>
        <v>Rio Grande do Sul</v>
      </c>
      <c r="C3891" s="3">
        <v>23099</v>
      </c>
      <c r="D3891" s="5" t="str">
        <f>VLOOKUP(C3891, 'DICIONÁRIO CNAES'!$A:$B, 2, FALSE)</f>
        <v>Fabricação de outros produtos de minerais não-metálicos não especificados anteriormente</v>
      </c>
      <c r="E3891" s="4">
        <v>15045.13261033</v>
      </c>
      <c r="F3891" s="4">
        <v>31055680.212675001</v>
      </c>
    </row>
    <row r="3892" spans="1:6" x14ac:dyDescent="0.3">
      <c r="A3892" s="3" t="s">
        <v>26</v>
      </c>
      <c r="B3892" s="7" t="str">
        <f>VLOOKUP(VALUE(A3892), 'DICIONÁRIO UF'!$A:$B, 2, FALSE)</f>
        <v>Rio Grande do Sul</v>
      </c>
      <c r="C3892" s="3">
        <v>24001</v>
      </c>
      <c r="D3892" s="5" t="str">
        <f>VLOOKUP(C3892, 'DICIONÁRIO CNAES'!$A:$B, 2, FALSE)</f>
        <v>Fabricação de produtos siderúrgicos</v>
      </c>
      <c r="E3892" s="4">
        <v>4169.2736274500003</v>
      </c>
      <c r="F3892" s="4">
        <v>19223379.830837999</v>
      </c>
    </row>
    <row r="3893" spans="1:6" x14ac:dyDescent="0.3">
      <c r="A3893" s="3" t="s">
        <v>26</v>
      </c>
      <c r="B3893" s="7" t="str">
        <f>VLOOKUP(VALUE(A3893), 'DICIONÁRIO UF'!$A:$B, 2, FALSE)</f>
        <v>Rio Grande do Sul</v>
      </c>
      <c r="C3893" s="3">
        <v>24002</v>
      </c>
      <c r="D3893" s="5" t="str">
        <f>VLOOKUP(C3893, 'DICIONÁRIO CNAES'!$A:$B, 2, FALSE)</f>
        <v>Metalurgia dos metais não-ferrosos</v>
      </c>
      <c r="E3893" s="4">
        <v>2632.7961517099998</v>
      </c>
      <c r="F3893" s="4">
        <v>10616973.873822</v>
      </c>
    </row>
    <row r="3894" spans="1:6" x14ac:dyDescent="0.3">
      <c r="A3894" s="3" t="s">
        <v>26</v>
      </c>
      <c r="B3894" s="7" t="str">
        <f>VLOOKUP(VALUE(A3894), 'DICIONÁRIO UF'!$A:$B, 2, FALSE)</f>
        <v>Rio Grande do Sul</v>
      </c>
      <c r="C3894" s="3">
        <v>24003</v>
      </c>
      <c r="D3894" s="5" t="str">
        <f>VLOOKUP(C3894, 'DICIONÁRIO CNAES'!$A:$B, 2, FALSE)</f>
        <v>Fundição</v>
      </c>
      <c r="E3894" s="4">
        <v>3132.80006473</v>
      </c>
      <c r="F3894" s="4">
        <v>4497476.2150130002</v>
      </c>
    </row>
    <row r="3895" spans="1:6" x14ac:dyDescent="0.3">
      <c r="A3895" s="3" t="s">
        <v>26</v>
      </c>
      <c r="B3895" s="7" t="str">
        <f>VLOOKUP(VALUE(A3895), 'DICIONÁRIO UF'!$A:$B, 2, FALSE)</f>
        <v>Rio Grande do Sul</v>
      </c>
      <c r="C3895" s="3">
        <v>25001</v>
      </c>
      <c r="D3895" s="5" t="str">
        <f>VLOOKUP(C3895, 'DICIONÁRIO CNAES'!$A:$B, 2, FALSE)</f>
        <v>Fabricação de produtos de metal, exceto máquinas e equipamentos</v>
      </c>
      <c r="E3895" s="4">
        <v>84173.526450859994</v>
      </c>
      <c r="F3895" s="4">
        <v>209854119.13525441</v>
      </c>
    </row>
    <row r="3896" spans="1:6" x14ac:dyDescent="0.3">
      <c r="A3896" s="3" t="s">
        <v>26</v>
      </c>
      <c r="B3896" s="7" t="str">
        <f>VLOOKUP(VALUE(A3896), 'DICIONÁRIO UF'!$A:$B, 2, FALSE)</f>
        <v>Rio Grande do Sul</v>
      </c>
      <c r="C3896" s="3">
        <v>25002</v>
      </c>
      <c r="D3896" s="5" t="str">
        <f>VLOOKUP(C3896, 'DICIONÁRIO CNAES'!$A:$B, 2, FALSE)</f>
        <v>Forjaria, estamparia, metalurgia do pó e serviços de tratamento de metais</v>
      </c>
      <c r="E3896" s="4">
        <v>5444.68260371</v>
      </c>
      <c r="F3896" s="4">
        <v>10330472.692274</v>
      </c>
    </row>
    <row r="3897" spans="1:6" x14ac:dyDescent="0.3">
      <c r="A3897" s="3" t="s">
        <v>26</v>
      </c>
      <c r="B3897" s="7" t="str">
        <f>VLOOKUP(VALUE(A3897), 'DICIONÁRIO UF'!$A:$B, 2, FALSE)</f>
        <v>Rio Grande do Sul</v>
      </c>
      <c r="C3897" s="3">
        <v>26010</v>
      </c>
      <c r="D3897" s="5" t="str">
        <f>VLOOKUP(C3897, 'DICIONÁRIO CNAES'!$A:$B, 2, FALSE)</f>
        <v>Fabricação de componentes eletrônicos</v>
      </c>
      <c r="E3897" s="4">
        <v>3032.61776491</v>
      </c>
      <c r="F3897" s="4">
        <v>7928563.4536772203</v>
      </c>
    </row>
    <row r="3898" spans="1:6" x14ac:dyDescent="0.3">
      <c r="A3898" s="3" t="s">
        <v>26</v>
      </c>
      <c r="B3898" s="7" t="str">
        <f>VLOOKUP(VALUE(A3898), 'DICIONÁRIO UF'!$A:$B, 2, FALSE)</f>
        <v>Rio Grande do Sul</v>
      </c>
      <c r="C3898" s="3">
        <v>26020</v>
      </c>
      <c r="D3898" s="5" t="str">
        <f>VLOOKUP(C3898, 'DICIONÁRIO CNAES'!$A:$B, 2, FALSE)</f>
        <v>Fabricação de equipamentos de informática e periféricos</v>
      </c>
      <c r="E3898" s="4">
        <v>1273.30775217</v>
      </c>
      <c r="F3898" s="4">
        <v>4760398.1865999997</v>
      </c>
    </row>
    <row r="3899" spans="1:6" x14ac:dyDescent="0.3">
      <c r="A3899" s="3" t="s">
        <v>26</v>
      </c>
      <c r="B3899" s="7" t="str">
        <f>VLOOKUP(VALUE(A3899), 'DICIONÁRIO UF'!$A:$B, 2, FALSE)</f>
        <v>Rio Grande do Sul</v>
      </c>
      <c r="C3899" s="3">
        <v>26030</v>
      </c>
      <c r="D3899" s="5" t="str">
        <f>VLOOKUP(C3899, 'DICIONÁRIO CNAES'!$A:$B, 2, FALSE)</f>
        <v>Fabricação de equipamentos de comunicação e de aparelhos de recepção, reprodução, gravação e amplificação de áudio e vídeo</v>
      </c>
      <c r="E3899" s="4">
        <v>1888.54530372</v>
      </c>
      <c r="F3899" s="4">
        <v>3087696.2918759999</v>
      </c>
    </row>
    <row r="3900" spans="1:6" x14ac:dyDescent="0.3">
      <c r="A3900" s="3" t="s">
        <v>26</v>
      </c>
      <c r="B3900" s="7" t="str">
        <f>VLOOKUP(VALUE(A3900), 'DICIONÁRIO UF'!$A:$B, 2, FALSE)</f>
        <v>Rio Grande do Sul</v>
      </c>
      <c r="C3900" s="3">
        <v>26041</v>
      </c>
      <c r="D3900" s="5" t="str">
        <f>VLOOKUP(C3900, 'DICIONÁRIO CNAES'!$A:$B, 2, FALSE)</f>
        <v>Fabricação de aparelhos e instrumentos de medida, teste e controle; cronômetros e relógios e de aparelhos eletromédicos e eletroterapêuticos</v>
      </c>
      <c r="E3900" s="4">
        <v>3932.0928415499998</v>
      </c>
      <c r="F3900" s="4">
        <v>11432690.01104</v>
      </c>
    </row>
    <row r="3901" spans="1:6" x14ac:dyDescent="0.3">
      <c r="A3901" s="3" t="s">
        <v>26</v>
      </c>
      <c r="B3901" s="7" t="str">
        <f>VLOOKUP(VALUE(A3901), 'DICIONÁRIO UF'!$A:$B, 2, FALSE)</f>
        <v>Rio Grande do Sul</v>
      </c>
      <c r="C3901" s="3">
        <v>27010</v>
      </c>
      <c r="D3901" s="5" t="str">
        <f>VLOOKUP(C3901, 'DICIONÁRIO CNAES'!$A:$B, 2, FALSE)</f>
        <v>Fabricação de eletrodomesticos</v>
      </c>
      <c r="E3901" s="4">
        <v>2976.8393902799999</v>
      </c>
      <c r="F3901" s="4">
        <v>6074037.7253679996</v>
      </c>
    </row>
    <row r="3902" spans="1:6" x14ac:dyDescent="0.3">
      <c r="A3902" s="3" t="s">
        <v>26</v>
      </c>
      <c r="B3902" s="7" t="str">
        <f>VLOOKUP(VALUE(A3902), 'DICIONÁRIO UF'!$A:$B, 2, FALSE)</f>
        <v>Rio Grande do Sul</v>
      </c>
      <c r="C3902" s="3">
        <v>27090</v>
      </c>
      <c r="D3902" s="5" t="str">
        <f>VLOOKUP(C3902, 'DICIONÁRIO CNAES'!$A:$B, 2, FALSE)</f>
        <v>Fabricação de máquinas, aparelhos e materiais elétricos diversos, exceto eletrodomesticos</v>
      </c>
      <c r="E3902" s="4">
        <v>3241.02861338</v>
      </c>
      <c r="F3902" s="4">
        <v>12378135.787245</v>
      </c>
    </row>
    <row r="3903" spans="1:6" x14ac:dyDescent="0.3">
      <c r="A3903" s="3" t="s">
        <v>26</v>
      </c>
      <c r="B3903" s="7" t="str">
        <f>VLOOKUP(VALUE(A3903), 'DICIONÁRIO UF'!$A:$B, 2, FALSE)</f>
        <v>Rio Grande do Sul</v>
      </c>
      <c r="C3903" s="3">
        <v>28000</v>
      </c>
      <c r="D3903" s="5" t="str">
        <f>VLOOKUP(C3903, 'DICIONÁRIO CNAES'!$A:$B, 2, FALSE)</f>
        <v>Fabricação de máquinas e equipamentos</v>
      </c>
      <c r="E3903" s="4">
        <v>50996.690570389997</v>
      </c>
      <c r="F3903" s="4">
        <v>148058001.10864979</v>
      </c>
    </row>
    <row r="3904" spans="1:6" x14ac:dyDescent="0.3">
      <c r="A3904" s="3" t="s">
        <v>26</v>
      </c>
      <c r="B3904" s="7" t="str">
        <f>VLOOKUP(VALUE(A3904), 'DICIONÁRIO UF'!$A:$B, 2, FALSE)</f>
        <v>Rio Grande do Sul</v>
      </c>
      <c r="C3904" s="3">
        <v>29001</v>
      </c>
      <c r="D3904" s="5" t="str">
        <f>VLOOKUP(C3904, 'DICIONÁRIO CNAES'!$A:$B, 2, FALSE)</f>
        <v>Fabricação e montagem de veículos automotores</v>
      </c>
      <c r="E3904" s="4">
        <v>11534.82593879</v>
      </c>
      <c r="F3904" s="4">
        <v>55290952.613959</v>
      </c>
    </row>
    <row r="3905" spans="1:6" x14ac:dyDescent="0.3">
      <c r="A3905" s="3" t="s">
        <v>26</v>
      </c>
      <c r="B3905" s="7" t="str">
        <f>VLOOKUP(VALUE(A3905), 'DICIONÁRIO UF'!$A:$B, 2, FALSE)</f>
        <v>Rio Grande do Sul</v>
      </c>
      <c r="C3905" s="3">
        <v>29002</v>
      </c>
      <c r="D3905" s="5" t="str">
        <f>VLOOKUP(C3905, 'DICIONÁRIO CNAES'!$A:$B, 2, FALSE)</f>
        <v>Fabricação de cabines, carrocerias, reboques e peças para veículos automotores</v>
      </c>
      <c r="E3905" s="4">
        <v>17664.66418136</v>
      </c>
      <c r="F3905" s="4">
        <v>48678370.356336482</v>
      </c>
    </row>
    <row r="3906" spans="1:6" x14ac:dyDescent="0.3">
      <c r="A3906" s="3" t="s">
        <v>26</v>
      </c>
      <c r="B3906" s="7" t="str">
        <f>VLOOKUP(VALUE(A3906), 'DICIONÁRIO UF'!$A:$B, 2, FALSE)</f>
        <v>Rio Grande do Sul</v>
      </c>
      <c r="C3906" s="3">
        <v>30010</v>
      </c>
      <c r="D3906" s="5" t="str">
        <f>VLOOKUP(C3906, 'DICIONÁRIO CNAES'!$A:$B, 2, FALSE)</f>
        <v xml:space="preserve">Construção de embarcações </v>
      </c>
      <c r="E3906" s="4">
        <v>1033.5942578700001</v>
      </c>
      <c r="F3906" s="4">
        <v>2249117.2308789999</v>
      </c>
    </row>
    <row r="3907" spans="1:6" x14ac:dyDescent="0.3">
      <c r="A3907" s="3" t="s">
        <v>26</v>
      </c>
      <c r="B3907" s="7" t="str">
        <f>VLOOKUP(VALUE(A3907), 'DICIONÁRIO UF'!$A:$B, 2, FALSE)</f>
        <v>Rio Grande do Sul</v>
      </c>
      <c r="C3907" s="3">
        <v>30030</v>
      </c>
      <c r="D3907" s="5" t="str">
        <f>VLOOKUP(C3907, 'DICIONÁRIO CNAES'!$A:$B, 2, FALSE)</f>
        <v>Fabricação de aeronaves</v>
      </c>
      <c r="E3907" s="4">
        <v>341.9324082</v>
      </c>
      <c r="F3907" s="4">
        <v>1709662.041</v>
      </c>
    </row>
    <row r="3908" spans="1:6" x14ac:dyDescent="0.3">
      <c r="A3908" s="3" t="s">
        <v>26</v>
      </c>
      <c r="B3908" s="7" t="str">
        <f>VLOOKUP(VALUE(A3908), 'DICIONÁRIO UF'!$A:$B, 2, FALSE)</f>
        <v>Rio Grande do Sul</v>
      </c>
      <c r="C3908" s="3">
        <v>31000</v>
      </c>
      <c r="D3908" s="5" t="str">
        <f>VLOOKUP(C3908, 'DICIONÁRIO CNAES'!$A:$B, 2, FALSE)</f>
        <v>Fabricação de móveis</v>
      </c>
      <c r="E3908" s="4">
        <v>52383.131608839998</v>
      </c>
      <c r="F3908" s="4">
        <v>135553984.10904199</v>
      </c>
    </row>
    <row r="3909" spans="1:6" x14ac:dyDescent="0.3">
      <c r="A3909" s="3" t="s">
        <v>26</v>
      </c>
      <c r="B3909" s="7" t="str">
        <f>VLOOKUP(VALUE(A3909), 'DICIONÁRIO UF'!$A:$B, 2, FALSE)</f>
        <v>Rio Grande do Sul</v>
      </c>
      <c r="C3909" s="3">
        <v>32001</v>
      </c>
      <c r="D3909" s="5" t="str">
        <f>VLOOKUP(C3909, 'DICIONÁRIO CNAES'!$A:$B, 2, FALSE)</f>
        <v>Fabricação de artigos de joalheria, bijuteria e semelhantes</v>
      </c>
      <c r="E3909" s="4">
        <v>12072.35918161</v>
      </c>
      <c r="F3909" s="4">
        <v>18314014.500390001</v>
      </c>
    </row>
    <row r="3910" spans="1:6" x14ac:dyDescent="0.3">
      <c r="A3910" s="3" t="s">
        <v>26</v>
      </c>
      <c r="B3910" s="7" t="str">
        <f>VLOOKUP(VALUE(A3910), 'DICIONÁRIO UF'!$A:$B, 2, FALSE)</f>
        <v>Rio Grande do Sul</v>
      </c>
      <c r="C3910" s="3">
        <v>32003</v>
      </c>
      <c r="D3910" s="5" t="str">
        <f>VLOOKUP(C3910, 'DICIONÁRIO CNAES'!$A:$B, 2, FALSE)</f>
        <v>Fabricação de artefatos para pesca e esporte e de brinquedos e jogos recreativos</v>
      </c>
      <c r="E3910" s="4">
        <v>1860.4295546400001</v>
      </c>
      <c r="F3910" s="4">
        <v>4321114.2330959998</v>
      </c>
    </row>
    <row r="3911" spans="1:6" x14ac:dyDescent="0.3">
      <c r="A3911" s="3" t="s">
        <v>26</v>
      </c>
      <c r="B3911" s="7" t="str">
        <f>VLOOKUP(VALUE(A3911), 'DICIONÁRIO UF'!$A:$B, 2, FALSE)</f>
        <v>Rio Grande do Sul</v>
      </c>
      <c r="C3911" s="3">
        <v>32009</v>
      </c>
      <c r="D3911" s="5" t="str">
        <f>VLOOKUP(C3911, 'DICIONÁRIO CNAES'!$A:$B, 2, FALSE)</f>
        <v>Fabricação de produtos diversos</v>
      </c>
      <c r="E3911" s="4">
        <v>17207.94310429</v>
      </c>
      <c r="F3911" s="4">
        <v>43563916.621947072</v>
      </c>
    </row>
    <row r="3912" spans="1:6" x14ac:dyDescent="0.3">
      <c r="A3912" s="3" t="s">
        <v>26</v>
      </c>
      <c r="B3912" s="7" t="str">
        <f>VLOOKUP(VALUE(A3912), 'DICIONÁRIO UF'!$A:$B, 2, FALSE)</f>
        <v>Rio Grande do Sul</v>
      </c>
      <c r="C3912" s="3">
        <v>33001</v>
      </c>
      <c r="D3912" s="5" t="str">
        <f>VLOOKUP(C3912, 'DICIONÁRIO CNAES'!$A:$B, 2, FALSE)</f>
        <v>Manutenção e reparação de máquinas e equipamentos</v>
      </c>
      <c r="E3912" s="4">
        <v>18837.017602520002</v>
      </c>
      <c r="F3912" s="4">
        <v>42586602.588345997</v>
      </c>
    </row>
    <row r="3913" spans="1:6" x14ac:dyDescent="0.3">
      <c r="A3913" s="3" t="s">
        <v>26</v>
      </c>
      <c r="B3913" s="7" t="str">
        <f>VLOOKUP(VALUE(A3913), 'DICIONÁRIO UF'!$A:$B, 2, FALSE)</f>
        <v>Rio Grande do Sul</v>
      </c>
      <c r="C3913" s="3">
        <v>33002</v>
      </c>
      <c r="D3913" s="5" t="str">
        <f>VLOOKUP(C3913, 'DICIONÁRIO CNAES'!$A:$B, 2, FALSE)</f>
        <v>Instalação de máquinas e equipamentos</v>
      </c>
      <c r="E3913" s="4">
        <v>2555.8700791299998</v>
      </c>
      <c r="F3913" s="4">
        <v>6892005.6738204993</v>
      </c>
    </row>
    <row r="3914" spans="1:6" x14ac:dyDescent="0.3">
      <c r="A3914" s="3" t="s">
        <v>26</v>
      </c>
      <c r="B3914" s="7" t="str">
        <f>VLOOKUP(VALUE(A3914), 'DICIONÁRIO UF'!$A:$B, 2, FALSE)</f>
        <v>Rio Grande do Sul</v>
      </c>
      <c r="C3914" s="3">
        <v>35010</v>
      </c>
      <c r="D3914" s="5" t="str">
        <f>VLOOKUP(C3914, 'DICIONÁRIO CNAES'!$A:$B, 2, FALSE)</f>
        <v>Geração, transmissão e distribuição de energia elétrica</v>
      </c>
      <c r="E3914" s="4">
        <v>15903.189495459999</v>
      </c>
      <c r="F3914" s="4">
        <v>98318619.315529302</v>
      </c>
    </row>
    <row r="3915" spans="1:6" x14ac:dyDescent="0.3">
      <c r="A3915" s="3" t="s">
        <v>26</v>
      </c>
      <c r="B3915" s="7" t="str">
        <f>VLOOKUP(VALUE(A3915), 'DICIONÁRIO UF'!$A:$B, 2, FALSE)</f>
        <v>Rio Grande do Sul</v>
      </c>
      <c r="C3915" s="3">
        <v>35021</v>
      </c>
      <c r="D3915" s="5" t="str">
        <f>VLOOKUP(C3915, 'DICIONÁRIO CNAES'!$A:$B, 2, FALSE)</f>
        <v>Produção e distribuição de combustíveis gasosos por redes urbanas</v>
      </c>
      <c r="E3915" s="4">
        <v>785.08480226999995</v>
      </c>
      <c r="F3915" s="4">
        <v>3140339.2090799999</v>
      </c>
    </row>
    <row r="3916" spans="1:6" x14ac:dyDescent="0.3">
      <c r="A3916" s="3" t="s">
        <v>26</v>
      </c>
      <c r="B3916" s="7" t="str">
        <f>VLOOKUP(VALUE(A3916), 'DICIONÁRIO UF'!$A:$B, 2, FALSE)</f>
        <v>Rio Grande do Sul</v>
      </c>
      <c r="C3916" s="3">
        <v>36000</v>
      </c>
      <c r="D3916" s="5" t="str">
        <f>VLOOKUP(C3916, 'DICIONÁRIO CNAES'!$A:$B, 2, FALSE)</f>
        <v>Captação, tratamento e distribuição de água</v>
      </c>
      <c r="E3916" s="4">
        <v>8009.2238914500003</v>
      </c>
      <c r="F3916" s="4">
        <v>35559175.402414881</v>
      </c>
    </row>
    <row r="3917" spans="1:6" x14ac:dyDescent="0.3">
      <c r="A3917" s="3" t="s">
        <v>26</v>
      </c>
      <c r="B3917" s="7" t="str">
        <f>VLOOKUP(VALUE(A3917), 'DICIONÁRIO UF'!$A:$B, 2, FALSE)</f>
        <v>Rio Grande do Sul</v>
      </c>
      <c r="C3917" s="3">
        <v>37000</v>
      </c>
      <c r="D3917" s="5" t="str">
        <f>VLOOKUP(C3917, 'DICIONÁRIO CNAES'!$A:$B, 2, FALSE)</f>
        <v>Esgoto e atividades relacionadas</v>
      </c>
      <c r="E3917" s="4">
        <v>229.62951494999999</v>
      </c>
      <c r="F3917" s="4">
        <v>275555.41794000001</v>
      </c>
    </row>
    <row r="3918" spans="1:6" x14ac:dyDescent="0.3">
      <c r="A3918" s="3" t="s">
        <v>26</v>
      </c>
      <c r="B3918" s="7" t="str">
        <f>VLOOKUP(VALUE(A3918), 'DICIONÁRIO UF'!$A:$B, 2, FALSE)</f>
        <v>Rio Grande do Sul</v>
      </c>
      <c r="C3918" s="3">
        <v>38000</v>
      </c>
      <c r="D3918" s="5" t="str">
        <f>VLOOKUP(C3918, 'DICIONÁRIO CNAES'!$A:$B, 2, FALSE)</f>
        <v>Coleta, tratamento e disposição de resíduos; recuperação de materiais</v>
      </c>
      <c r="E3918" s="4">
        <v>17423.321016009999</v>
      </c>
      <c r="F3918" s="4">
        <v>30469032.894721251</v>
      </c>
    </row>
    <row r="3919" spans="1:6" x14ac:dyDescent="0.3">
      <c r="A3919" s="3" t="s">
        <v>26</v>
      </c>
      <c r="B3919" s="7" t="str">
        <f>VLOOKUP(VALUE(A3919), 'DICIONÁRIO UF'!$A:$B, 2, FALSE)</f>
        <v>Rio Grande do Sul</v>
      </c>
      <c r="C3919" s="3">
        <v>41000</v>
      </c>
      <c r="D3919" s="5" t="str">
        <f>VLOOKUP(C3919, 'DICIONÁRIO CNAES'!$A:$B, 2, FALSE)</f>
        <v>Construção de edifícios</v>
      </c>
      <c r="E3919" s="4">
        <v>219258.65860701</v>
      </c>
      <c r="F3919" s="4">
        <v>453786990.35016429</v>
      </c>
    </row>
    <row r="3920" spans="1:6" x14ac:dyDescent="0.3">
      <c r="A3920" s="3" t="s">
        <v>26</v>
      </c>
      <c r="B3920" s="7" t="str">
        <f>VLOOKUP(VALUE(A3920), 'DICIONÁRIO UF'!$A:$B, 2, FALSE)</f>
        <v>Rio Grande do Sul</v>
      </c>
      <c r="C3920" s="3">
        <v>42000</v>
      </c>
      <c r="D3920" s="5" t="str">
        <f>VLOOKUP(C3920, 'DICIONÁRIO CNAES'!$A:$B, 2, FALSE)</f>
        <v>Construção de obras de infra-estrutura</v>
      </c>
      <c r="E3920" s="4">
        <v>24985.59152871</v>
      </c>
      <c r="F3920" s="4">
        <v>66402288.786600128</v>
      </c>
    </row>
    <row r="3921" spans="1:6" x14ac:dyDescent="0.3">
      <c r="A3921" s="3" t="s">
        <v>26</v>
      </c>
      <c r="B3921" s="7" t="str">
        <f>VLOOKUP(VALUE(A3921), 'DICIONÁRIO UF'!$A:$B, 2, FALSE)</f>
        <v>Rio Grande do Sul</v>
      </c>
      <c r="C3921" s="3">
        <v>43000</v>
      </c>
      <c r="D3921" s="5" t="str">
        <f>VLOOKUP(C3921, 'DICIONÁRIO CNAES'!$A:$B, 2, FALSE)</f>
        <v>Serviços especializados para construção</v>
      </c>
      <c r="E3921" s="4">
        <v>114882.0343061</v>
      </c>
      <c r="F3921" s="4">
        <v>260442561.85382369</v>
      </c>
    </row>
    <row r="3922" spans="1:6" x14ac:dyDescent="0.3">
      <c r="A3922" s="3" t="s">
        <v>26</v>
      </c>
      <c r="B3922" s="7" t="str">
        <f>VLOOKUP(VALUE(A3922), 'DICIONÁRIO UF'!$A:$B, 2, FALSE)</f>
        <v>Rio Grande do Sul</v>
      </c>
      <c r="C3922" s="3">
        <v>45010</v>
      </c>
      <c r="D3922" s="5" t="str">
        <f>VLOOKUP(C3922, 'DICIONÁRIO CNAES'!$A:$B, 2, FALSE)</f>
        <v>Comércio de veículos automotores</v>
      </c>
      <c r="E3922" s="4">
        <v>34017.100302010003</v>
      </c>
      <c r="F3922" s="4">
        <v>110743088.3216475</v>
      </c>
    </row>
    <row r="3923" spans="1:6" x14ac:dyDescent="0.3">
      <c r="A3923" s="3" t="s">
        <v>26</v>
      </c>
      <c r="B3923" s="7" t="str">
        <f>VLOOKUP(VALUE(A3923), 'DICIONÁRIO UF'!$A:$B, 2, FALSE)</f>
        <v>Rio Grande do Sul</v>
      </c>
      <c r="C3923" s="3">
        <v>45020</v>
      </c>
      <c r="D3923" s="5" t="str">
        <f>VLOOKUP(C3923, 'DICIONÁRIO CNAES'!$A:$B, 2, FALSE)</f>
        <v>Manutenção e reparação de veículos automotores</v>
      </c>
      <c r="E3923" s="4">
        <v>123037.69551749001</v>
      </c>
      <c r="F3923" s="4">
        <v>254251275.1479893</v>
      </c>
    </row>
    <row r="3924" spans="1:6" x14ac:dyDescent="0.3">
      <c r="A3924" s="3" t="s">
        <v>26</v>
      </c>
      <c r="B3924" s="7" t="str">
        <f>VLOOKUP(VALUE(A3924), 'DICIONÁRIO UF'!$A:$B, 2, FALSE)</f>
        <v>Rio Grande do Sul</v>
      </c>
      <c r="C3924" s="3">
        <v>45030</v>
      </c>
      <c r="D3924" s="5" t="str">
        <f>VLOOKUP(C3924, 'DICIONÁRIO CNAES'!$A:$B, 2, FALSE)</f>
        <v>Comércio de peças e acessórios para veículos automotores</v>
      </c>
      <c r="E3924" s="4">
        <v>14755.03928345</v>
      </c>
      <c r="F3924" s="4">
        <v>35412168.515675001</v>
      </c>
    </row>
    <row r="3925" spans="1:6" x14ac:dyDescent="0.3">
      <c r="A3925" s="3" t="s">
        <v>26</v>
      </c>
      <c r="B3925" s="7" t="str">
        <f>VLOOKUP(VALUE(A3925), 'DICIONÁRIO UF'!$A:$B, 2, FALSE)</f>
        <v>Rio Grande do Sul</v>
      </c>
      <c r="C3925" s="3">
        <v>45040</v>
      </c>
      <c r="D3925" s="5" t="str">
        <f>VLOOKUP(C3925, 'DICIONÁRIO CNAES'!$A:$B, 2, FALSE)</f>
        <v>Comércio, manutenção e reparação de motocicletas, peças e acessórios</v>
      </c>
      <c r="E3925" s="4">
        <v>7483.3299260499998</v>
      </c>
      <c r="F3925" s="4">
        <v>17459420.596765202</v>
      </c>
    </row>
    <row r="3926" spans="1:6" x14ac:dyDescent="0.3">
      <c r="A3926" s="3" t="s">
        <v>26</v>
      </c>
      <c r="B3926" s="7" t="str">
        <f>VLOOKUP(VALUE(A3926), 'DICIONÁRIO UF'!$A:$B, 2, FALSE)</f>
        <v>Rio Grande do Sul</v>
      </c>
      <c r="C3926" s="3">
        <v>48010</v>
      </c>
      <c r="D3926" s="5" t="str">
        <f>VLOOKUP(C3926, 'DICIONÁRIO CNAES'!$A:$B, 2, FALSE)</f>
        <v>Representantes comerciais e agentes do comércio, exceto de veículos automotores e motocicletas</v>
      </c>
      <c r="E3926" s="4">
        <v>23069.519109289999</v>
      </c>
      <c r="F3926" s="4">
        <v>95619090.794593006</v>
      </c>
    </row>
    <row r="3927" spans="1:6" x14ac:dyDescent="0.3">
      <c r="A3927" s="3" t="s">
        <v>26</v>
      </c>
      <c r="B3927" s="7" t="str">
        <f>VLOOKUP(VALUE(A3927), 'DICIONÁRIO UF'!$A:$B, 2, FALSE)</f>
        <v>Rio Grande do Sul</v>
      </c>
      <c r="C3927" s="3">
        <v>48020</v>
      </c>
      <c r="D3927" s="5" t="str">
        <f>VLOOKUP(C3927, 'DICIONÁRIO CNAES'!$A:$B, 2, FALSE)</f>
        <v>Comércio de matérias-primas agrícolas e animais vivos</v>
      </c>
      <c r="E3927" s="4">
        <v>17450.844270180001</v>
      </c>
      <c r="F3927" s="4">
        <v>58480229.485897459</v>
      </c>
    </row>
    <row r="3928" spans="1:6" x14ac:dyDescent="0.3">
      <c r="A3928" s="3" t="s">
        <v>26</v>
      </c>
      <c r="B3928" s="7" t="str">
        <f>VLOOKUP(VALUE(A3928), 'DICIONÁRIO UF'!$A:$B, 2, FALSE)</f>
        <v>Rio Grande do Sul</v>
      </c>
      <c r="C3928" s="3">
        <v>48030</v>
      </c>
      <c r="D3928" s="5" t="str">
        <f>VLOOKUP(C3928, 'DICIONÁRIO CNAES'!$A:$B, 2, FALSE)</f>
        <v>Comércio de produtos alimentícios, bebidas e fumo</v>
      </c>
      <c r="E3928" s="4">
        <v>145704.4776671</v>
      </c>
      <c r="F3928" s="4">
        <v>282216963.0893476</v>
      </c>
    </row>
    <row r="3929" spans="1:6" x14ac:dyDescent="0.3">
      <c r="A3929" s="3" t="s">
        <v>26</v>
      </c>
      <c r="B3929" s="7" t="str">
        <f>VLOOKUP(VALUE(A3929), 'DICIONÁRIO UF'!$A:$B, 2, FALSE)</f>
        <v>Rio Grande do Sul</v>
      </c>
      <c r="C3929" s="3">
        <v>48041</v>
      </c>
      <c r="D3929" s="5" t="str">
        <f>VLOOKUP(C3929, 'DICIONÁRIO CNAES'!$A:$B, 2, FALSE)</f>
        <v>Comércio de tecidos, artefatos de tecidos e armarinho</v>
      </c>
      <c r="E3929" s="4">
        <v>9205.3718742000001</v>
      </c>
      <c r="F3929" s="4">
        <v>19344349.117630921</v>
      </c>
    </row>
    <row r="3930" spans="1:6" x14ac:dyDescent="0.3">
      <c r="A3930" s="3" t="s">
        <v>26</v>
      </c>
      <c r="B3930" s="7" t="str">
        <f>VLOOKUP(VALUE(A3930), 'DICIONÁRIO UF'!$A:$B, 2, FALSE)</f>
        <v>Rio Grande do Sul</v>
      </c>
      <c r="C3930" s="3">
        <v>48042</v>
      </c>
      <c r="D3930" s="5" t="str">
        <f>VLOOKUP(C3930, 'DICIONÁRIO CNAES'!$A:$B, 2, FALSE)</f>
        <v>Comércio de artigos do vestuário, complementos, calçados e artigos de viagem</v>
      </c>
      <c r="E3930" s="4">
        <v>116439.08618189</v>
      </c>
      <c r="F3930" s="4">
        <v>232519419.390062</v>
      </c>
    </row>
    <row r="3931" spans="1:6" x14ac:dyDescent="0.3">
      <c r="A3931" s="3" t="s">
        <v>26</v>
      </c>
      <c r="B3931" s="7" t="str">
        <f>VLOOKUP(VALUE(A3931), 'DICIONÁRIO UF'!$A:$B, 2, FALSE)</f>
        <v>Rio Grande do Sul</v>
      </c>
      <c r="C3931" s="3">
        <v>48050</v>
      </c>
      <c r="D3931" s="5" t="str">
        <f>VLOOKUP(C3931, 'DICIONÁRIO CNAES'!$A:$B, 2, FALSE)</f>
        <v>Comércio de madeira, material de construção, ferragens e ferramentas</v>
      </c>
      <c r="E3931" s="4">
        <v>73928.543222439999</v>
      </c>
      <c r="F3931" s="4">
        <v>152722610.77668101</v>
      </c>
    </row>
    <row r="3932" spans="1:6" x14ac:dyDescent="0.3">
      <c r="A3932" s="3" t="s">
        <v>26</v>
      </c>
      <c r="B3932" s="7" t="str">
        <f>VLOOKUP(VALUE(A3932), 'DICIONÁRIO UF'!$A:$B, 2, FALSE)</f>
        <v>Rio Grande do Sul</v>
      </c>
      <c r="C3932" s="3">
        <v>48060</v>
      </c>
      <c r="D3932" s="5" t="str">
        <f>VLOOKUP(C3932, 'DICIONÁRIO CNAES'!$A:$B, 2, FALSE)</f>
        <v>Comércio de combustíveis para veículos automotores</v>
      </c>
      <c r="E3932" s="4">
        <v>35358.703283969997</v>
      </c>
      <c r="F3932" s="4">
        <v>71954780.054784</v>
      </c>
    </row>
    <row r="3933" spans="1:6" x14ac:dyDescent="0.3">
      <c r="A3933" s="3" t="s">
        <v>26</v>
      </c>
      <c r="B3933" s="7" t="str">
        <f>VLOOKUP(VALUE(A3933), 'DICIONÁRIO UF'!$A:$B, 2, FALSE)</f>
        <v>Rio Grande do Sul</v>
      </c>
      <c r="C3933" s="3">
        <v>48071</v>
      </c>
      <c r="D3933" s="5" t="str">
        <f>VLOOKUP(C3933, 'DICIONÁRIO CNAES'!$A:$B, 2, FALSE)</f>
        <v>Comércio de produtos farmaceuticos, médicos, ortopédicos, odontológicos e de cosméticos e perfumaria</v>
      </c>
      <c r="E3933" s="4">
        <v>96380.979666400002</v>
      </c>
      <c r="F3933" s="4">
        <v>189113192.2822403</v>
      </c>
    </row>
    <row r="3934" spans="1:6" x14ac:dyDescent="0.3">
      <c r="A3934" s="3" t="s">
        <v>26</v>
      </c>
      <c r="B3934" s="7" t="str">
        <f>VLOOKUP(VALUE(A3934), 'DICIONÁRIO UF'!$A:$B, 2, FALSE)</f>
        <v>Rio Grande do Sul</v>
      </c>
      <c r="C3934" s="3">
        <v>48072</v>
      </c>
      <c r="D3934" s="5" t="str">
        <f>VLOOKUP(C3934, 'DICIONÁRIO CNAES'!$A:$B, 2, FALSE)</f>
        <v>Comércio de artigos de escritório e de papelaria; livros, jornais e outras publicações</v>
      </c>
      <c r="E3934" s="4">
        <v>5234.0867777599997</v>
      </c>
      <c r="F3934" s="4">
        <v>6303106.4904049998</v>
      </c>
    </row>
    <row r="3935" spans="1:6" x14ac:dyDescent="0.3">
      <c r="A3935" s="3" t="s">
        <v>26</v>
      </c>
      <c r="B3935" s="7" t="str">
        <f>VLOOKUP(VALUE(A3935), 'DICIONÁRIO UF'!$A:$B, 2, FALSE)</f>
        <v>Rio Grande do Sul</v>
      </c>
      <c r="C3935" s="3">
        <v>48073</v>
      </c>
      <c r="D3935" s="5" t="str">
        <f>VLOOKUP(C3935, 'DICIONÁRIO CNAES'!$A:$B, 2, FALSE)</f>
        <v>Comércio de eletrodomésticos, móveis e outros artigos de residência</v>
      </c>
      <c r="E3935" s="4">
        <v>57796.449229509999</v>
      </c>
      <c r="F3935" s="4">
        <v>134212994.3315798</v>
      </c>
    </row>
    <row r="3936" spans="1:6" x14ac:dyDescent="0.3">
      <c r="A3936" s="3" t="s">
        <v>26</v>
      </c>
      <c r="B3936" s="7" t="str">
        <f>VLOOKUP(VALUE(A3936), 'DICIONÁRIO UF'!$A:$B, 2, FALSE)</f>
        <v>Rio Grande do Sul</v>
      </c>
      <c r="C3936" s="3">
        <v>48074</v>
      </c>
      <c r="D3936" s="5" t="str">
        <f>VLOOKUP(C3936, 'DICIONÁRIO CNAES'!$A:$B, 2, FALSE)</f>
        <v>Comércio de equipamentos e produtos de tecnologias de informação e comunicação</v>
      </c>
      <c r="E3936" s="4">
        <v>11323.00231408</v>
      </c>
      <c r="F3936" s="4">
        <v>37346377.134568997</v>
      </c>
    </row>
    <row r="3937" spans="1:6" x14ac:dyDescent="0.3">
      <c r="A3937" s="3" t="s">
        <v>26</v>
      </c>
      <c r="B3937" s="7" t="str">
        <f>VLOOKUP(VALUE(A3937), 'DICIONÁRIO UF'!$A:$B, 2, FALSE)</f>
        <v>Rio Grande do Sul</v>
      </c>
      <c r="C3937" s="3">
        <v>48075</v>
      </c>
      <c r="D3937" s="5" t="str">
        <f>VLOOKUP(C3937, 'DICIONÁRIO CNAES'!$A:$B, 2, FALSE)</f>
        <v xml:space="preserve">Comércio de máquinas, aparelhos e equipamentos, exceto eletrodomésticos </v>
      </c>
      <c r="E3937" s="4">
        <v>17591.375814890001</v>
      </c>
      <c r="F3937" s="4">
        <v>46674131.675575882</v>
      </c>
    </row>
    <row r="3938" spans="1:6" x14ac:dyDescent="0.3">
      <c r="A3938" s="3" t="s">
        <v>26</v>
      </c>
      <c r="B3938" s="7" t="str">
        <f>VLOOKUP(VALUE(A3938), 'DICIONÁRIO UF'!$A:$B, 2, FALSE)</f>
        <v>Rio Grande do Sul</v>
      </c>
      <c r="C3938" s="3">
        <v>48076</v>
      </c>
      <c r="D3938" s="5" t="str">
        <f>VLOOKUP(C3938, 'DICIONÁRIO CNAES'!$A:$B, 2, FALSE)</f>
        <v>Comércio de combustíveis sólidos, líquidos e gasosos, exceto para veículos automotores</v>
      </c>
      <c r="E3938" s="4">
        <v>24056.265987390001</v>
      </c>
      <c r="F3938" s="4">
        <v>61412168.338997997</v>
      </c>
    </row>
    <row r="3939" spans="1:6" x14ac:dyDescent="0.3">
      <c r="A3939" s="3" t="s">
        <v>26</v>
      </c>
      <c r="B3939" s="7" t="str">
        <f>VLOOKUP(VALUE(A3939), 'DICIONÁRIO UF'!$A:$B, 2, FALSE)</f>
        <v>Rio Grande do Sul</v>
      </c>
      <c r="C3939" s="3">
        <v>48077</v>
      </c>
      <c r="D3939" s="5" t="str">
        <f>VLOOKUP(C3939, 'DICIONÁRIO CNAES'!$A:$B, 2, FALSE)</f>
        <v>Comércio de produtos usados</v>
      </c>
      <c r="E3939" s="4">
        <v>3355.0043998599999</v>
      </c>
      <c r="F3939" s="4">
        <v>2117598.2731572902</v>
      </c>
    </row>
    <row r="3940" spans="1:6" x14ac:dyDescent="0.3">
      <c r="A3940" s="3" t="s">
        <v>26</v>
      </c>
      <c r="B3940" s="7" t="str">
        <f>VLOOKUP(VALUE(A3940), 'DICIONÁRIO UF'!$A:$B, 2, FALSE)</f>
        <v>Rio Grande do Sul</v>
      </c>
      <c r="C3940" s="3">
        <v>48078</v>
      </c>
      <c r="D3940" s="5" t="str">
        <f>VLOOKUP(C3940, 'DICIONÁRIO CNAES'!$A:$B, 2, FALSE)</f>
        <v>Comercio de residuos e sucatas</v>
      </c>
      <c r="E3940" s="4">
        <v>24180.84369034</v>
      </c>
      <c r="F3940" s="4">
        <v>34401821.163955197</v>
      </c>
    </row>
    <row r="3941" spans="1:6" x14ac:dyDescent="0.3">
      <c r="A3941" s="3" t="s">
        <v>26</v>
      </c>
      <c r="B3941" s="7" t="str">
        <f>VLOOKUP(VALUE(A3941), 'DICIONÁRIO UF'!$A:$B, 2, FALSE)</f>
        <v>Rio Grande do Sul</v>
      </c>
      <c r="C3941" s="3">
        <v>48079</v>
      </c>
      <c r="D3941" s="5" t="str">
        <f>VLOOKUP(C3941, 'DICIONÁRIO CNAES'!$A:$B, 2, FALSE)</f>
        <v>Comércio de produtos novos não especificados anteriormente</v>
      </c>
      <c r="E3941" s="4">
        <v>53333.423075040002</v>
      </c>
      <c r="F3941" s="4">
        <v>158185688.65206021</v>
      </c>
    </row>
    <row r="3942" spans="1:6" x14ac:dyDescent="0.3">
      <c r="A3942" s="3" t="s">
        <v>26</v>
      </c>
      <c r="B3942" s="7" t="str">
        <f>VLOOKUP(VALUE(A3942), 'DICIONÁRIO UF'!$A:$B, 2, FALSE)</f>
        <v>Rio Grande do Sul</v>
      </c>
      <c r="C3942" s="3">
        <v>48080</v>
      </c>
      <c r="D3942" s="5" t="str">
        <f>VLOOKUP(C3942, 'DICIONÁRIO CNAES'!$A:$B, 2, FALSE)</f>
        <v>Supermercado e hipermercado</v>
      </c>
      <c r="E3942" s="4">
        <v>114759.09353586</v>
      </c>
      <c r="F3942" s="4">
        <v>216763080.16886139</v>
      </c>
    </row>
    <row r="3943" spans="1:6" x14ac:dyDescent="0.3">
      <c r="A3943" s="3" t="s">
        <v>26</v>
      </c>
      <c r="B3943" s="7" t="str">
        <f>VLOOKUP(VALUE(A3943), 'DICIONÁRIO UF'!$A:$B, 2, FALSE)</f>
        <v>Rio Grande do Sul</v>
      </c>
      <c r="C3943" s="3">
        <v>48090</v>
      </c>
      <c r="D3943" s="5" t="str">
        <f>VLOOKUP(C3943, 'DICIONÁRIO CNAES'!$A:$B, 2, FALSE)</f>
        <v>Lojas de departamento e outros comércios não especializados, sem predominância de produtos alimentícios</v>
      </c>
      <c r="E3943" s="4">
        <v>10565.101045109999</v>
      </c>
      <c r="F3943" s="4">
        <v>25718114.373240001</v>
      </c>
    </row>
    <row r="3944" spans="1:6" x14ac:dyDescent="0.3">
      <c r="A3944" s="3" t="s">
        <v>26</v>
      </c>
      <c r="B3944" s="7" t="str">
        <f>VLOOKUP(VALUE(A3944), 'DICIONÁRIO UF'!$A:$B, 2, FALSE)</f>
        <v>Rio Grande do Sul</v>
      </c>
      <c r="C3944" s="3">
        <v>48100</v>
      </c>
      <c r="D3944" s="5" t="str">
        <f>VLOOKUP(C3944, 'DICIONÁRIO CNAES'!$A:$B, 2, FALSE)</f>
        <v>Comércio ambulante e feiras</v>
      </c>
      <c r="E3944" s="4">
        <v>10984.448075210001</v>
      </c>
      <c r="F3944" s="4">
        <v>11491208.094624501</v>
      </c>
    </row>
    <row r="3945" spans="1:6" x14ac:dyDescent="0.3">
      <c r="A3945" s="3" t="s">
        <v>26</v>
      </c>
      <c r="B3945" s="7" t="str">
        <f>VLOOKUP(VALUE(A3945), 'DICIONÁRIO UF'!$A:$B, 2, FALSE)</f>
        <v>Rio Grande do Sul</v>
      </c>
      <c r="C3945" s="3">
        <v>49010</v>
      </c>
      <c r="D3945" s="5" t="str">
        <f>VLOOKUP(C3945, 'DICIONÁRIO CNAES'!$A:$B, 2, FALSE)</f>
        <v>Transporte ferroviário e metroferroviário</v>
      </c>
      <c r="E3945" s="4">
        <v>6426.5996722500004</v>
      </c>
      <c r="F3945" s="4">
        <v>29747704.298099998</v>
      </c>
    </row>
    <row r="3946" spans="1:6" x14ac:dyDescent="0.3">
      <c r="A3946" s="3" t="s">
        <v>26</v>
      </c>
      <c r="B3946" s="7" t="str">
        <f>VLOOKUP(VALUE(A3946), 'DICIONÁRIO UF'!$A:$B, 2, FALSE)</f>
        <v>Rio Grande do Sul</v>
      </c>
      <c r="C3946" s="3">
        <v>49030</v>
      </c>
      <c r="D3946" s="5" t="str">
        <f>VLOOKUP(C3946, 'DICIONÁRIO CNAES'!$A:$B, 2, FALSE)</f>
        <v>Transporte rodoviário de passageiros</v>
      </c>
      <c r="E3946" s="4">
        <v>82244.053964970008</v>
      </c>
      <c r="F3946" s="4">
        <v>201939289.79822811</v>
      </c>
    </row>
    <row r="3947" spans="1:6" x14ac:dyDescent="0.3">
      <c r="A3947" s="3" t="s">
        <v>26</v>
      </c>
      <c r="B3947" s="7" t="str">
        <f>VLOOKUP(VALUE(A3947), 'DICIONÁRIO UF'!$A:$B, 2, FALSE)</f>
        <v>Rio Grande do Sul</v>
      </c>
      <c r="C3947" s="3">
        <v>49040</v>
      </c>
      <c r="D3947" s="5" t="str">
        <f>VLOOKUP(C3947, 'DICIONÁRIO CNAES'!$A:$B, 2, FALSE)</f>
        <v>Transporte rodoviário de carga</v>
      </c>
      <c r="E3947" s="4">
        <v>98284.073092630002</v>
      </c>
      <c r="F3947" s="4">
        <v>234987793.6417889</v>
      </c>
    </row>
    <row r="3948" spans="1:6" x14ac:dyDescent="0.3">
      <c r="A3948" s="3" t="s">
        <v>26</v>
      </c>
      <c r="B3948" s="7" t="str">
        <f>VLOOKUP(VALUE(A3948), 'DICIONÁRIO UF'!$A:$B, 2, FALSE)</f>
        <v>Rio Grande do Sul</v>
      </c>
      <c r="C3948" s="3">
        <v>50000</v>
      </c>
      <c r="D3948" s="5" t="str">
        <f>VLOOKUP(C3948, 'DICIONÁRIO CNAES'!$A:$B, 2, FALSE)</f>
        <v>Transporte Aquaviário</v>
      </c>
      <c r="E3948" s="4">
        <v>3354.2603278900001</v>
      </c>
      <c r="F3948" s="4">
        <v>21349546.8993886</v>
      </c>
    </row>
    <row r="3949" spans="1:6" x14ac:dyDescent="0.3">
      <c r="A3949" s="3" t="s">
        <v>26</v>
      </c>
      <c r="B3949" s="7" t="str">
        <f>VLOOKUP(VALUE(A3949), 'DICIONÁRIO UF'!$A:$B, 2, FALSE)</f>
        <v>Rio Grande do Sul</v>
      </c>
      <c r="C3949" s="3">
        <v>51000</v>
      </c>
      <c r="D3949" s="5" t="str">
        <f>VLOOKUP(C3949, 'DICIONÁRIO CNAES'!$A:$B, 2, FALSE)</f>
        <v>Transporte Aéreo</v>
      </c>
      <c r="E3949" s="4">
        <v>216.47211953999999</v>
      </c>
      <c r="F3949" s="4">
        <v>454591.45103400003</v>
      </c>
    </row>
    <row r="3950" spans="1:6" x14ac:dyDescent="0.3">
      <c r="A3950" s="3" t="s">
        <v>26</v>
      </c>
      <c r="B3950" s="7" t="str">
        <f>VLOOKUP(VALUE(A3950), 'DICIONÁRIO UF'!$A:$B, 2, FALSE)</f>
        <v>Rio Grande do Sul</v>
      </c>
      <c r="C3950" s="3">
        <v>52010</v>
      </c>
      <c r="D3950" s="5" t="str">
        <f>VLOOKUP(C3950, 'DICIONÁRIO CNAES'!$A:$B, 2, FALSE)</f>
        <v>Armazenamento, carga e descarga</v>
      </c>
      <c r="E3950" s="4">
        <v>7152.1213664300003</v>
      </c>
      <c r="F3950" s="4">
        <v>15149144.5689354</v>
      </c>
    </row>
    <row r="3951" spans="1:6" x14ac:dyDescent="0.3">
      <c r="A3951" s="3" t="s">
        <v>26</v>
      </c>
      <c r="B3951" s="7" t="str">
        <f>VLOOKUP(VALUE(A3951), 'DICIONÁRIO UF'!$A:$B, 2, FALSE)</f>
        <v>Rio Grande do Sul</v>
      </c>
      <c r="C3951" s="3">
        <v>52020</v>
      </c>
      <c r="D3951" s="5" t="str">
        <f>VLOOKUP(C3951, 'DICIONÁRIO CNAES'!$A:$B, 2, FALSE)</f>
        <v xml:space="preserve">Atividades auxiliares dos transportes e atividades relacionadas à organização do transporte de carga </v>
      </c>
      <c r="E3951" s="4">
        <v>13860.10648323</v>
      </c>
      <c r="F3951" s="4">
        <v>40504003.924327798</v>
      </c>
    </row>
    <row r="3952" spans="1:6" x14ac:dyDescent="0.3">
      <c r="A3952" s="3" t="s">
        <v>26</v>
      </c>
      <c r="B3952" s="7" t="str">
        <f>VLOOKUP(VALUE(A3952), 'DICIONÁRIO UF'!$A:$B, 2, FALSE)</f>
        <v>Rio Grande do Sul</v>
      </c>
      <c r="C3952" s="3">
        <v>53001</v>
      </c>
      <c r="D3952" s="5" t="str">
        <f>VLOOKUP(C3952, 'DICIONÁRIO CNAES'!$A:$B, 2, FALSE)</f>
        <v>Atividades de Correio</v>
      </c>
      <c r="E3952" s="4">
        <v>4207.2931612800003</v>
      </c>
      <c r="F3952" s="4">
        <v>15265309.441915</v>
      </c>
    </row>
    <row r="3953" spans="1:6" x14ac:dyDescent="0.3">
      <c r="A3953" s="3" t="s">
        <v>26</v>
      </c>
      <c r="B3953" s="7" t="str">
        <f>VLOOKUP(VALUE(A3953), 'DICIONÁRIO UF'!$A:$B, 2, FALSE)</f>
        <v>Rio Grande do Sul</v>
      </c>
      <c r="C3953" s="3">
        <v>53002</v>
      </c>
      <c r="D3953" s="5" t="str">
        <f>VLOOKUP(C3953, 'DICIONÁRIO CNAES'!$A:$B, 2, FALSE)</f>
        <v>Atividades de malote e de entrega</v>
      </c>
      <c r="E3953" s="4">
        <v>28802.273316120001</v>
      </c>
      <c r="F3953" s="4">
        <v>57583152.945473783</v>
      </c>
    </row>
    <row r="3954" spans="1:6" x14ac:dyDescent="0.3">
      <c r="A3954" s="3" t="s">
        <v>26</v>
      </c>
      <c r="B3954" s="7" t="str">
        <f>VLOOKUP(VALUE(A3954), 'DICIONÁRIO UF'!$A:$B, 2, FALSE)</f>
        <v>Rio Grande do Sul</v>
      </c>
      <c r="C3954" s="3">
        <v>55000</v>
      </c>
      <c r="D3954" s="5" t="str">
        <f>VLOOKUP(C3954, 'DICIONÁRIO CNAES'!$A:$B, 2, FALSE)</f>
        <v>Alojamento</v>
      </c>
      <c r="E3954" s="4">
        <v>16745.885189929999</v>
      </c>
      <c r="F3954" s="4">
        <v>35643628.831529081</v>
      </c>
    </row>
    <row r="3955" spans="1:6" x14ac:dyDescent="0.3">
      <c r="A3955" s="3" t="s">
        <v>26</v>
      </c>
      <c r="B3955" s="7" t="str">
        <f>VLOOKUP(VALUE(A3955), 'DICIONÁRIO UF'!$A:$B, 2, FALSE)</f>
        <v>Rio Grande do Sul</v>
      </c>
      <c r="C3955" s="3">
        <v>56011</v>
      </c>
      <c r="D3955" s="5" t="str">
        <f>VLOOKUP(C3955, 'DICIONÁRIO CNAES'!$A:$B, 2, FALSE)</f>
        <v>Restaurantes e outros estabelecimentos de serviços de alimentação e bebidas</v>
      </c>
      <c r="E3955" s="4">
        <v>153334.84896936</v>
      </c>
      <c r="F3955" s="4">
        <v>291423507.29316843</v>
      </c>
    </row>
    <row r="3956" spans="1:6" x14ac:dyDescent="0.3">
      <c r="A3956" s="3" t="s">
        <v>26</v>
      </c>
      <c r="B3956" s="7" t="str">
        <f>VLOOKUP(VALUE(A3956), 'DICIONÁRIO UF'!$A:$B, 2, FALSE)</f>
        <v>Rio Grande do Sul</v>
      </c>
      <c r="C3956" s="3">
        <v>56012</v>
      </c>
      <c r="D3956" s="5" t="str">
        <f>VLOOKUP(C3956, 'DICIONÁRIO CNAES'!$A:$B, 2, FALSE)</f>
        <v>Serviços de catering, bufê e outros serviços de comida preparada</v>
      </c>
      <c r="E3956" s="4">
        <v>48674.887400549997</v>
      </c>
      <c r="F3956" s="4">
        <v>64185778.598251797</v>
      </c>
    </row>
    <row r="3957" spans="1:6" x14ac:dyDescent="0.3">
      <c r="A3957" s="3" t="s">
        <v>26</v>
      </c>
      <c r="B3957" s="7" t="str">
        <f>VLOOKUP(VALUE(A3957), 'DICIONÁRIO UF'!$A:$B, 2, FALSE)</f>
        <v>Rio Grande do Sul</v>
      </c>
      <c r="C3957" s="3">
        <v>56020</v>
      </c>
      <c r="D3957" s="5" t="str">
        <f>VLOOKUP(C3957, 'DICIONÁRIO CNAES'!$A:$B, 2, FALSE)</f>
        <v>Serviços ambulantes de alimentação</v>
      </c>
      <c r="E3957" s="4">
        <v>5208.5780219400003</v>
      </c>
      <c r="F3957" s="4">
        <v>4684752.5067835003</v>
      </c>
    </row>
    <row r="3958" spans="1:6" x14ac:dyDescent="0.3">
      <c r="A3958" s="3" t="s">
        <v>26</v>
      </c>
      <c r="B3958" s="7" t="str">
        <f>VLOOKUP(VALUE(A3958), 'DICIONÁRIO UF'!$A:$B, 2, FALSE)</f>
        <v>Rio Grande do Sul</v>
      </c>
      <c r="C3958" s="3">
        <v>58000</v>
      </c>
      <c r="D3958" s="5" t="str">
        <f>VLOOKUP(C3958, 'DICIONÁRIO CNAES'!$A:$B, 2, FALSE)</f>
        <v xml:space="preserve">Edição e Edição integrada à impressão </v>
      </c>
      <c r="E3958" s="4">
        <v>7720.0897478699999</v>
      </c>
      <c r="F3958" s="4">
        <v>28332934.237806998</v>
      </c>
    </row>
    <row r="3959" spans="1:6" x14ac:dyDescent="0.3">
      <c r="A3959" s="3" t="s">
        <v>26</v>
      </c>
      <c r="B3959" s="7" t="str">
        <f>VLOOKUP(VALUE(A3959), 'DICIONÁRIO UF'!$A:$B, 2, FALSE)</f>
        <v>Rio Grande do Sul</v>
      </c>
      <c r="C3959" s="3">
        <v>59000</v>
      </c>
      <c r="D3959" s="5" t="str">
        <f>VLOOKUP(C3959, 'DICIONÁRIO CNAES'!$A:$B, 2, FALSE)</f>
        <v>Atividades cinematográficas, produção de vídeos e de programas de televisão, gravação de som e de música</v>
      </c>
      <c r="E3959" s="4">
        <v>2109.58782415</v>
      </c>
      <c r="F3959" s="4">
        <v>3021743.5800231602</v>
      </c>
    </row>
    <row r="3960" spans="1:6" x14ac:dyDescent="0.3">
      <c r="A3960" s="3" t="s">
        <v>26</v>
      </c>
      <c r="B3960" s="7" t="str">
        <f>VLOOKUP(VALUE(A3960), 'DICIONÁRIO UF'!$A:$B, 2, FALSE)</f>
        <v>Rio Grande do Sul</v>
      </c>
      <c r="C3960" s="3">
        <v>60001</v>
      </c>
      <c r="D3960" s="5" t="str">
        <f>VLOOKUP(C3960, 'DICIONÁRIO CNAES'!$A:$B, 2, FALSE)</f>
        <v>Atividades de rádio</v>
      </c>
      <c r="E3960" s="4">
        <v>3791.6501094800001</v>
      </c>
      <c r="F3960" s="4">
        <v>9405125.7038080003</v>
      </c>
    </row>
    <row r="3961" spans="1:6" x14ac:dyDescent="0.3">
      <c r="A3961" s="3" t="s">
        <v>26</v>
      </c>
      <c r="B3961" s="7" t="str">
        <f>VLOOKUP(VALUE(A3961), 'DICIONÁRIO UF'!$A:$B, 2, FALSE)</f>
        <v>Rio Grande do Sul</v>
      </c>
      <c r="C3961" s="3">
        <v>60002</v>
      </c>
      <c r="D3961" s="5" t="str">
        <f>VLOOKUP(C3961, 'DICIONÁRIO CNAES'!$A:$B, 2, FALSE)</f>
        <v>Atividades de televisão</v>
      </c>
      <c r="E3961" s="4">
        <v>3490.5021851500001</v>
      </c>
      <c r="F3961" s="4">
        <v>11070450.621230001</v>
      </c>
    </row>
    <row r="3962" spans="1:6" x14ac:dyDescent="0.3">
      <c r="A3962" s="3" t="s">
        <v>26</v>
      </c>
      <c r="B3962" s="7" t="str">
        <f>VLOOKUP(VALUE(A3962), 'DICIONÁRIO UF'!$A:$B, 2, FALSE)</f>
        <v>Rio Grande do Sul</v>
      </c>
      <c r="C3962" s="3">
        <v>61000</v>
      </c>
      <c r="D3962" s="5" t="str">
        <f>VLOOKUP(C3962, 'DICIONÁRIO CNAES'!$A:$B, 2, FALSE)</f>
        <v>Telecomunicações</v>
      </c>
      <c r="E3962" s="4">
        <v>18992.363298209999</v>
      </c>
      <c r="F3962" s="4">
        <v>59022635.481996797</v>
      </c>
    </row>
    <row r="3963" spans="1:6" x14ac:dyDescent="0.3">
      <c r="A3963" s="3" t="s">
        <v>26</v>
      </c>
      <c r="B3963" s="7" t="str">
        <f>VLOOKUP(VALUE(A3963), 'DICIONÁRIO UF'!$A:$B, 2, FALSE)</f>
        <v>Rio Grande do Sul</v>
      </c>
      <c r="C3963" s="3">
        <v>62000</v>
      </c>
      <c r="D3963" s="5" t="str">
        <f>VLOOKUP(C3963, 'DICIONÁRIO CNAES'!$A:$B, 2, FALSE)</f>
        <v>Atividades dos serviços de tecnologia da informação</v>
      </c>
      <c r="E3963" s="4">
        <v>46932.468416279997</v>
      </c>
      <c r="F3963" s="4">
        <v>191939276.06837219</v>
      </c>
    </row>
    <row r="3964" spans="1:6" x14ac:dyDescent="0.3">
      <c r="A3964" s="3" t="s">
        <v>26</v>
      </c>
      <c r="B3964" s="7" t="str">
        <f>VLOOKUP(VALUE(A3964), 'DICIONÁRIO UF'!$A:$B, 2, FALSE)</f>
        <v>Rio Grande do Sul</v>
      </c>
      <c r="C3964" s="3">
        <v>63000</v>
      </c>
      <c r="D3964" s="5" t="str">
        <f>VLOOKUP(C3964, 'DICIONÁRIO CNAES'!$A:$B, 2, FALSE)</f>
        <v>Atividades de prestação de serviços de informação</v>
      </c>
      <c r="E3964" s="4">
        <v>2774.5350907400002</v>
      </c>
      <c r="F3964" s="4">
        <v>4713394.1082420005</v>
      </c>
    </row>
    <row r="3965" spans="1:6" x14ac:dyDescent="0.3">
      <c r="A3965" s="3" t="s">
        <v>26</v>
      </c>
      <c r="B3965" s="7" t="str">
        <f>VLOOKUP(VALUE(A3965), 'DICIONÁRIO UF'!$A:$B, 2, FALSE)</f>
        <v>Rio Grande do Sul</v>
      </c>
      <c r="C3965" s="3">
        <v>64000</v>
      </c>
      <c r="D3965" s="5" t="str">
        <f>VLOOKUP(C3965, 'DICIONÁRIO CNAES'!$A:$B, 2, FALSE)</f>
        <v>Serviços financeiros</v>
      </c>
      <c r="E3965" s="4">
        <v>60775.29567734</v>
      </c>
      <c r="F3965" s="4">
        <v>351071365.88568962</v>
      </c>
    </row>
    <row r="3966" spans="1:6" x14ac:dyDescent="0.3">
      <c r="A3966" s="3" t="s">
        <v>26</v>
      </c>
      <c r="B3966" s="7" t="str">
        <f>VLOOKUP(VALUE(A3966), 'DICIONÁRIO UF'!$A:$B, 2, FALSE)</f>
        <v>Rio Grande do Sul</v>
      </c>
      <c r="C3966" s="3">
        <v>65000</v>
      </c>
      <c r="D3966" s="5" t="str">
        <f>VLOOKUP(C3966, 'DICIONÁRIO CNAES'!$A:$B, 2, FALSE)</f>
        <v>Seguros e previdência privada</v>
      </c>
      <c r="E3966" s="4">
        <v>10666.382179849999</v>
      </c>
      <c r="F3966" s="4">
        <v>35797335.266366199</v>
      </c>
    </row>
    <row r="3967" spans="1:6" x14ac:dyDescent="0.3">
      <c r="A3967" s="3" t="s">
        <v>26</v>
      </c>
      <c r="B3967" s="7" t="str">
        <f>VLOOKUP(VALUE(A3967), 'DICIONÁRIO UF'!$A:$B, 2, FALSE)</f>
        <v>Rio Grande do Sul</v>
      </c>
      <c r="C3967" s="3">
        <v>66001</v>
      </c>
      <c r="D3967" s="5" t="str">
        <f>VLOOKUP(C3967, 'DICIONÁRIO CNAES'!$A:$B, 2, FALSE)</f>
        <v>Atividades auxiliares dos serviços financeiros</v>
      </c>
      <c r="E3967" s="4">
        <v>5444.6860849900004</v>
      </c>
      <c r="F3967" s="4">
        <v>29135473.26864</v>
      </c>
    </row>
    <row r="3968" spans="1:6" x14ac:dyDescent="0.3">
      <c r="A3968" s="3" t="s">
        <v>26</v>
      </c>
      <c r="B3968" s="7" t="str">
        <f>VLOOKUP(VALUE(A3968), 'DICIONÁRIO UF'!$A:$B, 2, FALSE)</f>
        <v>Rio Grande do Sul</v>
      </c>
      <c r="C3968" s="3">
        <v>66002</v>
      </c>
      <c r="D3968" s="5" t="str">
        <f>VLOOKUP(C3968, 'DICIONÁRIO CNAES'!$A:$B, 2, FALSE)</f>
        <v>Atividades auxiliares dos seguros, da previdência complementar e dos planos de saúde</v>
      </c>
      <c r="E3968" s="4">
        <v>7947.8177521500002</v>
      </c>
      <c r="F3968" s="4">
        <v>33021721.423662301</v>
      </c>
    </row>
    <row r="3969" spans="1:6" x14ac:dyDescent="0.3">
      <c r="A3969" s="3" t="s">
        <v>26</v>
      </c>
      <c r="B3969" s="7" t="str">
        <f>VLOOKUP(VALUE(A3969), 'DICIONÁRIO UF'!$A:$B, 2, FALSE)</f>
        <v>Rio Grande do Sul</v>
      </c>
      <c r="C3969" s="3">
        <v>68000</v>
      </c>
      <c r="D3969" s="5" t="str">
        <f>VLOOKUP(C3969, 'DICIONÁRIO CNAES'!$A:$B, 2, FALSE)</f>
        <v>Atividades imobiliárias</v>
      </c>
      <c r="E3969" s="4">
        <v>37932.45644858</v>
      </c>
      <c r="F3969" s="4">
        <v>145086250.93413299</v>
      </c>
    </row>
    <row r="3970" spans="1:6" x14ac:dyDescent="0.3">
      <c r="A3970" s="3" t="s">
        <v>26</v>
      </c>
      <c r="B3970" s="7" t="str">
        <f>VLOOKUP(VALUE(A3970), 'DICIONÁRIO UF'!$A:$B, 2, FALSE)</f>
        <v>Rio Grande do Sul</v>
      </c>
      <c r="C3970" s="3">
        <v>69000</v>
      </c>
      <c r="D3970" s="5" t="str">
        <f>VLOOKUP(C3970, 'DICIONÁRIO CNAES'!$A:$B, 2, FALSE)</f>
        <v xml:space="preserve">Atividades jurídicas, de contabilidade e de auditoria </v>
      </c>
      <c r="E3970" s="4">
        <v>137507.73369175001</v>
      </c>
      <c r="F3970" s="4">
        <v>720495789.8059113</v>
      </c>
    </row>
    <row r="3971" spans="1:6" x14ac:dyDescent="0.3">
      <c r="A3971" s="3" t="s">
        <v>26</v>
      </c>
      <c r="B3971" s="7" t="str">
        <f>VLOOKUP(VALUE(A3971), 'DICIONÁRIO UF'!$A:$B, 2, FALSE)</f>
        <v>Rio Grande do Sul</v>
      </c>
      <c r="C3971" s="3">
        <v>70000</v>
      </c>
      <c r="D3971" s="5" t="str">
        <f>VLOOKUP(C3971, 'DICIONÁRIO CNAES'!$A:$B, 2, FALSE)</f>
        <v>Atividades de consultoria em gestão empresarial</v>
      </c>
      <c r="E3971" s="4">
        <v>5437.4949869900001</v>
      </c>
      <c r="F3971" s="4">
        <v>25872368.596531998</v>
      </c>
    </row>
    <row r="3972" spans="1:6" x14ac:dyDescent="0.3">
      <c r="A3972" s="3" t="s">
        <v>26</v>
      </c>
      <c r="B3972" s="7" t="str">
        <f>VLOOKUP(VALUE(A3972), 'DICIONÁRIO UF'!$A:$B, 2, FALSE)</f>
        <v>Rio Grande do Sul</v>
      </c>
      <c r="C3972" s="3">
        <v>71000</v>
      </c>
      <c r="D3972" s="5" t="str">
        <f>VLOOKUP(C3972, 'DICIONÁRIO CNAES'!$A:$B, 2, FALSE)</f>
        <v>Serviços de arquitetura e engenharia e atividades técnicas relacionadas; Testes e análises técnicas</v>
      </c>
      <c r="E3972" s="4">
        <v>43173.540283230002</v>
      </c>
      <c r="F3972" s="4">
        <v>211641379.90354419</v>
      </c>
    </row>
    <row r="3973" spans="1:6" x14ac:dyDescent="0.3">
      <c r="A3973" s="3" t="s">
        <v>26</v>
      </c>
      <c r="B3973" s="7" t="str">
        <f>VLOOKUP(VALUE(A3973), 'DICIONÁRIO UF'!$A:$B, 2, FALSE)</f>
        <v>Rio Grande do Sul</v>
      </c>
      <c r="C3973" s="3">
        <v>72000</v>
      </c>
      <c r="D3973" s="5" t="str">
        <f>VLOOKUP(C3973, 'DICIONÁRIO CNAES'!$A:$B, 2, FALSE)</f>
        <v>Pesquisa e desenvolvimento científico</v>
      </c>
      <c r="E3973" s="4">
        <v>406.00631014999999</v>
      </c>
      <c r="F3973" s="4">
        <v>812012.62029999995</v>
      </c>
    </row>
    <row r="3974" spans="1:6" x14ac:dyDescent="0.3">
      <c r="A3974" s="3" t="s">
        <v>26</v>
      </c>
      <c r="B3974" s="7" t="str">
        <f>VLOOKUP(VALUE(A3974), 'DICIONÁRIO UF'!$A:$B, 2, FALSE)</f>
        <v>Rio Grande do Sul</v>
      </c>
      <c r="C3974" s="3">
        <v>73010</v>
      </c>
      <c r="D3974" s="5" t="str">
        <f>VLOOKUP(C3974, 'DICIONÁRIO CNAES'!$A:$B, 2, FALSE)</f>
        <v>Publicidade</v>
      </c>
      <c r="E3974" s="4">
        <v>25351.981662040002</v>
      </c>
      <c r="F3974" s="4">
        <v>76238551.543043494</v>
      </c>
    </row>
    <row r="3975" spans="1:6" x14ac:dyDescent="0.3">
      <c r="A3975" s="3" t="s">
        <v>26</v>
      </c>
      <c r="B3975" s="7" t="str">
        <f>VLOOKUP(VALUE(A3975), 'DICIONÁRIO UF'!$A:$B, 2, FALSE)</f>
        <v>Rio Grande do Sul</v>
      </c>
      <c r="C3975" s="3">
        <v>74000</v>
      </c>
      <c r="D3975" s="5" t="str">
        <f>VLOOKUP(C3975, 'DICIONÁRIO CNAES'!$A:$B, 2, FALSE)</f>
        <v>Outras atividades profissionais, científicas e técnicas não especificadas anteriormente</v>
      </c>
      <c r="E3975" s="4">
        <v>26184.642236579999</v>
      </c>
      <c r="F3975" s="4">
        <v>66554092.536440857</v>
      </c>
    </row>
    <row r="3976" spans="1:6" x14ac:dyDescent="0.3">
      <c r="A3976" s="3" t="s">
        <v>26</v>
      </c>
      <c r="B3976" s="7" t="str">
        <f>VLOOKUP(VALUE(A3976), 'DICIONÁRIO UF'!$A:$B, 2, FALSE)</f>
        <v>Rio Grande do Sul</v>
      </c>
      <c r="C3976" s="3">
        <v>75000</v>
      </c>
      <c r="D3976" s="5" t="str">
        <f>VLOOKUP(C3976, 'DICIONÁRIO CNAES'!$A:$B, 2, FALSE)</f>
        <v>Atividades veterinárias</v>
      </c>
      <c r="E3976" s="4">
        <v>8198.7826305199997</v>
      </c>
      <c r="F3976" s="4">
        <v>25605750.037046999</v>
      </c>
    </row>
    <row r="3977" spans="1:6" x14ac:dyDescent="0.3">
      <c r="A3977" s="3" t="s">
        <v>26</v>
      </c>
      <c r="B3977" s="7" t="str">
        <f>VLOOKUP(VALUE(A3977), 'DICIONÁRIO UF'!$A:$B, 2, FALSE)</f>
        <v>Rio Grande do Sul</v>
      </c>
      <c r="C3977" s="3">
        <v>77020</v>
      </c>
      <c r="D3977" s="5" t="str">
        <f>VLOOKUP(C3977, 'DICIONÁRIO CNAES'!$A:$B, 2, FALSE)</f>
        <v>Aluguel de meios de transportes, maquinas e equipamentos sem operador e gestão de ativos intangíveis não financeiros</v>
      </c>
      <c r="E3977" s="4">
        <v>3175.22142721</v>
      </c>
      <c r="F3977" s="4">
        <v>6481686.3374802498</v>
      </c>
    </row>
    <row r="3978" spans="1:6" x14ac:dyDescent="0.3">
      <c r="A3978" s="3" t="s">
        <v>26</v>
      </c>
      <c r="B3978" s="7" t="str">
        <f>VLOOKUP(VALUE(A3978), 'DICIONÁRIO UF'!$A:$B, 2, FALSE)</f>
        <v>Rio Grande do Sul</v>
      </c>
      <c r="C3978" s="3">
        <v>78000</v>
      </c>
      <c r="D3978" s="5" t="str">
        <f>VLOOKUP(C3978, 'DICIONÁRIO CNAES'!$A:$B, 2, FALSE)</f>
        <v>Seleção, agenciamento e locação de mão-de-obra</v>
      </c>
      <c r="E3978" s="4">
        <v>16279.847060489999</v>
      </c>
      <c r="F3978" s="4">
        <v>35890530.243075468</v>
      </c>
    </row>
    <row r="3979" spans="1:6" x14ac:dyDescent="0.3">
      <c r="A3979" s="3" t="s">
        <v>26</v>
      </c>
      <c r="B3979" s="7" t="str">
        <f>VLOOKUP(VALUE(A3979), 'DICIONÁRIO UF'!$A:$B, 2, FALSE)</f>
        <v>Rio Grande do Sul</v>
      </c>
      <c r="C3979" s="3">
        <v>79000</v>
      </c>
      <c r="D3979" s="5" t="str">
        <f>VLOOKUP(C3979, 'DICIONÁRIO CNAES'!$A:$B, 2, FALSE)</f>
        <v>Agências de viagens, operadores turísticos e serviços de reservas</v>
      </c>
      <c r="E3979" s="4">
        <v>3391.7874779899998</v>
      </c>
      <c r="F3979" s="4">
        <v>8838834.7194940001</v>
      </c>
    </row>
    <row r="3980" spans="1:6" x14ac:dyDescent="0.3">
      <c r="A3980" s="3" t="s">
        <v>26</v>
      </c>
      <c r="B3980" s="7" t="str">
        <f>VLOOKUP(VALUE(A3980), 'DICIONÁRIO UF'!$A:$B, 2, FALSE)</f>
        <v>Rio Grande do Sul</v>
      </c>
      <c r="C3980" s="3">
        <v>80000</v>
      </c>
      <c r="D3980" s="5" t="str">
        <f>VLOOKUP(C3980, 'DICIONÁRIO CNAES'!$A:$B, 2, FALSE)</f>
        <v>Atividades de vigilância, segurança, transporte de valores e investigação</v>
      </c>
      <c r="E3980" s="4">
        <v>60150.74265642</v>
      </c>
      <c r="F3980" s="4">
        <v>109621097.3670014</v>
      </c>
    </row>
    <row r="3981" spans="1:6" x14ac:dyDescent="0.3">
      <c r="A3981" s="3" t="s">
        <v>26</v>
      </c>
      <c r="B3981" s="7" t="str">
        <f>VLOOKUP(VALUE(A3981), 'DICIONÁRIO UF'!$A:$B, 2, FALSE)</f>
        <v>Rio Grande do Sul</v>
      </c>
      <c r="C3981" s="3">
        <v>81011</v>
      </c>
      <c r="D3981" s="5" t="str">
        <f>VLOOKUP(C3981, 'DICIONÁRIO CNAES'!$A:$B, 2, FALSE)</f>
        <v>Serviços de limpeza e de apoio a edifícios, exceto condomínios prediais</v>
      </c>
      <c r="E3981" s="4">
        <v>49646.410047559999</v>
      </c>
      <c r="F3981" s="4">
        <v>69943487.772986934</v>
      </c>
    </row>
    <row r="3982" spans="1:6" x14ac:dyDescent="0.3">
      <c r="A3982" s="3" t="s">
        <v>26</v>
      </c>
      <c r="B3982" s="7" t="str">
        <f>VLOOKUP(VALUE(A3982), 'DICIONÁRIO UF'!$A:$B, 2, FALSE)</f>
        <v>Rio Grande do Sul</v>
      </c>
      <c r="C3982" s="3">
        <v>81012</v>
      </c>
      <c r="D3982" s="5" t="str">
        <f>VLOOKUP(C3982, 'DICIONÁRIO CNAES'!$A:$B, 2, FALSE)</f>
        <v>Condomínios prediais</v>
      </c>
      <c r="E3982" s="4">
        <v>10104.62935048</v>
      </c>
      <c r="F3982" s="4">
        <v>20467988.834906962</v>
      </c>
    </row>
    <row r="3983" spans="1:6" x14ac:dyDescent="0.3">
      <c r="A3983" s="3" t="s">
        <v>26</v>
      </c>
      <c r="B3983" s="7" t="str">
        <f>VLOOKUP(VALUE(A3983), 'DICIONÁRIO UF'!$A:$B, 2, FALSE)</f>
        <v>Rio Grande do Sul</v>
      </c>
      <c r="C3983" s="3">
        <v>81020</v>
      </c>
      <c r="D3983" s="5" t="str">
        <f>VLOOKUP(C3983, 'DICIONÁRIO CNAES'!$A:$B, 2, FALSE)</f>
        <v>Atividades paisagísticas</v>
      </c>
      <c r="E3983" s="4">
        <v>7165.0302735499999</v>
      </c>
      <c r="F3983" s="4">
        <v>7790184.9109189995</v>
      </c>
    </row>
    <row r="3984" spans="1:6" x14ac:dyDescent="0.3">
      <c r="A3984" s="3" t="s">
        <v>26</v>
      </c>
      <c r="B3984" s="7" t="str">
        <f>VLOOKUP(VALUE(A3984), 'DICIONÁRIO UF'!$A:$B, 2, FALSE)</f>
        <v>Rio Grande do Sul</v>
      </c>
      <c r="C3984" s="3">
        <v>82001</v>
      </c>
      <c r="D3984" s="5" t="str">
        <f>VLOOKUP(C3984, 'DICIONÁRIO CNAES'!$A:$B, 2, FALSE)</f>
        <v>Serviços de escritório e apoio administrativo</v>
      </c>
      <c r="E3984" s="4">
        <v>2436.6904470200002</v>
      </c>
      <c r="F3984" s="4">
        <v>6789172.2532090005</v>
      </c>
    </row>
    <row r="3985" spans="1:6" x14ac:dyDescent="0.3">
      <c r="A3985" s="3" t="s">
        <v>26</v>
      </c>
      <c r="B3985" s="7" t="str">
        <f>VLOOKUP(VALUE(A3985), 'DICIONÁRIO UF'!$A:$B, 2, FALSE)</f>
        <v>Rio Grande do Sul</v>
      </c>
      <c r="C3985" s="3">
        <v>82002</v>
      </c>
      <c r="D3985" s="5" t="str">
        <f>VLOOKUP(C3985, 'DICIONÁRIO CNAES'!$A:$B, 2, FALSE)</f>
        <v>Atividades de teleatendimento</v>
      </c>
      <c r="E3985" s="4">
        <v>8372.9626604900004</v>
      </c>
      <c r="F3985" s="4">
        <v>9470367.0912961196</v>
      </c>
    </row>
    <row r="3986" spans="1:6" x14ac:dyDescent="0.3">
      <c r="A3986" s="3" t="s">
        <v>26</v>
      </c>
      <c r="B3986" s="7" t="str">
        <f>VLOOKUP(VALUE(A3986), 'DICIONÁRIO UF'!$A:$B, 2, FALSE)</f>
        <v>Rio Grande do Sul</v>
      </c>
      <c r="C3986" s="3">
        <v>82003</v>
      </c>
      <c r="D3986" s="5" t="str">
        <f>VLOOKUP(C3986, 'DICIONÁRIO CNAES'!$A:$B, 2, FALSE)</f>
        <v>Atividades de organização de eventos, exceto culturais e esportivos</v>
      </c>
      <c r="E3986" s="4">
        <v>6359.43954347</v>
      </c>
      <c r="F3986" s="4">
        <v>17082265.68570425</v>
      </c>
    </row>
    <row r="3987" spans="1:6" x14ac:dyDescent="0.3">
      <c r="A3987" s="3" t="s">
        <v>26</v>
      </c>
      <c r="B3987" s="7" t="str">
        <f>VLOOKUP(VALUE(A3987), 'DICIONÁRIO UF'!$A:$B, 2, FALSE)</f>
        <v>Rio Grande do Sul</v>
      </c>
      <c r="C3987" s="3">
        <v>82009</v>
      </c>
      <c r="D3987" s="5" t="str">
        <f>VLOOKUP(C3987, 'DICIONÁRIO CNAES'!$A:$B, 2, FALSE)</f>
        <v>Outras atividades de serviços prestados principalmente às empresas</v>
      </c>
      <c r="E3987" s="4">
        <v>23434.97244197</v>
      </c>
      <c r="F3987" s="4">
        <v>59837806.191773497</v>
      </c>
    </row>
    <row r="3988" spans="1:6" x14ac:dyDescent="0.3">
      <c r="A3988" s="3" t="s">
        <v>26</v>
      </c>
      <c r="B3988" s="7" t="str">
        <f>VLOOKUP(VALUE(A3988), 'DICIONÁRIO UF'!$A:$B, 2, FALSE)</f>
        <v>Rio Grande do Sul</v>
      </c>
      <c r="C3988" s="3">
        <v>84011</v>
      </c>
      <c r="D3988" s="5" t="str">
        <f>VLOOKUP(C3988, 'DICIONÁRIO CNAES'!$A:$B, 2, FALSE)</f>
        <v>Administração publica e regulação da política econômica e social - Federal</v>
      </c>
      <c r="E3988" s="4">
        <v>11797.088971679999</v>
      </c>
      <c r="F3988" s="4">
        <v>128948609.481847</v>
      </c>
    </row>
    <row r="3989" spans="1:6" x14ac:dyDescent="0.3">
      <c r="A3989" s="3" t="s">
        <v>26</v>
      </c>
      <c r="B3989" s="7" t="str">
        <f>VLOOKUP(VALUE(A3989), 'DICIONÁRIO UF'!$A:$B, 2, FALSE)</f>
        <v>Rio Grande do Sul</v>
      </c>
      <c r="C3989" s="3">
        <v>84012</v>
      </c>
      <c r="D3989" s="5" t="str">
        <f>VLOOKUP(C3989, 'DICIONÁRIO CNAES'!$A:$B, 2, FALSE)</f>
        <v>Administração publica e regulação da política econômica e social - Estadual</v>
      </c>
      <c r="E3989" s="4">
        <v>17941.275895229999</v>
      </c>
      <c r="F3989" s="4">
        <v>103126179.5678964</v>
      </c>
    </row>
    <row r="3990" spans="1:6" x14ac:dyDescent="0.3">
      <c r="A3990" s="3" t="s">
        <v>26</v>
      </c>
      <c r="B3990" s="7" t="str">
        <f>VLOOKUP(VALUE(A3990), 'DICIONÁRIO UF'!$A:$B, 2, FALSE)</f>
        <v>Rio Grande do Sul</v>
      </c>
      <c r="C3990" s="3">
        <v>84013</v>
      </c>
      <c r="D3990" s="5" t="str">
        <f>VLOOKUP(C3990, 'DICIONÁRIO CNAES'!$A:$B, 2, FALSE)</f>
        <v>Administração publica e regulação da política econômica e social - Municipal</v>
      </c>
      <c r="E3990" s="4">
        <v>149044.23661851999</v>
      </c>
      <c r="F3990" s="4">
        <v>487808472.35256582</v>
      </c>
    </row>
    <row r="3991" spans="1:6" x14ac:dyDescent="0.3">
      <c r="A3991" s="3" t="s">
        <v>26</v>
      </c>
      <c r="B3991" s="7" t="str">
        <f>VLOOKUP(VALUE(A3991), 'DICIONÁRIO UF'!$A:$B, 2, FALSE)</f>
        <v>Rio Grande do Sul</v>
      </c>
      <c r="C3991" s="3">
        <v>84014</v>
      </c>
      <c r="D3991" s="5" t="str">
        <f>VLOOKUP(C3991, 'DICIONÁRIO CNAES'!$A:$B, 2, FALSE)</f>
        <v>Defesa</v>
      </c>
      <c r="E3991" s="4">
        <v>29937.542063550001</v>
      </c>
      <c r="F3991" s="4">
        <v>110666010.431868</v>
      </c>
    </row>
    <row r="3992" spans="1:6" x14ac:dyDescent="0.3">
      <c r="A3992" s="3" t="s">
        <v>26</v>
      </c>
      <c r="B3992" s="7" t="str">
        <f>VLOOKUP(VALUE(A3992), 'DICIONÁRIO UF'!$A:$B, 2, FALSE)</f>
        <v>Rio Grande do Sul</v>
      </c>
      <c r="C3992" s="3">
        <v>84015</v>
      </c>
      <c r="D3992" s="5" t="str">
        <f>VLOOKUP(C3992, 'DICIONÁRIO CNAES'!$A:$B, 2, FALSE)</f>
        <v>Outros serviços coletivos prestados pela administração pública - Federal</v>
      </c>
      <c r="E3992" s="4">
        <v>8463.5627488200007</v>
      </c>
      <c r="F3992" s="4">
        <v>77863801.968606502</v>
      </c>
    </row>
    <row r="3993" spans="1:6" x14ac:dyDescent="0.3">
      <c r="A3993" s="3" t="s">
        <v>26</v>
      </c>
      <c r="B3993" s="7" t="str">
        <f>VLOOKUP(VALUE(A3993), 'DICIONÁRIO UF'!$A:$B, 2, FALSE)</f>
        <v>Rio Grande do Sul</v>
      </c>
      <c r="C3993" s="3">
        <v>84016</v>
      </c>
      <c r="D3993" s="5" t="str">
        <f>VLOOKUP(C3993, 'DICIONÁRIO CNAES'!$A:$B, 2, FALSE)</f>
        <v>Outros serviços coletivos prestados pela administração pública - Estadual</v>
      </c>
      <c r="E3993" s="4">
        <v>55389.966414909999</v>
      </c>
      <c r="F3993" s="4">
        <v>402830684.989461</v>
      </c>
    </row>
    <row r="3994" spans="1:6" x14ac:dyDescent="0.3">
      <c r="A3994" s="3" t="s">
        <v>26</v>
      </c>
      <c r="B3994" s="7" t="str">
        <f>VLOOKUP(VALUE(A3994), 'DICIONÁRIO UF'!$A:$B, 2, FALSE)</f>
        <v>Rio Grande do Sul</v>
      </c>
      <c r="C3994" s="3">
        <v>84017</v>
      </c>
      <c r="D3994" s="5" t="str">
        <f>VLOOKUP(C3994, 'DICIONÁRIO CNAES'!$A:$B, 2, FALSE)</f>
        <v>Outros serviços coletivos prestados pela administração pública - Municipal</v>
      </c>
      <c r="E3994" s="4">
        <v>2101.5554226600002</v>
      </c>
      <c r="F3994" s="4">
        <v>6561117.2449200004</v>
      </c>
    </row>
    <row r="3995" spans="1:6" x14ac:dyDescent="0.3">
      <c r="A3995" s="3" t="s">
        <v>26</v>
      </c>
      <c r="B3995" s="7" t="str">
        <f>VLOOKUP(VALUE(A3995), 'DICIONÁRIO UF'!$A:$B, 2, FALSE)</f>
        <v>Rio Grande do Sul</v>
      </c>
      <c r="C3995" s="3">
        <v>84020</v>
      </c>
      <c r="D3995" s="5" t="str">
        <f>VLOOKUP(C3995, 'DICIONÁRIO CNAES'!$A:$B, 2, FALSE)</f>
        <v>Seguridade social obrigatória</v>
      </c>
      <c r="E3995" s="4">
        <v>1004.00859546</v>
      </c>
      <c r="F3995" s="4">
        <v>3107265.5414010002</v>
      </c>
    </row>
    <row r="3996" spans="1:6" x14ac:dyDescent="0.3">
      <c r="A3996" s="3" t="s">
        <v>26</v>
      </c>
      <c r="B3996" s="7" t="str">
        <f>VLOOKUP(VALUE(A3996), 'DICIONÁRIO UF'!$A:$B, 2, FALSE)</f>
        <v>Rio Grande do Sul</v>
      </c>
      <c r="C3996" s="3">
        <v>85011</v>
      </c>
      <c r="D3996" s="5" t="str">
        <f>VLOOKUP(C3996, 'DICIONÁRIO CNAES'!$A:$B, 2, FALSE)</f>
        <v>Creche</v>
      </c>
      <c r="E3996" s="4">
        <v>30152.42031614</v>
      </c>
      <c r="F3996" s="4">
        <v>49853952.986624531</v>
      </c>
    </row>
    <row r="3997" spans="1:6" x14ac:dyDescent="0.3">
      <c r="A3997" s="3" t="s">
        <v>26</v>
      </c>
      <c r="B3997" s="7" t="str">
        <f>VLOOKUP(VALUE(A3997), 'DICIONÁRIO UF'!$A:$B, 2, FALSE)</f>
        <v>Rio Grande do Sul</v>
      </c>
      <c r="C3997" s="3">
        <v>85012</v>
      </c>
      <c r="D3997" s="5" t="str">
        <f>VLOOKUP(C3997, 'DICIONÁRIO CNAES'!$A:$B, 2, FALSE)</f>
        <v>Pré-escola e ensino fundamental</v>
      </c>
      <c r="E3997" s="4">
        <v>158338.32201499</v>
      </c>
      <c r="F3997" s="4">
        <v>504370213.04937828</v>
      </c>
    </row>
    <row r="3998" spans="1:6" x14ac:dyDescent="0.3">
      <c r="A3998" s="3" t="s">
        <v>26</v>
      </c>
      <c r="B3998" s="7" t="str">
        <f>VLOOKUP(VALUE(A3998), 'DICIONÁRIO UF'!$A:$B, 2, FALSE)</f>
        <v>Rio Grande do Sul</v>
      </c>
      <c r="C3998" s="3">
        <v>85013</v>
      </c>
      <c r="D3998" s="5" t="str">
        <f>VLOOKUP(C3998, 'DICIONÁRIO CNAES'!$A:$B, 2, FALSE)</f>
        <v>Ensino médio</v>
      </c>
      <c r="E3998" s="4">
        <v>64072.380970010003</v>
      </c>
      <c r="F3998" s="4">
        <v>234999079.72305521</v>
      </c>
    </row>
    <row r="3999" spans="1:6" x14ac:dyDescent="0.3">
      <c r="A3999" s="3" t="s">
        <v>26</v>
      </c>
      <c r="B3999" s="7" t="str">
        <f>VLOOKUP(VALUE(A3999), 'DICIONÁRIO UF'!$A:$B, 2, FALSE)</f>
        <v>Rio Grande do Sul</v>
      </c>
      <c r="C3999" s="3">
        <v>85014</v>
      </c>
      <c r="D3999" s="5" t="str">
        <f>VLOOKUP(C3999, 'DICIONÁRIO CNAES'!$A:$B, 2, FALSE)</f>
        <v>Educação superior</v>
      </c>
      <c r="E3999" s="4">
        <v>54489.310739020002</v>
      </c>
      <c r="F3999" s="4">
        <v>353787929.19921982</v>
      </c>
    </row>
    <row r="4000" spans="1:6" x14ac:dyDescent="0.3">
      <c r="A4000" s="3" t="s">
        <v>26</v>
      </c>
      <c r="B4000" s="7" t="str">
        <f>VLOOKUP(VALUE(A4000), 'DICIONÁRIO UF'!$A:$B, 2, FALSE)</f>
        <v>Rio Grande do Sul</v>
      </c>
      <c r="C4000" s="3">
        <v>85021</v>
      </c>
      <c r="D4000" s="5" t="str">
        <f>VLOOKUP(C4000, 'DICIONÁRIO CNAES'!$A:$B, 2, FALSE)</f>
        <v>Serviços auxiliares à educação</v>
      </c>
      <c r="E4000" s="4">
        <v>858.34663733000002</v>
      </c>
      <c r="F4000" s="4">
        <v>1630858.6109269999</v>
      </c>
    </row>
    <row r="4001" spans="1:6" x14ac:dyDescent="0.3">
      <c r="A4001" s="3" t="s">
        <v>26</v>
      </c>
      <c r="B4001" s="7" t="str">
        <f>VLOOKUP(VALUE(A4001), 'DICIONÁRIO UF'!$A:$B, 2, FALSE)</f>
        <v>Rio Grande do Sul</v>
      </c>
      <c r="C4001" s="3">
        <v>85029</v>
      </c>
      <c r="D4001" s="5" t="str">
        <f>VLOOKUP(C4001, 'DICIONÁRIO CNAES'!$A:$B, 2, FALSE)</f>
        <v>Outras atividades de ensino</v>
      </c>
      <c r="E4001" s="4">
        <v>45945.214003200002</v>
      </c>
      <c r="F4001" s="4">
        <v>127651724.9455989</v>
      </c>
    </row>
    <row r="4002" spans="1:6" x14ac:dyDescent="0.3">
      <c r="A4002" s="3" t="s">
        <v>26</v>
      </c>
      <c r="B4002" s="7" t="str">
        <f>VLOOKUP(VALUE(A4002), 'DICIONÁRIO UF'!$A:$B, 2, FALSE)</f>
        <v>Rio Grande do Sul</v>
      </c>
      <c r="C4002" s="3">
        <v>86001</v>
      </c>
      <c r="D4002" s="5" t="str">
        <f>VLOOKUP(C4002, 'DICIONÁRIO CNAES'!$A:$B, 2, FALSE)</f>
        <v>Atividades de atendimento hospitalar</v>
      </c>
      <c r="E4002" s="4">
        <v>138587.12644286</v>
      </c>
      <c r="F4002" s="4">
        <v>534273503.75663978</v>
      </c>
    </row>
    <row r="4003" spans="1:6" x14ac:dyDescent="0.3">
      <c r="A4003" s="3" t="s">
        <v>26</v>
      </c>
      <c r="B4003" s="7" t="str">
        <f>VLOOKUP(VALUE(A4003), 'DICIONÁRIO UF'!$A:$B, 2, FALSE)</f>
        <v>Rio Grande do Sul</v>
      </c>
      <c r="C4003" s="3">
        <v>86002</v>
      </c>
      <c r="D4003" s="5" t="str">
        <f>VLOOKUP(C4003, 'DICIONÁRIO CNAES'!$A:$B, 2, FALSE)</f>
        <v>Atividades de atenção ambulatorial executadas por médicos e odontólogos</v>
      </c>
      <c r="E4003" s="4">
        <v>89384.885235080001</v>
      </c>
      <c r="F4003" s="4">
        <v>459293598.42201859</v>
      </c>
    </row>
    <row r="4004" spans="1:6" x14ac:dyDescent="0.3">
      <c r="A4004" s="3" t="s">
        <v>26</v>
      </c>
      <c r="B4004" s="7" t="str">
        <f>VLOOKUP(VALUE(A4004), 'DICIONÁRIO UF'!$A:$B, 2, FALSE)</f>
        <v>Rio Grande do Sul</v>
      </c>
      <c r="C4004" s="3">
        <v>86003</v>
      </c>
      <c r="D4004" s="5" t="str">
        <f>VLOOKUP(C4004, 'DICIONÁRIO CNAES'!$A:$B, 2, FALSE)</f>
        <v>Atividades de serviços de complementação diagnóstica e terapêutica</v>
      </c>
      <c r="E4004" s="4">
        <v>9606.7228376900002</v>
      </c>
      <c r="F4004" s="4">
        <v>20889206.507626921</v>
      </c>
    </row>
    <row r="4005" spans="1:6" x14ac:dyDescent="0.3">
      <c r="A4005" s="3" t="s">
        <v>26</v>
      </c>
      <c r="B4005" s="7" t="str">
        <f>VLOOKUP(VALUE(A4005), 'DICIONÁRIO UF'!$A:$B, 2, FALSE)</f>
        <v>Rio Grande do Sul</v>
      </c>
      <c r="C4005" s="3">
        <v>86004</v>
      </c>
      <c r="D4005" s="5" t="str">
        <f>VLOOKUP(C4005, 'DICIONÁRIO CNAES'!$A:$B, 2, FALSE)</f>
        <v>Atividades de profissionais da área de saúde, exceto médicos e odontólogos</v>
      </c>
      <c r="E4005" s="4">
        <v>41072.319688609998</v>
      </c>
      <c r="F4005" s="4">
        <v>129590433.69275001</v>
      </c>
    </row>
    <row r="4006" spans="1:6" x14ac:dyDescent="0.3">
      <c r="A4006" s="3" t="s">
        <v>26</v>
      </c>
      <c r="B4006" s="7" t="str">
        <f>VLOOKUP(VALUE(A4006), 'DICIONÁRIO UF'!$A:$B, 2, FALSE)</f>
        <v>Rio Grande do Sul</v>
      </c>
      <c r="C4006" s="3">
        <v>86009</v>
      </c>
      <c r="D4006" s="5" t="str">
        <f>VLOOKUP(C4006, 'DICIONÁRIO CNAES'!$A:$B, 2, FALSE)</f>
        <v>Atividades de atenção à saúde humana não especificadas anteriormente</v>
      </c>
      <c r="E4006" s="4">
        <v>8880.3246899900005</v>
      </c>
      <c r="F4006" s="4">
        <v>23975976.677506398</v>
      </c>
    </row>
    <row r="4007" spans="1:6" x14ac:dyDescent="0.3">
      <c r="A4007" s="3" t="s">
        <v>26</v>
      </c>
      <c r="B4007" s="7" t="str">
        <f>VLOOKUP(VALUE(A4007), 'DICIONÁRIO UF'!$A:$B, 2, FALSE)</f>
        <v>Rio Grande do Sul</v>
      </c>
      <c r="C4007" s="3">
        <v>87000</v>
      </c>
      <c r="D4007" s="5" t="str">
        <f>VLOOKUP(C4007, 'DICIONÁRIO CNAES'!$A:$B, 2, FALSE)</f>
        <v>Atividades de assistência à saude humana integradas com assistencia social, inclusive prestadas em residencias</v>
      </c>
      <c r="E4007" s="4">
        <v>17420.804574319998</v>
      </c>
      <c r="F4007" s="4">
        <v>44105531.403609402</v>
      </c>
    </row>
    <row r="4008" spans="1:6" x14ac:dyDescent="0.3">
      <c r="A4008" s="3" t="s">
        <v>26</v>
      </c>
      <c r="B4008" s="7" t="str">
        <f>VLOOKUP(VALUE(A4008), 'DICIONÁRIO UF'!$A:$B, 2, FALSE)</f>
        <v>Rio Grande do Sul</v>
      </c>
      <c r="C4008" s="3">
        <v>88000</v>
      </c>
      <c r="D4008" s="5" t="str">
        <f>VLOOKUP(C4008, 'DICIONÁRIO CNAES'!$A:$B, 2, FALSE)</f>
        <v>Serviços de assistência social sem alojamento</v>
      </c>
      <c r="E4008" s="4">
        <v>5890.5548322699997</v>
      </c>
      <c r="F4008" s="4">
        <v>14925072.693563599</v>
      </c>
    </row>
    <row r="4009" spans="1:6" x14ac:dyDescent="0.3">
      <c r="A4009" s="3" t="s">
        <v>26</v>
      </c>
      <c r="B4009" s="7" t="str">
        <f>VLOOKUP(VALUE(A4009), 'DICIONÁRIO UF'!$A:$B, 2, FALSE)</f>
        <v>Rio Grande do Sul</v>
      </c>
      <c r="C4009" s="3">
        <v>90000</v>
      </c>
      <c r="D4009" s="5" t="str">
        <f>VLOOKUP(C4009, 'DICIONÁRIO CNAES'!$A:$B, 2, FALSE)</f>
        <v>Atividades artísticas, criativas e de espetáculos</v>
      </c>
      <c r="E4009" s="4">
        <v>12674.666249579999</v>
      </c>
      <c r="F4009" s="4">
        <v>26858602.787771501</v>
      </c>
    </row>
    <row r="4010" spans="1:6" x14ac:dyDescent="0.3">
      <c r="A4010" s="3" t="s">
        <v>26</v>
      </c>
      <c r="B4010" s="7" t="str">
        <f>VLOOKUP(VALUE(A4010), 'DICIONÁRIO UF'!$A:$B, 2, FALSE)</f>
        <v>Rio Grande do Sul</v>
      </c>
      <c r="C4010" s="3">
        <v>91000</v>
      </c>
      <c r="D4010" s="5" t="str">
        <f>VLOOKUP(C4010, 'DICIONÁRIO CNAES'!$A:$B, 2, FALSE)</f>
        <v>Atividades ligadas ao patrimônio cultural e ambiental</v>
      </c>
      <c r="E4010" s="4">
        <v>1098.9340473699999</v>
      </c>
      <c r="F4010" s="4">
        <v>3347220.1911300002</v>
      </c>
    </row>
    <row r="4011" spans="1:6" x14ac:dyDescent="0.3">
      <c r="A4011" s="3" t="s">
        <v>26</v>
      </c>
      <c r="B4011" s="7" t="str">
        <f>VLOOKUP(VALUE(A4011), 'DICIONÁRIO UF'!$A:$B, 2, FALSE)</f>
        <v>Rio Grande do Sul</v>
      </c>
      <c r="C4011" s="3">
        <v>93011</v>
      </c>
      <c r="D4011" s="5" t="str">
        <f>VLOOKUP(C4011, 'DICIONÁRIO CNAES'!$A:$B, 2, FALSE)</f>
        <v>Atividades esportivas</v>
      </c>
      <c r="E4011" s="4">
        <v>10611.435707500001</v>
      </c>
      <c r="F4011" s="4">
        <v>50968918.945025086</v>
      </c>
    </row>
    <row r="4012" spans="1:6" x14ac:dyDescent="0.3">
      <c r="A4012" s="3" t="s">
        <v>26</v>
      </c>
      <c r="B4012" s="7" t="str">
        <f>VLOOKUP(VALUE(A4012), 'DICIONÁRIO UF'!$A:$B, 2, FALSE)</f>
        <v>Rio Grande do Sul</v>
      </c>
      <c r="C4012" s="3">
        <v>93012</v>
      </c>
      <c r="D4012" s="5" t="str">
        <f>VLOOKUP(C4012, 'DICIONÁRIO CNAES'!$A:$B, 2, FALSE)</f>
        <v>Atividades de condicionamento físico</v>
      </c>
      <c r="E4012" s="4">
        <v>21983.49301328</v>
      </c>
      <c r="F4012" s="4">
        <v>70346105.680705994</v>
      </c>
    </row>
    <row r="4013" spans="1:6" x14ac:dyDescent="0.3">
      <c r="A4013" s="3" t="s">
        <v>26</v>
      </c>
      <c r="B4013" s="7" t="str">
        <f>VLOOKUP(VALUE(A4013), 'DICIONÁRIO UF'!$A:$B, 2, FALSE)</f>
        <v>Rio Grande do Sul</v>
      </c>
      <c r="C4013" s="3">
        <v>93020</v>
      </c>
      <c r="D4013" s="5" t="str">
        <f>VLOOKUP(C4013, 'DICIONÁRIO CNAES'!$A:$B, 2, FALSE)</f>
        <v>Atividades de recreação e lazer</v>
      </c>
      <c r="E4013" s="4">
        <v>2900.8798301699999</v>
      </c>
      <c r="F4013" s="4">
        <v>4255362.096221</v>
      </c>
    </row>
    <row r="4014" spans="1:6" x14ac:dyDescent="0.3">
      <c r="A4014" s="3" t="s">
        <v>26</v>
      </c>
      <c r="B4014" s="7" t="str">
        <f>VLOOKUP(VALUE(A4014), 'DICIONÁRIO UF'!$A:$B, 2, FALSE)</f>
        <v>Rio Grande do Sul</v>
      </c>
      <c r="C4014" s="3">
        <v>94010</v>
      </c>
      <c r="D4014" s="5" t="str">
        <f>VLOOKUP(C4014, 'DICIONÁRIO CNAES'!$A:$B, 2, FALSE)</f>
        <v>Atividades de organizações associativas patronais, empresariais e profissionais</v>
      </c>
      <c r="E4014" s="4">
        <v>5368.1736421699998</v>
      </c>
      <c r="F4014" s="4">
        <v>17351562.298726499</v>
      </c>
    </row>
    <row r="4015" spans="1:6" x14ac:dyDescent="0.3">
      <c r="A4015" s="3" t="s">
        <v>26</v>
      </c>
      <c r="B4015" s="7" t="str">
        <f>VLOOKUP(VALUE(A4015), 'DICIONÁRIO UF'!$A:$B, 2, FALSE)</f>
        <v>Rio Grande do Sul</v>
      </c>
      <c r="C4015" s="3">
        <v>94020</v>
      </c>
      <c r="D4015" s="5" t="str">
        <f>VLOOKUP(C4015, 'DICIONÁRIO CNAES'!$A:$B, 2, FALSE)</f>
        <v>Atividades de organizações sindicais</v>
      </c>
      <c r="E4015" s="4">
        <v>2200.93769703</v>
      </c>
      <c r="F4015" s="4">
        <v>4083783.7898650002</v>
      </c>
    </row>
    <row r="4016" spans="1:6" x14ac:dyDescent="0.3">
      <c r="A4016" s="3" t="s">
        <v>26</v>
      </c>
      <c r="B4016" s="7" t="str">
        <f>VLOOKUP(VALUE(A4016), 'DICIONÁRIO UF'!$A:$B, 2, FALSE)</f>
        <v>Rio Grande do Sul</v>
      </c>
      <c r="C4016" s="3">
        <v>94091</v>
      </c>
      <c r="D4016" s="5" t="str">
        <f>VLOOKUP(C4016, 'DICIONÁRIO CNAES'!$A:$B, 2, FALSE)</f>
        <v>Atividades de organizações religiosas e filosóficas</v>
      </c>
      <c r="E4016" s="4">
        <v>12670.468583829999</v>
      </c>
      <c r="F4016" s="4">
        <v>27814717.893427599</v>
      </c>
    </row>
    <row r="4017" spans="1:6" x14ac:dyDescent="0.3">
      <c r="A4017" s="3" t="s">
        <v>26</v>
      </c>
      <c r="B4017" s="7" t="str">
        <f>VLOOKUP(VALUE(A4017), 'DICIONÁRIO UF'!$A:$B, 2, FALSE)</f>
        <v>Rio Grande do Sul</v>
      </c>
      <c r="C4017" s="3">
        <v>94099</v>
      </c>
      <c r="D4017" s="5" t="str">
        <f>VLOOKUP(C4017, 'DICIONÁRIO CNAES'!$A:$B, 2, FALSE)</f>
        <v xml:space="preserve">Outras atividades associativas não especificadas anteriormente </v>
      </c>
      <c r="E4017" s="4">
        <v>4351.0662307299999</v>
      </c>
      <c r="F4017" s="4">
        <v>9830946.2490696013</v>
      </c>
    </row>
    <row r="4018" spans="1:6" x14ac:dyDescent="0.3">
      <c r="A4018" s="3" t="s">
        <v>26</v>
      </c>
      <c r="B4018" s="7" t="str">
        <f>VLOOKUP(VALUE(A4018), 'DICIONÁRIO UF'!$A:$B, 2, FALSE)</f>
        <v>Rio Grande do Sul</v>
      </c>
      <c r="C4018" s="3">
        <v>95010</v>
      </c>
      <c r="D4018" s="5" t="str">
        <f>VLOOKUP(C4018, 'DICIONÁRIO CNAES'!$A:$B, 2, FALSE)</f>
        <v>Reparação e manutenção de equipamentos de informática e comunicação</v>
      </c>
      <c r="E4018" s="4">
        <v>14008.94578511</v>
      </c>
      <c r="F4018" s="4">
        <v>29652074.198941</v>
      </c>
    </row>
    <row r="4019" spans="1:6" x14ac:dyDescent="0.3">
      <c r="A4019" s="3" t="s">
        <v>26</v>
      </c>
      <c r="B4019" s="7" t="str">
        <f>VLOOKUP(VALUE(A4019), 'DICIONÁRIO UF'!$A:$B, 2, FALSE)</f>
        <v>Rio Grande do Sul</v>
      </c>
      <c r="C4019" s="3">
        <v>95030</v>
      </c>
      <c r="D4019" s="5" t="str">
        <f>VLOOKUP(C4019, 'DICIONÁRIO CNAES'!$A:$B, 2, FALSE)</f>
        <v>Reparação e manutenção de objetos e equipamentos pessoais e domésticos</v>
      </c>
      <c r="E4019" s="4">
        <v>35306.432527730001</v>
      </c>
      <c r="F4019" s="4">
        <v>87091089.468805298</v>
      </c>
    </row>
    <row r="4020" spans="1:6" x14ac:dyDescent="0.3">
      <c r="A4020" s="3" t="s">
        <v>26</v>
      </c>
      <c r="B4020" s="7" t="str">
        <f>VLOOKUP(VALUE(A4020), 'DICIONÁRIO UF'!$A:$B, 2, FALSE)</f>
        <v>Rio Grande do Sul</v>
      </c>
      <c r="C4020" s="3">
        <v>96010</v>
      </c>
      <c r="D4020" s="5" t="str">
        <f>VLOOKUP(C4020, 'DICIONÁRIO CNAES'!$A:$B, 2, FALSE)</f>
        <v>Lavanderias, tinturarias e toalheiros</v>
      </c>
      <c r="E4020" s="4">
        <v>9894.8435837699999</v>
      </c>
      <c r="F4020" s="4">
        <v>29538388.808986001</v>
      </c>
    </row>
    <row r="4021" spans="1:6" x14ac:dyDescent="0.3">
      <c r="A4021" s="3" t="s">
        <v>26</v>
      </c>
      <c r="B4021" s="7" t="str">
        <f>VLOOKUP(VALUE(A4021), 'DICIONÁRIO UF'!$A:$B, 2, FALSE)</f>
        <v>Rio Grande do Sul</v>
      </c>
      <c r="C4021" s="3">
        <v>96020</v>
      </c>
      <c r="D4021" s="5" t="str">
        <f>VLOOKUP(C4021, 'DICIONÁRIO CNAES'!$A:$B, 2, FALSE)</f>
        <v>Cabeleireiros e outras atividades de tratamento de beleza</v>
      </c>
      <c r="E4021" s="4">
        <v>110824.10256411</v>
      </c>
      <c r="F4021" s="4">
        <v>227308357.9966315</v>
      </c>
    </row>
    <row r="4022" spans="1:6" x14ac:dyDescent="0.3">
      <c r="A4022" s="3" t="s">
        <v>26</v>
      </c>
      <c r="B4022" s="7" t="str">
        <f>VLOOKUP(VALUE(A4022), 'DICIONÁRIO UF'!$A:$B, 2, FALSE)</f>
        <v>Rio Grande do Sul</v>
      </c>
      <c r="C4022" s="3">
        <v>96030</v>
      </c>
      <c r="D4022" s="5" t="str">
        <f>VLOOKUP(C4022, 'DICIONÁRIO CNAES'!$A:$B, 2, FALSE)</f>
        <v xml:space="preserve">Atividades funerárias e serviços relacionados </v>
      </c>
      <c r="E4022" s="4">
        <v>5597.6288258300001</v>
      </c>
      <c r="F4022" s="4">
        <v>13821203.056662999</v>
      </c>
    </row>
    <row r="4023" spans="1:6" x14ac:dyDescent="0.3">
      <c r="A4023" s="3" t="s">
        <v>26</v>
      </c>
      <c r="B4023" s="7" t="str">
        <f>VLOOKUP(VALUE(A4023), 'DICIONÁRIO UF'!$A:$B, 2, FALSE)</f>
        <v>Rio Grande do Sul</v>
      </c>
      <c r="C4023" s="3">
        <v>96090</v>
      </c>
      <c r="D4023" s="5" t="str">
        <f>VLOOKUP(C4023, 'DICIONÁRIO CNAES'!$A:$B, 2, FALSE)</f>
        <v>Outras atividades de serviços pessoais</v>
      </c>
      <c r="E4023" s="4">
        <v>18349.914819410002</v>
      </c>
      <c r="F4023" s="4">
        <v>48658560.132910997</v>
      </c>
    </row>
    <row r="4024" spans="1:6" x14ac:dyDescent="0.3">
      <c r="A4024" s="3" t="s">
        <v>26</v>
      </c>
      <c r="B4024" s="7" t="str">
        <f>VLOOKUP(VALUE(A4024), 'DICIONÁRIO UF'!$A:$B, 2, FALSE)</f>
        <v>Rio Grande do Sul</v>
      </c>
      <c r="C4024" s="3">
        <v>97000</v>
      </c>
      <c r="D4024" s="5" t="str">
        <f>VLOOKUP(C4024, 'DICIONÁRIO CNAES'!$A:$B, 2, FALSE)</f>
        <v>Serviços domésticos</v>
      </c>
      <c r="E4024" s="4">
        <v>293599.09252702002</v>
      </c>
      <c r="F4024" s="4">
        <v>316868926.87466133</v>
      </c>
    </row>
    <row r="4025" spans="1:6" x14ac:dyDescent="0.3">
      <c r="A4025" s="3" t="s">
        <v>27</v>
      </c>
      <c r="B4025" s="7" t="str">
        <f>VLOOKUP(VALUE(A4025), 'DICIONÁRIO UF'!$A:$B, 2, FALSE)</f>
        <v>Mato Grosso do Sul</v>
      </c>
      <c r="C4025" s="3">
        <v>1102</v>
      </c>
      <c r="D4025" s="5" t="str">
        <f>VLOOKUP(C4025, 'DICIONÁRIO CNAES'!$A:$B, 2, FALSE)</f>
        <v>Cultivo de milho</v>
      </c>
      <c r="E4025" s="4">
        <v>4388.3369238900004</v>
      </c>
      <c r="F4025" s="4">
        <v>12415251.446857611</v>
      </c>
    </row>
    <row r="4026" spans="1:6" x14ac:dyDescent="0.3">
      <c r="A4026" s="3" t="s">
        <v>27</v>
      </c>
      <c r="B4026" s="7" t="str">
        <f>VLOOKUP(VALUE(A4026), 'DICIONÁRIO UF'!$A:$B, 2, FALSE)</f>
        <v>Mato Grosso do Sul</v>
      </c>
      <c r="C4026" s="3">
        <v>1104</v>
      </c>
      <c r="D4026" s="5" t="str">
        <f>VLOOKUP(C4026, 'DICIONÁRIO CNAES'!$A:$B, 2, FALSE)</f>
        <v>Cultivo de algodão</v>
      </c>
      <c r="E4026" s="4">
        <v>661.32873462999999</v>
      </c>
      <c r="F4026" s="4">
        <v>2536529.94239</v>
      </c>
    </row>
    <row r="4027" spans="1:6" x14ac:dyDescent="0.3">
      <c r="A4027" s="3" t="s">
        <v>27</v>
      </c>
      <c r="B4027" s="7" t="str">
        <f>VLOOKUP(VALUE(A4027), 'DICIONÁRIO UF'!$A:$B, 2, FALSE)</f>
        <v>Mato Grosso do Sul</v>
      </c>
      <c r="C4027" s="3">
        <v>1105</v>
      </c>
      <c r="D4027" s="5" t="str">
        <f>VLOOKUP(C4027, 'DICIONÁRIO CNAES'!$A:$B, 2, FALSE)</f>
        <v>Cultivo de cana-de-açúcar</v>
      </c>
      <c r="E4027" s="4">
        <v>20595.778120570001</v>
      </c>
      <c r="F4027" s="4">
        <v>45016338.062423304</v>
      </c>
    </row>
    <row r="4028" spans="1:6" x14ac:dyDescent="0.3">
      <c r="A4028" s="3" t="s">
        <v>27</v>
      </c>
      <c r="B4028" s="7" t="str">
        <f>VLOOKUP(VALUE(A4028), 'DICIONÁRIO UF'!$A:$B, 2, FALSE)</f>
        <v>Mato Grosso do Sul</v>
      </c>
      <c r="C4028" s="3">
        <v>1107</v>
      </c>
      <c r="D4028" s="5" t="str">
        <f>VLOOKUP(C4028, 'DICIONÁRIO CNAES'!$A:$B, 2, FALSE)</f>
        <v>Cultivo de soja</v>
      </c>
      <c r="E4028" s="4">
        <v>35052.227553689998</v>
      </c>
      <c r="F4028" s="4">
        <v>91713198.233098716</v>
      </c>
    </row>
    <row r="4029" spans="1:6" x14ac:dyDescent="0.3">
      <c r="A4029" s="3" t="s">
        <v>27</v>
      </c>
      <c r="B4029" s="7" t="str">
        <f>VLOOKUP(VALUE(A4029), 'DICIONÁRIO UF'!$A:$B, 2, FALSE)</f>
        <v>Mato Grosso do Sul</v>
      </c>
      <c r="C4029" s="3">
        <v>1108</v>
      </c>
      <c r="D4029" s="5" t="str">
        <f>VLOOKUP(C4029, 'DICIONÁRIO CNAES'!$A:$B, 2, FALSE)</f>
        <v>Cultivo de mandioca</v>
      </c>
      <c r="E4029" s="4">
        <v>4977.2158737700001</v>
      </c>
      <c r="F4029" s="4">
        <v>7756014.5976249985</v>
      </c>
    </row>
    <row r="4030" spans="1:6" x14ac:dyDescent="0.3">
      <c r="A4030" s="3" t="s">
        <v>27</v>
      </c>
      <c r="B4030" s="7" t="str">
        <f>VLOOKUP(VALUE(A4030), 'DICIONÁRIO UF'!$A:$B, 2, FALSE)</f>
        <v>Mato Grosso do Sul</v>
      </c>
      <c r="C4030" s="3">
        <v>1109</v>
      </c>
      <c r="D4030" s="5" t="str">
        <f>VLOOKUP(C4030, 'DICIONÁRIO CNAES'!$A:$B, 2, FALSE)</f>
        <v>Cultivo de outras lavouras temporárias não especificadas anteriormente</v>
      </c>
      <c r="E4030" s="4">
        <v>976.03473149000001</v>
      </c>
      <c r="F4030" s="4">
        <v>3696132.3629120002</v>
      </c>
    </row>
    <row r="4031" spans="1:6" x14ac:dyDescent="0.3">
      <c r="A4031" s="3" t="s">
        <v>27</v>
      </c>
      <c r="B4031" s="7" t="str">
        <f>VLOOKUP(VALUE(A4031), 'DICIONÁRIO UF'!$A:$B, 2, FALSE)</f>
        <v>Mato Grosso do Sul</v>
      </c>
      <c r="C4031" s="3">
        <v>1110</v>
      </c>
      <c r="D4031" s="5" t="str">
        <f>VLOOKUP(C4031, 'DICIONÁRIO CNAES'!$A:$B, 2, FALSE)</f>
        <v>Horticultura</v>
      </c>
      <c r="E4031" s="4">
        <v>2211.8865222700001</v>
      </c>
      <c r="F4031" s="4">
        <v>2699684.3665780001</v>
      </c>
    </row>
    <row r="4032" spans="1:6" x14ac:dyDescent="0.3">
      <c r="A4032" s="3" t="s">
        <v>27</v>
      </c>
      <c r="B4032" s="7" t="str">
        <f>VLOOKUP(VALUE(A4032), 'DICIONÁRIO UF'!$A:$B, 2, FALSE)</f>
        <v>Mato Grosso do Sul</v>
      </c>
      <c r="C4032" s="3">
        <v>1111</v>
      </c>
      <c r="D4032" s="5" t="str">
        <f>VLOOKUP(C4032, 'DICIONÁRIO CNAES'!$A:$B, 2, FALSE)</f>
        <v>Cultivo de flores e plantas ornamentais</v>
      </c>
      <c r="E4032" s="4">
        <v>198.20591203000001</v>
      </c>
      <c r="F4032" s="4">
        <v>158564.729624</v>
      </c>
    </row>
    <row r="4033" spans="1:6" x14ac:dyDescent="0.3">
      <c r="A4033" s="3" t="s">
        <v>27</v>
      </c>
      <c r="B4033" s="7" t="str">
        <f>VLOOKUP(VALUE(A4033), 'DICIONÁRIO UF'!$A:$B, 2, FALSE)</f>
        <v>Mato Grosso do Sul</v>
      </c>
      <c r="C4033" s="3">
        <v>1112</v>
      </c>
      <c r="D4033" s="5" t="str">
        <f>VLOOKUP(C4033, 'DICIONÁRIO CNAES'!$A:$B, 2, FALSE)</f>
        <v>Cultivo de frutas cítricas</v>
      </c>
      <c r="E4033" s="4">
        <v>859.68031961999998</v>
      </c>
      <c r="F4033" s="4">
        <v>831345.42438400001</v>
      </c>
    </row>
    <row r="4034" spans="1:6" x14ac:dyDescent="0.3">
      <c r="A4034" s="3" t="s">
        <v>27</v>
      </c>
      <c r="B4034" s="7" t="str">
        <f>VLOOKUP(VALUE(A4034), 'DICIONÁRIO UF'!$A:$B, 2, FALSE)</f>
        <v>Mato Grosso do Sul</v>
      </c>
      <c r="C4034" s="3">
        <v>1116</v>
      </c>
      <c r="D4034" s="5" t="str">
        <f>VLOOKUP(C4034, 'DICIONÁRIO CNAES'!$A:$B, 2, FALSE)</f>
        <v>Cultivo de banana</v>
      </c>
      <c r="E4034" s="4">
        <v>74.530839150000006</v>
      </c>
      <c r="F4034" s="4">
        <v>37265.419575</v>
      </c>
    </row>
    <row r="4035" spans="1:6" x14ac:dyDescent="0.3">
      <c r="A4035" s="3" t="s">
        <v>27</v>
      </c>
      <c r="B4035" s="7" t="str">
        <f>VLOOKUP(VALUE(A4035), 'DICIONÁRIO UF'!$A:$B, 2, FALSE)</f>
        <v>Mato Grosso do Sul</v>
      </c>
      <c r="C4035" s="3">
        <v>1117</v>
      </c>
      <c r="D4035" s="5" t="str">
        <f>VLOOKUP(C4035, 'DICIONÁRIO CNAES'!$A:$B, 2, FALSE)</f>
        <v>Cultivo de outras plantas e frutas de lavoura permanente não especificadas anteriormente</v>
      </c>
      <c r="E4035" s="4">
        <v>328.92020251999998</v>
      </c>
      <c r="F4035" s="4">
        <v>716557.23832500004</v>
      </c>
    </row>
    <row r="4036" spans="1:6" x14ac:dyDescent="0.3">
      <c r="A4036" s="3" t="s">
        <v>27</v>
      </c>
      <c r="B4036" s="7" t="str">
        <f>VLOOKUP(VALUE(A4036), 'DICIONÁRIO UF'!$A:$B, 2, FALSE)</f>
        <v>Mato Grosso do Sul</v>
      </c>
      <c r="C4036" s="3">
        <v>1119</v>
      </c>
      <c r="D4036" s="5" t="str">
        <f>VLOOKUP(C4036, 'DICIONÁRIO CNAES'!$A:$B, 2, FALSE)</f>
        <v>Lavoura não especificada</v>
      </c>
      <c r="E4036" s="4">
        <v>554.16555600000004</v>
      </c>
      <c r="F4036" s="4">
        <v>968061.03651500004</v>
      </c>
    </row>
    <row r="4037" spans="1:6" x14ac:dyDescent="0.3">
      <c r="A4037" s="3" t="s">
        <v>27</v>
      </c>
      <c r="B4037" s="7" t="str">
        <f>VLOOKUP(VALUE(A4037), 'DICIONÁRIO UF'!$A:$B, 2, FALSE)</f>
        <v>Mato Grosso do Sul</v>
      </c>
      <c r="C4037" s="3">
        <v>1201</v>
      </c>
      <c r="D4037" s="5" t="str">
        <f>VLOOKUP(C4037, 'DICIONÁRIO CNAES'!$A:$B, 2, FALSE)</f>
        <v>Criação de bovinos</v>
      </c>
      <c r="E4037" s="4">
        <v>69150.520673239997</v>
      </c>
      <c r="F4037" s="4">
        <v>192487654.7195836</v>
      </c>
    </row>
    <row r="4038" spans="1:6" x14ac:dyDescent="0.3">
      <c r="A4038" s="3" t="s">
        <v>27</v>
      </c>
      <c r="B4038" s="7" t="str">
        <f>VLOOKUP(VALUE(A4038), 'DICIONÁRIO UF'!$A:$B, 2, FALSE)</f>
        <v>Mato Grosso do Sul</v>
      </c>
      <c r="C4038" s="3">
        <v>1202</v>
      </c>
      <c r="D4038" s="5" t="str">
        <f>VLOOKUP(C4038, 'DICIONÁRIO CNAES'!$A:$B, 2, FALSE)</f>
        <v>Criação de outros animais de grande porte não especificados anteriormente</v>
      </c>
      <c r="E4038" s="4">
        <v>1107.5751383700001</v>
      </c>
      <c r="F4038" s="4">
        <v>981858.83688299998</v>
      </c>
    </row>
    <row r="4039" spans="1:6" x14ac:dyDescent="0.3">
      <c r="A4039" s="3" t="s">
        <v>27</v>
      </c>
      <c r="B4039" s="7" t="str">
        <f>VLOOKUP(VALUE(A4039), 'DICIONÁRIO UF'!$A:$B, 2, FALSE)</f>
        <v>Mato Grosso do Sul</v>
      </c>
      <c r="C4039" s="3">
        <v>1203</v>
      </c>
      <c r="D4039" s="5" t="str">
        <f>VLOOKUP(C4039, 'DICIONÁRIO CNAES'!$A:$B, 2, FALSE)</f>
        <v>Criação de caprinos e ovinos</v>
      </c>
      <c r="E4039" s="4">
        <v>234.66211378</v>
      </c>
      <c r="F4039" s="4">
        <v>938648.45511999994</v>
      </c>
    </row>
    <row r="4040" spans="1:6" x14ac:dyDescent="0.3">
      <c r="A4040" s="3" t="s">
        <v>27</v>
      </c>
      <c r="B4040" s="7" t="str">
        <f>VLOOKUP(VALUE(A4040), 'DICIONÁRIO UF'!$A:$B, 2, FALSE)</f>
        <v>Mato Grosso do Sul</v>
      </c>
      <c r="C4040" s="3">
        <v>1204</v>
      </c>
      <c r="D4040" s="5" t="str">
        <f>VLOOKUP(C4040, 'DICIONÁRIO CNAES'!$A:$B, 2, FALSE)</f>
        <v>Criação de suínos</v>
      </c>
      <c r="E4040" s="4">
        <v>974.13097155000003</v>
      </c>
      <c r="F4040" s="4">
        <v>1671221.54908</v>
      </c>
    </row>
    <row r="4041" spans="1:6" x14ac:dyDescent="0.3">
      <c r="A4041" s="3" t="s">
        <v>27</v>
      </c>
      <c r="B4041" s="7" t="str">
        <f>VLOOKUP(VALUE(A4041), 'DICIONÁRIO UF'!$A:$B, 2, FALSE)</f>
        <v>Mato Grosso do Sul</v>
      </c>
      <c r="C4041" s="3">
        <v>1205</v>
      </c>
      <c r="D4041" s="5" t="str">
        <f>VLOOKUP(C4041, 'DICIONÁRIO CNAES'!$A:$B, 2, FALSE)</f>
        <v>Criação de aves</v>
      </c>
      <c r="E4041" s="4">
        <v>3637.0712472199998</v>
      </c>
      <c r="F4041" s="4">
        <v>5456050.5265127001</v>
      </c>
    </row>
    <row r="4042" spans="1:6" x14ac:dyDescent="0.3">
      <c r="A4042" s="3" t="s">
        <v>27</v>
      </c>
      <c r="B4042" s="7" t="str">
        <f>VLOOKUP(VALUE(A4042), 'DICIONÁRIO UF'!$A:$B, 2, FALSE)</f>
        <v>Mato Grosso do Sul</v>
      </c>
      <c r="C4042" s="3">
        <v>1206</v>
      </c>
      <c r="D4042" s="5" t="str">
        <f>VLOOKUP(C4042, 'DICIONÁRIO CNAES'!$A:$B, 2, FALSE)</f>
        <v>Apicultura</v>
      </c>
      <c r="E4042" s="4">
        <v>891.71260905999998</v>
      </c>
      <c r="F4042" s="4">
        <v>1302758.4072489999</v>
      </c>
    </row>
    <row r="4043" spans="1:6" x14ac:dyDescent="0.3">
      <c r="A4043" s="3" t="s">
        <v>27</v>
      </c>
      <c r="B4043" s="7" t="str">
        <f>VLOOKUP(VALUE(A4043), 'DICIONÁRIO UF'!$A:$B, 2, FALSE)</f>
        <v>Mato Grosso do Sul</v>
      </c>
      <c r="C4043" s="3">
        <v>1401</v>
      </c>
      <c r="D4043" s="5" t="str">
        <f>VLOOKUP(C4043, 'DICIONÁRIO CNAES'!$A:$B, 2, FALSE)</f>
        <v>Atividades de apoio à agricultura e pós-colheita</v>
      </c>
      <c r="E4043" s="4">
        <v>5755.3777981800004</v>
      </c>
      <c r="F4043" s="4">
        <v>13902968.94164332</v>
      </c>
    </row>
    <row r="4044" spans="1:6" x14ac:dyDescent="0.3">
      <c r="A4044" s="3" t="s">
        <v>27</v>
      </c>
      <c r="B4044" s="7" t="str">
        <f>VLOOKUP(VALUE(A4044), 'DICIONÁRIO UF'!$A:$B, 2, FALSE)</f>
        <v>Mato Grosso do Sul</v>
      </c>
      <c r="C4044" s="3">
        <v>1402</v>
      </c>
      <c r="D4044" s="5" t="str">
        <f>VLOOKUP(C4044, 'DICIONÁRIO CNAES'!$A:$B, 2, FALSE)</f>
        <v xml:space="preserve">Atividades de apoio à pecuária </v>
      </c>
      <c r="E4044" s="4">
        <v>2762.4256068999998</v>
      </c>
      <c r="F4044" s="4">
        <v>4981652.8095490001</v>
      </c>
    </row>
    <row r="4045" spans="1:6" x14ac:dyDescent="0.3">
      <c r="A4045" s="3" t="s">
        <v>27</v>
      </c>
      <c r="B4045" s="7" t="str">
        <f>VLOOKUP(VALUE(A4045), 'DICIONÁRIO UF'!$A:$B, 2, FALSE)</f>
        <v>Mato Grosso do Sul</v>
      </c>
      <c r="C4045" s="3">
        <v>2000</v>
      </c>
      <c r="D4045" s="5" t="str">
        <f>VLOOKUP(C4045, 'DICIONÁRIO CNAES'!$A:$B, 2, FALSE)</f>
        <v xml:space="preserve">Produção florestal </v>
      </c>
      <c r="E4045" s="4">
        <v>13091.42851199</v>
      </c>
      <c r="F4045" s="4">
        <v>31091900.61027785</v>
      </c>
    </row>
    <row r="4046" spans="1:6" x14ac:dyDescent="0.3">
      <c r="A4046" s="3" t="s">
        <v>27</v>
      </c>
      <c r="B4046" s="7" t="str">
        <f>VLOOKUP(VALUE(A4046), 'DICIONÁRIO UF'!$A:$B, 2, FALSE)</f>
        <v>Mato Grosso do Sul</v>
      </c>
      <c r="C4046" s="3">
        <v>3001</v>
      </c>
      <c r="D4046" s="5" t="str">
        <f>VLOOKUP(C4046, 'DICIONÁRIO CNAES'!$A:$B, 2, FALSE)</f>
        <v>Pesca</v>
      </c>
      <c r="E4046" s="4">
        <v>2007.2394771300001</v>
      </c>
      <c r="F4046" s="4">
        <v>3325102.4083329998</v>
      </c>
    </row>
    <row r="4047" spans="1:6" x14ac:dyDescent="0.3">
      <c r="A4047" s="3" t="s">
        <v>27</v>
      </c>
      <c r="B4047" s="7" t="str">
        <f>VLOOKUP(VALUE(A4047), 'DICIONÁRIO UF'!$A:$B, 2, FALSE)</f>
        <v>Mato Grosso do Sul</v>
      </c>
      <c r="C4047" s="3">
        <v>3002</v>
      </c>
      <c r="D4047" s="5" t="str">
        <f>VLOOKUP(C4047, 'DICIONÁRIO CNAES'!$A:$B, 2, FALSE)</f>
        <v>Aqüicultura</v>
      </c>
      <c r="E4047" s="4">
        <v>808.94257198000003</v>
      </c>
      <c r="F4047" s="4">
        <v>1438295.0310750001</v>
      </c>
    </row>
    <row r="4048" spans="1:6" x14ac:dyDescent="0.3">
      <c r="A4048" s="3" t="s">
        <v>27</v>
      </c>
      <c r="B4048" s="7" t="str">
        <f>VLOOKUP(VALUE(A4048), 'DICIONÁRIO UF'!$A:$B, 2, FALSE)</f>
        <v>Mato Grosso do Sul</v>
      </c>
      <c r="C4048" s="3">
        <v>5000</v>
      </c>
      <c r="D4048" s="5" t="str">
        <f>VLOOKUP(C4048, 'DICIONÁRIO CNAES'!$A:$B, 2, FALSE)</f>
        <v>Extração de carvão mineral</v>
      </c>
      <c r="E4048" s="4">
        <v>493.62657630000001</v>
      </c>
      <c r="F4048" s="4">
        <v>1083050.3537099999</v>
      </c>
    </row>
    <row r="4049" spans="1:6" x14ac:dyDescent="0.3">
      <c r="A4049" s="3" t="s">
        <v>27</v>
      </c>
      <c r="B4049" s="7" t="str">
        <f>VLOOKUP(VALUE(A4049), 'DICIONÁRIO UF'!$A:$B, 2, FALSE)</f>
        <v>Mato Grosso do Sul</v>
      </c>
      <c r="C4049" s="3">
        <v>6000</v>
      </c>
      <c r="D4049" s="5" t="str">
        <f>VLOOKUP(C4049, 'DICIONÁRIO CNAES'!$A:$B, 2, FALSE)</f>
        <v xml:space="preserve">Extração de petróleo e gás natural </v>
      </c>
      <c r="E4049" s="4">
        <v>296.63117076999998</v>
      </c>
      <c r="F4049" s="4">
        <v>652588.575694</v>
      </c>
    </row>
    <row r="4050" spans="1:6" x14ac:dyDescent="0.3">
      <c r="A4050" s="3" t="s">
        <v>27</v>
      </c>
      <c r="B4050" s="7" t="str">
        <f>VLOOKUP(VALUE(A4050), 'DICIONÁRIO UF'!$A:$B, 2, FALSE)</f>
        <v>Mato Grosso do Sul</v>
      </c>
      <c r="C4050" s="3">
        <v>7002</v>
      </c>
      <c r="D4050" s="5" t="str">
        <f>VLOOKUP(C4050, 'DICIONÁRIO CNAES'!$A:$B, 2, FALSE)</f>
        <v xml:space="preserve">Extração de minerais metálicos não especificados anteriormente </v>
      </c>
      <c r="E4050" s="4">
        <v>1691.2156145500001</v>
      </c>
      <c r="F4050" s="4">
        <v>3185722.6072</v>
      </c>
    </row>
    <row r="4051" spans="1:6" x14ac:dyDescent="0.3">
      <c r="A4051" s="3" t="s">
        <v>27</v>
      </c>
      <c r="B4051" s="7" t="str">
        <f>VLOOKUP(VALUE(A4051), 'DICIONÁRIO UF'!$A:$B, 2, FALSE)</f>
        <v>Mato Grosso do Sul</v>
      </c>
      <c r="C4051" s="3">
        <v>8001</v>
      </c>
      <c r="D4051" s="5" t="str">
        <f>VLOOKUP(C4051, 'DICIONÁRIO CNAES'!$A:$B, 2, FALSE)</f>
        <v>Extração de pedras, areia e argila</v>
      </c>
      <c r="E4051" s="4">
        <v>1871.88415833</v>
      </c>
      <c r="F4051" s="4">
        <v>5138054.8808604004</v>
      </c>
    </row>
    <row r="4052" spans="1:6" x14ac:dyDescent="0.3">
      <c r="A4052" s="3" t="s">
        <v>27</v>
      </c>
      <c r="B4052" s="7" t="str">
        <f>VLOOKUP(VALUE(A4052), 'DICIONÁRIO UF'!$A:$B, 2, FALSE)</f>
        <v>Mato Grosso do Sul</v>
      </c>
      <c r="C4052" s="3">
        <v>10010</v>
      </c>
      <c r="D4052" s="5" t="str">
        <f>VLOOKUP(C4052, 'DICIONÁRIO CNAES'!$A:$B, 2, FALSE)</f>
        <v xml:space="preserve">Abate e fabricação de produtos de carne e pescado </v>
      </c>
      <c r="E4052" s="4">
        <v>36399.556482350003</v>
      </c>
      <c r="F4052" s="4">
        <v>87746375.539865345</v>
      </c>
    </row>
    <row r="4053" spans="1:6" x14ac:dyDescent="0.3">
      <c r="A4053" s="3" t="s">
        <v>27</v>
      </c>
      <c r="B4053" s="7" t="str">
        <f>VLOOKUP(VALUE(A4053), 'DICIONÁRIO UF'!$A:$B, 2, FALSE)</f>
        <v>Mato Grosso do Sul</v>
      </c>
      <c r="C4053" s="3">
        <v>10021</v>
      </c>
      <c r="D4053" s="5" t="str">
        <f>VLOOKUP(C4053, 'DICIONÁRIO CNAES'!$A:$B, 2, FALSE)</f>
        <v>Fabricação de conservas de frutas, legumes e outros vegetais</v>
      </c>
      <c r="E4053" s="4">
        <v>298.54833745000002</v>
      </c>
      <c r="F4053" s="4">
        <v>447822.50617499999</v>
      </c>
    </row>
    <row r="4054" spans="1:6" x14ac:dyDescent="0.3">
      <c r="A4054" s="3" t="s">
        <v>27</v>
      </c>
      <c r="B4054" s="7" t="str">
        <f>VLOOKUP(VALUE(A4054), 'DICIONÁRIO UF'!$A:$B, 2, FALSE)</f>
        <v>Mato Grosso do Sul</v>
      </c>
      <c r="C4054" s="3">
        <v>10022</v>
      </c>
      <c r="D4054" s="5" t="str">
        <f>VLOOKUP(C4054, 'DICIONÁRIO CNAES'!$A:$B, 2, FALSE)</f>
        <v>Fabricação de óleos vegetais e gorduras vegetais e animais</v>
      </c>
      <c r="E4054" s="4">
        <v>524.66559553000002</v>
      </c>
      <c r="F4054" s="4">
        <v>1044758.759682</v>
      </c>
    </row>
    <row r="4055" spans="1:6" x14ac:dyDescent="0.3">
      <c r="A4055" s="3" t="s">
        <v>27</v>
      </c>
      <c r="B4055" s="7" t="str">
        <f>VLOOKUP(VALUE(A4055), 'DICIONÁRIO UF'!$A:$B, 2, FALSE)</f>
        <v>Mato Grosso do Sul</v>
      </c>
      <c r="C4055" s="3">
        <v>10030</v>
      </c>
      <c r="D4055" s="5" t="str">
        <f>VLOOKUP(C4055, 'DICIONÁRIO CNAES'!$A:$B, 2, FALSE)</f>
        <v>Laticínios</v>
      </c>
      <c r="E4055" s="4">
        <v>2922.3667288000001</v>
      </c>
      <c r="F4055" s="4">
        <v>4141953.5117795002</v>
      </c>
    </row>
    <row r="4056" spans="1:6" x14ac:dyDescent="0.3">
      <c r="A4056" s="3" t="s">
        <v>27</v>
      </c>
      <c r="B4056" s="7" t="str">
        <f>VLOOKUP(VALUE(A4056), 'DICIONÁRIO UF'!$A:$B, 2, FALSE)</f>
        <v>Mato Grosso do Sul</v>
      </c>
      <c r="C4056" s="3">
        <v>10091</v>
      </c>
      <c r="D4056" s="5" t="str">
        <f>VLOOKUP(C4056, 'DICIONÁRIO CNAES'!$A:$B, 2, FALSE)</f>
        <v>Moagem, fabricação de produtos amiláceos e de alimentos para animais</v>
      </c>
      <c r="E4056" s="4">
        <v>2071.52152088</v>
      </c>
      <c r="F4056" s="4">
        <v>4340902.5352942804</v>
      </c>
    </row>
    <row r="4057" spans="1:6" x14ac:dyDescent="0.3">
      <c r="A4057" s="3" t="s">
        <v>27</v>
      </c>
      <c r="B4057" s="7" t="str">
        <f>VLOOKUP(VALUE(A4057), 'DICIONÁRIO UF'!$A:$B, 2, FALSE)</f>
        <v>Mato Grosso do Sul</v>
      </c>
      <c r="C4057" s="3">
        <v>10092</v>
      </c>
      <c r="D4057" s="5" t="str">
        <f>VLOOKUP(C4057, 'DICIONÁRIO CNAES'!$A:$B, 2, FALSE)</f>
        <v>Fabricação e refino do açúcar</v>
      </c>
      <c r="E4057" s="4">
        <v>3539.9756974699999</v>
      </c>
      <c r="F4057" s="4">
        <v>10641666.248436</v>
      </c>
    </row>
    <row r="4058" spans="1:6" x14ac:dyDescent="0.3">
      <c r="A4058" s="3" t="s">
        <v>27</v>
      </c>
      <c r="B4058" s="7" t="str">
        <f>VLOOKUP(VALUE(A4058), 'DICIONÁRIO UF'!$A:$B, 2, FALSE)</f>
        <v>Mato Grosso do Sul</v>
      </c>
      <c r="C4058" s="3">
        <v>10099</v>
      </c>
      <c r="D4058" s="5" t="str">
        <f>VLOOKUP(C4058, 'DICIONÁRIO CNAES'!$A:$B, 2, FALSE)</f>
        <v>Fabricação de outros produtos alimentícios</v>
      </c>
      <c r="E4058" s="4">
        <v>3119.0904261599999</v>
      </c>
      <c r="F4058" s="4">
        <v>4513978.1392749986</v>
      </c>
    </row>
    <row r="4059" spans="1:6" x14ac:dyDescent="0.3">
      <c r="A4059" s="3" t="s">
        <v>27</v>
      </c>
      <c r="B4059" s="7" t="str">
        <f>VLOOKUP(VALUE(A4059), 'DICIONÁRIO UF'!$A:$B, 2, FALSE)</f>
        <v>Mato Grosso do Sul</v>
      </c>
      <c r="C4059" s="3">
        <v>11000</v>
      </c>
      <c r="D4059" s="5" t="str">
        <f>VLOOKUP(C4059, 'DICIONÁRIO CNAES'!$A:$B, 2, FALSE)</f>
        <v>Fabricação de bebidas</v>
      </c>
      <c r="E4059" s="4">
        <v>1698.3132940999999</v>
      </c>
      <c r="F4059" s="4">
        <v>2414895.0167530002</v>
      </c>
    </row>
    <row r="4060" spans="1:6" x14ac:dyDescent="0.3">
      <c r="A4060" s="3" t="s">
        <v>27</v>
      </c>
      <c r="B4060" s="7" t="str">
        <f>VLOOKUP(VALUE(A4060), 'DICIONÁRIO UF'!$A:$B, 2, FALSE)</f>
        <v>Mato Grosso do Sul</v>
      </c>
      <c r="C4060" s="3">
        <v>13001</v>
      </c>
      <c r="D4060" s="5" t="str">
        <f>VLOOKUP(C4060, 'DICIONÁRIO CNAES'!$A:$B, 2, FALSE)</f>
        <v>Preparação de fibras, fiação e tecelagem</v>
      </c>
      <c r="E4060" s="4">
        <v>1823.3530487099999</v>
      </c>
      <c r="F4060" s="4">
        <v>3218972.3650369998</v>
      </c>
    </row>
    <row r="4061" spans="1:6" x14ac:dyDescent="0.3">
      <c r="A4061" s="3" t="s">
        <v>27</v>
      </c>
      <c r="B4061" s="7" t="str">
        <f>VLOOKUP(VALUE(A4061), 'DICIONÁRIO UF'!$A:$B, 2, FALSE)</f>
        <v>Mato Grosso do Sul</v>
      </c>
      <c r="C4061" s="3">
        <v>13002</v>
      </c>
      <c r="D4061" s="5" t="str">
        <f>VLOOKUP(C4061, 'DICIONÁRIO CNAES'!$A:$B, 2, FALSE)</f>
        <v>Fabricação de artefatos têxteis, exceto vestuário</v>
      </c>
      <c r="E4061" s="4">
        <v>8658.0955338900003</v>
      </c>
      <c r="F4061" s="4">
        <v>7342869.6196804997</v>
      </c>
    </row>
    <row r="4062" spans="1:6" x14ac:dyDescent="0.3">
      <c r="A4062" s="3" t="s">
        <v>27</v>
      </c>
      <c r="B4062" s="7" t="str">
        <f>VLOOKUP(VALUE(A4062), 'DICIONÁRIO UF'!$A:$B, 2, FALSE)</f>
        <v>Mato Grosso do Sul</v>
      </c>
      <c r="C4062" s="3">
        <v>14001</v>
      </c>
      <c r="D4062" s="5" t="str">
        <f>VLOOKUP(C4062, 'DICIONÁRIO CNAES'!$A:$B, 2, FALSE)</f>
        <v>Confecção de artigos do vestuário e acessórios, exceto sob medida</v>
      </c>
      <c r="E4062" s="4">
        <v>2709.15448354</v>
      </c>
      <c r="F4062" s="4">
        <v>3819680.0532300002</v>
      </c>
    </row>
    <row r="4063" spans="1:6" x14ac:dyDescent="0.3">
      <c r="A4063" s="3" t="s">
        <v>27</v>
      </c>
      <c r="B4063" s="7" t="str">
        <f>VLOOKUP(VALUE(A4063), 'DICIONÁRIO UF'!$A:$B, 2, FALSE)</f>
        <v>Mato Grosso do Sul</v>
      </c>
      <c r="C4063" s="3">
        <v>14002</v>
      </c>
      <c r="D4063" s="5" t="str">
        <f>VLOOKUP(C4063, 'DICIONÁRIO CNAES'!$A:$B, 2, FALSE)</f>
        <v>Confecção, sob medida, de artigos do vestuário</v>
      </c>
      <c r="E4063" s="4">
        <v>7492.6739574599997</v>
      </c>
      <c r="F4063" s="4">
        <v>7025917.4553854996</v>
      </c>
    </row>
    <row r="4064" spans="1:6" x14ac:dyDescent="0.3">
      <c r="A4064" s="3" t="s">
        <v>27</v>
      </c>
      <c r="B4064" s="7" t="str">
        <f>VLOOKUP(VALUE(A4064), 'DICIONÁRIO UF'!$A:$B, 2, FALSE)</f>
        <v>Mato Grosso do Sul</v>
      </c>
      <c r="C4064" s="3">
        <v>15011</v>
      </c>
      <c r="D4064" s="5" t="str">
        <f>VLOOKUP(C4064, 'DICIONÁRIO CNAES'!$A:$B, 2, FALSE)</f>
        <v>Curtimento e outras preparações de couro</v>
      </c>
      <c r="E4064" s="4">
        <v>288.09585946999999</v>
      </c>
      <c r="F4064" s="4">
        <v>691430.06272799999</v>
      </c>
    </row>
    <row r="4065" spans="1:6" x14ac:dyDescent="0.3">
      <c r="A4065" s="3" t="s">
        <v>27</v>
      </c>
      <c r="B4065" s="7" t="str">
        <f>VLOOKUP(VALUE(A4065), 'DICIONÁRIO UF'!$A:$B, 2, FALSE)</f>
        <v>Mato Grosso do Sul</v>
      </c>
      <c r="C4065" s="3">
        <v>15012</v>
      </c>
      <c r="D4065" s="5" t="str">
        <f>VLOOKUP(C4065, 'DICIONÁRIO CNAES'!$A:$B, 2, FALSE)</f>
        <v>Fabricação de artigos de viagem e de artefatos diversos de couro</v>
      </c>
      <c r="E4065" s="4">
        <v>254.59529911999999</v>
      </c>
      <c r="F4065" s="4">
        <v>509190.59824000002</v>
      </c>
    </row>
    <row r="4066" spans="1:6" x14ac:dyDescent="0.3">
      <c r="A4066" s="3" t="s">
        <v>27</v>
      </c>
      <c r="B4066" s="7" t="str">
        <f>VLOOKUP(VALUE(A4066), 'DICIONÁRIO UF'!$A:$B, 2, FALSE)</f>
        <v>Mato Grosso do Sul</v>
      </c>
      <c r="C4066" s="3">
        <v>15020</v>
      </c>
      <c r="D4066" s="5" t="str">
        <f>VLOOKUP(C4066, 'DICIONÁRIO CNAES'!$A:$B, 2, FALSE)</f>
        <v>Fabricação de calçados e partes para calçados, de qualquer material</v>
      </c>
      <c r="E4066" s="4">
        <v>465.79834820999997</v>
      </c>
      <c r="F4066" s="4">
        <v>569751.12028050004</v>
      </c>
    </row>
    <row r="4067" spans="1:6" x14ac:dyDescent="0.3">
      <c r="A4067" s="3" t="s">
        <v>27</v>
      </c>
      <c r="B4067" s="7" t="str">
        <f>VLOOKUP(VALUE(A4067), 'DICIONÁRIO UF'!$A:$B, 2, FALSE)</f>
        <v>Mato Grosso do Sul</v>
      </c>
      <c r="C4067" s="3">
        <v>16001</v>
      </c>
      <c r="D4067" s="5" t="str">
        <f>VLOOKUP(C4067, 'DICIONÁRIO CNAES'!$A:$B, 2, FALSE)</f>
        <v>Serrarias</v>
      </c>
      <c r="E4067" s="4">
        <v>294.66066116000002</v>
      </c>
      <c r="F4067" s="4">
        <v>0</v>
      </c>
    </row>
    <row r="4068" spans="1:6" x14ac:dyDescent="0.3">
      <c r="A4068" s="3" t="s">
        <v>27</v>
      </c>
      <c r="B4068" s="7" t="str">
        <f>VLOOKUP(VALUE(A4068), 'DICIONÁRIO UF'!$A:$B, 2, FALSE)</f>
        <v>Mato Grosso do Sul</v>
      </c>
      <c r="C4068" s="3">
        <v>16002</v>
      </c>
      <c r="D4068" s="5" t="str">
        <f>VLOOKUP(C4068, 'DICIONÁRIO CNAES'!$A:$B, 2, FALSE)</f>
        <v>Fabricação de produtos de madeira, cortiça e material trançado, exceto móveis</v>
      </c>
      <c r="E4068" s="4">
        <v>2527.4856108099998</v>
      </c>
      <c r="F4068" s="4">
        <v>5288220.8268929999</v>
      </c>
    </row>
    <row r="4069" spans="1:6" x14ac:dyDescent="0.3">
      <c r="A4069" s="3" t="s">
        <v>27</v>
      </c>
      <c r="B4069" s="7" t="str">
        <f>VLOOKUP(VALUE(A4069), 'DICIONÁRIO UF'!$A:$B, 2, FALSE)</f>
        <v>Mato Grosso do Sul</v>
      </c>
      <c r="C4069" s="3">
        <v>17001</v>
      </c>
      <c r="D4069" s="5" t="str">
        <f>VLOOKUP(C4069, 'DICIONÁRIO CNAES'!$A:$B, 2, FALSE)</f>
        <v>Fabricação de celulose, papel, cartolina e papel-cartão</v>
      </c>
      <c r="E4069" s="4">
        <v>2579.5156828899999</v>
      </c>
      <c r="F4069" s="4">
        <v>6258508.4044794999</v>
      </c>
    </row>
    <row r="4070" spans="1:6" x14ac:dyDescent="0.3">
      <c r="A4070" s="3" t="s">
        <v>27</v>
      </c>
      <c r="B4070" s="7" t="str">
        <f>VLOOKUP(VALUE(A4070), 'DICIONÁRIO UF'!$A:$B, 2, FALSE)</f>
        <v>Mato Grosso do Sul</v>
      </c>
      <c r="C4070" s="3">
        <v>18000</v>
      </c>
      <c r="D4070" s="5" t="str">
        <f>VLOOKUP(C4070, 'DICIONÁRIO CNAES'!$A:$B, 2, FALSE)</f>
        <v>Impressão e reprodução de gravações</v>
      </c>
      <c r="E4070" s="4">
        <v>5477.4844120099997</v>
      </c>
      <c r="F4070" s="4">
        <v>12661786.436352</v>
      </c>
    </row>
    <row r="4071" spans="1:6" x14ac:dyDescent="0.3">
      <c r="A4071" s="3" t="s">
        <v>27</v>
      </c>
      <c r="B4071" s="7" t="str">
        <f>VLOOKUP(VALUE(A4071), 'DICIONÁRIO UF'!$A:$B, 2, FALSE)</f>
        <v>Mato Grosso do Sul</v>
      </c>
      <c r="C4071" s="3">
        <v>19030</v>
      </c>
      <c r="D4071" s="5" t="str">
        <f>VLOOKUP(C4071, 'DICIONÁRIO CNAES'!$A:$B, 2, FALSE)</f>
        <v>Produção de biocombustíveis</v>
      </c>
      <c r="E4071" s="4">
        <v>13570.39368893</v>
      </c>
      <c r="F4071" s="4">
        <v>37149690.1783709</v>
      </c>
    </row>
    <row r="4072" spans="1:6" x14ac:dyDescent="0.3">
      <c r="A4072" s="3" t="s">
        <v>27</v>
      </c>
      <c r="B4072" s="7" t="str">
        <f>VLOOKUP(VALUE(A4072), 'DICIONÁRIO UF'!$A:$B, 2, FALSE)</f>
        <v>Mato Grosso do Sul</v>
      </c>
      <c r="C4072" s="3">
        <v>20020</v>
      </c>
      <c r="D4072" s="5" t="str">
        <f>VLOOKUP(C4072, 'DICIONÁRIO CNAES'!$A:$B, 2, FALSE)</f>
        <v>Fabricação de sabões, detergentes, produtos de limpeza, cosméticos, produtos de perfumaria e de higiene pessoal</v>
      </c>
      <c r="E4072" s="4">
        <v>228.98560997999999</v>
      </c>
      <c r="F4072" s="4">
        <v>13739.1365988</v>
      </c>
    </row>
    <row r="4073" spans="1:6" x14ac:dyDescent="0.3">
      <c r="A4073" s="3" t="s">
        <v>27</v>
      </c>
      <c r="B4073" s="7" t="str">
        <f>VLOOKUP(VALUE(A4073), 'DICIONÁRIO UF'!$A:$B, 2, FALSE)</f>
        <v>Mato Grosso do Sul</v>
      </c>
      <c r="C4073" s="3">
        <v>20090</v>
      </c>
      <c r="D4073" s="5" t="str">
        <f>VLOOKUP(C4073, 'DICIONÁRIO CNAES'!$A:$B, 2, FALSE)</f>
        <v>Fabricação de outros produtos químicos não especificados anteriormente</v>
      </c>
      <c r="E4073" s="4">
        <v>350.65040259</v>
      </c>
      <c r="F4073" s="4">
        <v>3506504.0258999998</v>
      </c>
    </row>
    <row r="4074" spans="1:6" x14ac:dyDescent="0.3">
      <c r="A4074" s="3" t="s">
        <v>27</v>
      </c>
      <c r="B4074" s="7" t="str">
        <f>VLOOKUP(VALUE(A4074), 'DICIONÁRIO UF'!$A:$B, 2, FALSE)</f>
        <v>Mato Grosso do Sul</v>
      </c>
      <c r="C4074" s="3">
        <v>21000</v>
      </c>
      <c r="D4074" s="5" t="str">
        <f>VLOOKUP(C4074, 'DICIONÁRIO CNAES'!$A:$B, 2, FALSE)</f>
        <v>Fabricação de produtos farmoquimicos e farmacêuticos</v>
      </c>
      <c r="E4074" s="4">
        <v>1041.81354332</v>
      </c>
      <c r="F4074" s="4">
        <v>10322773.403945001</v>
      </c>
    </row>
    <row r="4075" spans="1:6" x14ac:dyDescent="0.3">
      <c r="A4075" s="3" t="s">
        <v>27</v>
      </c>
      <c r="B4075" s="7" t="str">
        <f>VLOOKUP(VALUE(A4075), 'DICIONÁRIO UF'!$A:$B, 2, FALSE)</f>
        <v>Mato Grosso do Sul</v>
      </c>
      <c r="C4075" s="3">
        <v>22020</v>
      </c>
      <c r="D4075" s="5" t="str">
        <f>VLOOKUP(C4075, 'DICIONÁRIO CNAES'!$A:$B, 2, FALSE)</f>
        <v>Fabricação de produtos de material plástico</v>
      </c>
      <c r="E4075" s="4">
        <v>2467.8835748400002</v>
      </c>
      <c r="F4075" s="4">
        <v>7236473.2805230003</v>
      </c>
    </row>
    <row r="4076" spans="1:6" x14ac:dyDescent="0.3">
      <c r="A4076" s="3" t="s">
        <v>27</v>
      </c>
      <c r="B4076" s="7" t="str">
        <f>VLOOKUP(VALUE(A4076), 'DICIONÁRIO UF'!$A:$B, 2, FALSE)</f>
        <v>Mato Grosso do Sul</v>
      </c>
      <c r="C4076" s="3">
        <v>23091</v>
      </c>
      <c r="D4076" s="5" t="str">
        <f>VLOOKUP(C4076, 'DICIONÁRIO CNAES'!$A:$B, 2, FALSE)</f>
        <v>Fabricação de produtos cerâmicos</v>
      </c>
      <c r="E4076" s="4">
        <v>2273.30212381</v>
      </c>
      <c r="F4076" s="4">
        <v>4300028.5233619995</v>
      </c>
    </row>
    <row r="4077" spans="1:6" x14ac:dyDescent="0.3">
      <c r="A4077" s="3" t="s">
        <v>27</v>
      </c>
      <c r="B4077" s="7" t="str">
        <f>VLOOKUP(VALUE(A4077), 'DICIONÁRIO UF'!$A:$B, 2, FALSE)</f>
        <v>Mato Grosso do Sul</v>
      </c>
      <c r="C4077" s="3">
        <v>23099</v>
      </c>
      <c r="D4077" s="5" t="str">
        <f>VLOOKUP(C4077, 'DICIONÁRIO CNAES'!$A:$B, 2, FALSE)</f>
        <v>Fabricação de outros produtos de minerais não-metálicos não especificados anteriormente</v>
      </c>
      <c r="E4077" s="4">
        <v>3615.0185850900002</v>
      </c>
      <c r="F4077" s="4">
        <v>10134058.336432001</v>
      </c>
    </row>
    <row r="4078" spans="1:6" x14ac:dyDescent="0.3">
      <c r="A4078" s="3" t="s">
        <v>27</v>
      </c>
      <c r="B4078" s="7" t="str">
        <f>VLOOKUP(VALUE(A4078), 'DICIONÁRIO UF'!$A:$B, 2, FALSE)</f>
        <v>Mato Grosso do Sul</v>
      </c>
      <c r="C4078" s="3">
        <v>24001</v>
      </c>
      <c r="D4078" s="5" t="str">
        <f>VLOOKUP(C4078, 'DICIONÁRIO CNAES'!$A:$B, 2, FALSE)</f>
        <v>Fabricação de produtos siderúrgicos</v>
      </c>
      <c r="E4078" s="4">
        <v>1308.99634403</v>
      </c>
      <c r="F4078" s="4">
        <v>2819583.1444560001</v>
      </c>
    </row>
    <row r="4079" spans="1:6" x14ac:dyDescent="0.3">
      <c r="A4079" s="3" t="s">
        <v>27</v>
      </c>
      <c r="B4079" s="7" t="str">
        <f>VLOOKUP(VALUE(A4079), 'DICIONÁRIO UF'!$A:$B, 2, FALSE)</f>
        <v>Mato Grosso do Sul</v>
      </c>
      <c r="C4079" s="3">
        <v>24002</v>
      </c>
      <c r="D4079" s="5" t="str">
        <f>VLOOKUP(C4079, 'DICIONÁRIO CNAES'!$A:$B, 2, FALSE)</f>
        <v>Metalurgia dos metais não-ferrosos</v>
      </c>
      <c r="E4079" s="4">
        <v>284.18232678999999</v>
      </c>
      <c r="F4079" s="4">
        <v>380108.05157399998</v>
      </c>
    </row>
    <row r="4080" spans="1:6" x14ac:dyDescent="0.3">
      <c r="A4080" s="3" t="s">
        <v>27</v>
      </c>
      <c r="B4080" s="7" t="str">
        <f>VLOOKUP(VALUE(A4080), 'DICIONÁRIO UF'!$A:$B, 2, FALSE)</f>
        <v>Mato Grosso do Sul</v>
      </c>
      <c r="C4080" s="3">
        <v>25001</v>
      </c>
      <c r="D4080" s="5" t="str">
        <f>VLOOKUP(C4080, 'DICIONÁRIO CNAES'!$A:$B, 2, FALSE)</f>
        <v>Fabricação de produtos de metal, exceto máquinas e equipamentos</v>
      </c>
      <c r="E4080" s="4">
        <v>8645.6818637199995</v>
      </c>
      <c r="F4080" s="4">
        <v>30573734.631607499</v>
      </c>
    </row>
    <row r="4081" spans="1:6" x14ac:dyDescent="0.3">
      <c r="A4081" s="3" t="s">
        <v>27</v>
      </c>
      <c r="B4081" s="7" t="str">
        <f>VLOOKUP(VALUE(A4081), 'DICIONÁRIO UF'!$A:$B, 2, FALSE)</f>
        <v>Mato Grosso do Sul</v>
      </c>
      <c r="C4081" s="3">
        <v>25002</v>
      </c>
      <c r="D4081" s="5" t="str">
        <f>VLOOKUP(C4081, 'DICIONÁRIO CNAES'!$A:$B, 2, FALSE)</f>
        <v>Forjaria, estamparia, metalurgia do pó e serviços de tratamento de metais</v>
      </c>
      <c r="E4081" s="4">
        <v>2020.3083821800001</v>
      </c>
      <c r="F4081" s="4">
        <v>4815526.7228089999</v>
      </c>
    </row>
    <row r="4082" spans="1:6" x14ac:dyDescent="0.3">
      <c r="A4082" s="3" t="s">
        <v>27</v>
      </c>
      <c r="B4082" s="7" t="str">
        <f>VLOOKUP(VALUE(A4082), 'DICIONÁRIO UF'!$A:$B, 2, FALSE)</f>
        <v>Mato Grosso do Sul</v>
      </c>
      <c r="C4082" s="3">
        <v>27010</v>
      </c>
      <c r="D4082" s="5" t="str">
        <f>VLOOKUP(C4082, 'DICIONÁRIO CNAES'!$A:$B, 2, FALSE)</f>
        <v>Fabricação de eletrodomesticos</v>
      </c>
      <c r="E4082" s="4">
        <v>468.12123244999998</v>
      </c>
      <c r="F4082" s="4">
        <v>884307.54713499988</v>
      </c>
    </row>
    <row r="4083" spans="1:6" x14ac:dyDescent="0.3">
      <c r="A4083" s="3" t="s">
        <v>27</v>
      </c>
      <c r="B4083" s="7" t="str">
        <f>VLOOKUP(VALUE(A4083), 'DICIONÁRIO UF'!$A:$B, 2, FALSE)</f>
        <v>Mato Grosso do Sul</v>
      </c>
      <c r="C4083" s="3">
        <v>28000</v>
      </c>
      <c r="D4083" s="5" t="str">
        <f>VLOOKUP(C4083, 'DICIONÁRIO CNAES'!$A:$B, 2, FALSE)</f>
        <v>Fabricação de máquinas e equipamentos</v>
      </c>
      <c r="E4083" s="4">
        <v>384.54273110999998</v>
      </c>
      <c r="F4083" s="4">
        <v>922902.55466399994</v>
      </c>
    </row>
    <row r="4084" spans="1:6" x14ac:dyDescent="0.3">
      <c r="A4084" s="3" t="s">
        <v>27</v>
      </c>
      <c r="B4084" s="7" t="str">
        <f>VLOOKUP(VALUE(A4084), 'DICIONÁRIO UF'!$A:$B, 2, FALSE)</f>
        <v>Mato Grosso do Sul</v>
      </c>
      <c r="C4084" s="3">
        <v>29002</v>
      </c>
      <c r="D4084" s="5" t="str">
        <f>VLOOKUP(C4084, 'DICIONÁRIO CNAES'!$A:$B, 2, FALSE)</f>
        <v>Fabricação de cabines, carrocerias, reboques e peças para veículos automotores</v>
      </c>
      <c r="E4084" s="4">
        <v>1064.89272463</v>
      </c>
      <c r="F4084" s="4">
        <v>2311160.0871069999</v>
      </c>
    </row>
    <row r="4085" spans="1:6" x14ac:dyDescent="0.3">
      <c r="A4085" s="3" t="s">
        <v>27</v>
      </c>
      <c r="B4085" s="7" t="str">
        <f>VLOOKUP(VALUE(A4085), 'DICIONÁRIO UF'!$A:$B, 2, FALSE)</f>
        <v>Mato Grosso do Sul</v>
      </c>
      <c r="C4085" s="3">
        <v>31000</v>
      </c>
      <c r="D4085" s="5" t="str">
        <f>VLOOKUP(C4085, 'DICIONÁRIO CNAES'!$A:$B, 2, FALSE)</f>
        <v>Fabricação de móveis</v>
      </c>
      <c r="E4085" s="4">
        <v>6206.0939633500002</v>
      </c>
      <c r="F4085" s="4">
        <v>11931966.416923</v>
      </c>
    </row>
    <row r="4086" spans="1:6" x14ac:dyDescent="0.3">
      <c r="A4086" s="3" t="s">
        <v>27</v>
      </c>
      <c r="B4086" s="7" t="str">
        <f>VLOOKUP(VALUE(A4086), 'DICIONÁRIO UF'!$A:$B, 2, FALSE)</f>
        <v>Mato Grosso do Sul</v>
      </c>
      <c r="C4086" s="3">
        <v>32003</v>
      </c>
      <c r="D4086" s="5" t="str">
        <f>VLOOKUP(C4086, 'DICIONÁRIO CNAES'!$A:$B, 2, FALSE)</f>
        <v>Fabricação de artefatos para pesca e esporte e de brinquedos e jogos recreativos</v>
      </c>
      <c r="E4086" s="4">
        <v>1647.2043095500001</v>
      </c>
      <c r="F4086" s="4">
        <v>2642200.2158348002</v>
      </c>
    </row>
    <row r="4087" spans="1:6" x14ac:dyDescent="0.3">
      <c r="A4087" s="3" t="s">
        <v>27</v>
      </c>
      <c r="B4087" s="7" t="str">
        <f>VLOOKUP(VALUE(A4087), 'DICIONÁRIO UF'!$A:$B, 2, FALSE)</f>
        <v>Mato Grosso do Sul</v>
      </c>
      <c r="C4087" s="3">
        <v>32009</v>
      </c>
      <c r="D4087" s="5" t="str">
        <f>VLOOKUP(C4087, 'DICIONÁRIO CNAES'!$A:$B, 2, FALSE)</f>
        <v>Fabricação de produtos diversos</v>
      </c>
      <c r="E4087" s="4">
        <v>2333.2338799200002</v>
      </c>
      <c r="F4087" s="4">
        <v>4231616.3779110014</v>
      </c>
    </row>
    <row r="4088" spans="1:6" x14ac:dyDescent="0.3">
      <c r="A4088" s="3" t="s">
        <v>27</v>
      </c>
      <c r="B4088" s="7" t="str">
        <f>VLOOKUP(VALUE(A4088), 'DICIONÁRIO UF'!$A:$B, 2, FALSE)</f>
        <v>Mato Grosso do Sul</v>
      </c>
      <c r="C4088" s="3">
        <v>33001</v>
      </c>
      <c r="D4088" s="5" t="str">
        <f>VLOOKUP(C4088, 'DICIONÁRIO CNAES'!$A:$B, 2, FALSE)</f>
        <v>Manutenção e reparação de máquinas e equipamentos</v>
      </c>
      <c r="E4088" s="4">
        <v>3581.0933866700002</v>
      </c>
      <c r="F4088" s="4">
        <v>25263791.248608001</v>
      </c>
    </row>
    <row r="4089" spans="1:6" x14ac:dyDescent="0.3">
      <c r="A4089" s="3" t="s">
        <v>27</v>
      </c>
      <c r="B4089" s="7" t="str">
        <f>VLOOKUP(VALUE(A4089), 'DICIONÁRIO UF'!$A:$B, 2, FALSE)</f>
        <v>Mato Grosso do Sul</v>
      </c>
      <c r="C4089" s="3">
        <v>33002</v>
      </c>
      <c r="D4089" s="5" t="str">
        <f>VLOOKUP(C4089, 'DICIONÁRIO CNAES'!$A:$B, 2, FALSE)</f>
        <v>Instalação de máquinas e equipamentos</v>
      </c>
      <c r="E4089" s="4">
        <v>654.56060963999994</v>
      </c>
      <c r="F4089" s="4">
        <v>1838521.6489039999</v>
      </c>
    </row>
    <row r="4090" spans="1:6" x14ac:dyDescent="0.3">
      <c r="A4090" s="3" t="s">
        <v>27</v>
      </c>
      <c r="B4090" s="7" t="str">
        <f>VLOOKUP(VALUE(A4090), 'DICIONÁRIO UF'!$A:$B, 2, FALSE)</f>
        <v>Mato Grosso do Sul</v>
      </c>
      <c r="C4090" s="3">
        <v>35010</v>
      </c>
      <c r="D4090" s="5" t="str">
        <f>VLOOKUP(C4090, 'DICIONÁRIO CNAES'!$A:$B, 2, FALSE)</f>
        <v>Geração, transmissão e distribuição de energia elétrica</v>
      </c>
      <c r="E4090" s="4">
        <v>5096.3929941899996</v>
      </c>
      <c r="F4090" s="4">
        <v>13383333.1460145</v>
      </c>
    </row>
    <row r="4091" spans="1:6" x14ac:dyDescent="0.3">
      <c r="A4091" s="3" t="s">
        <v>27</v>
      </c>
      <c r="B4091" s="7" t="str">
        <f>VLOOKUP(VALUE(A4091), 'DICIONÁRIO UF'!$A:$B, 2, FALSE)</f>
        <v>Mato Grosso do Sul</v>
      </c>
      <c r="C4091" s="3">
        <v>36000</v>
      </c>
      <c r="D4091" s="5" t="str">
        <f>VLOOKUP(C4091, 'DICIONÁRIO CNAES'!$A:$B, 2, FALSE)</f>
        <v>Captação, tratamento e distribuição de água</v>
      </c>
      <c r="E4091" s="4">
        <v>674.95805670999994</v>
      </c>
      <c r="F4091" s="4">
        <v>1557279.60745</v>
      </c>
    </row>
    <row r="4092" spans="1:6" x14ac:dyDescent="0.3">
      <c r="A4092" s="3" t="s">
        <v>27</v>
      </c>
      <c r="B4092" s="7" t="str">
        <f>VLOOKUP(VALUE(A4092), 'DICIONÁRIO UF'!$A:$B, 2, FALSE)</f>
        <v>Mato Grosso do Sul</v>
      </c>
      <c r="C4092" s="3">
        <v>38000</v>
      </c>
      <c r="D4092" s="5" t="str">
        <f>VLOOKUP(C4092, 'DICIONÁRIO CNAES'!$A:$B, 2, FALSE)</f>
        <v>Coleta, tratamento e disposição de resíduos; recuperação de materiais</v>
      </c>
      <c r="E4092" s="4">
        <v>4359.2711723299999</v>
      </c>
      <c r="F4092" s="4">
        <v>6255404.6183129996</v>
      </c>
    </row>
    <row r="4093" spans="1:6" x14ac:dyDescent="0.3">
      <c r="A4093" s="3" t="s">
        <v>27</v>
      </c>
      <c r="B4093" s="7" t="str">
        <f>VLOOKUP(VALUE(A4093), 'DICIONÁRIO UF'!$A:$B, 2, FALSE)</f>
        <v>Mato Grosso do Sul</v>
      </c>
      <c r="C4093" s="3">
        <v>41000</v>
      </c>
      <c r="D4093" s="5" t="str">
        <f>VLOOKUP(C4093, 'DICIONÁRIO CNAES'!$A:$B, 2, FALSE)</f>
        <v>Construção de edifícios</v>
      </c>
      <c r="E4093" s="4">
        <v>66418.285674760002</v>
      </c>
      <c r="F4093" s="4">
        <v>132652933.50378761</v>
      </c>
    </row>
    <row r="4094" spans="1:6" x14ac:dyDescent="0.3">
      <c r="A4094" s="3" t="s">
        <v>27</v>
      </c>
      <c r="B4094" s="7" t="str">
        <f>VLOOKUP(VALUE(A4094), 'DICIONÁRIO UF'!$A:$B, 2, FALSE)</f>
        <v>Mato Grosso do Sul</v>
      </c>
      <c r="C4094" s="3">
        <v>42000</v>
      </c>
      <c r="D4094" s="5" t="str">
        <f>VLOOKUP(C4094, 'DICIONÁRIO CNAES'!$A:$B, 2, FALSE)</f>
        <v>Construção de obras de infra-estrutura</v>
      </c>
      <c r="E4094" s="4">
        <v>6847.8079667600005</v>
      </c>
      <c r="F4094" s="4">
        <v>17386405.813940998</v>
      </c>
    </row>
    <row r="4095" spans="1:6" x14ac:dyDescent="0.3">
      <c r="A4095" s="3" t="s">
        <v>27</v>
      </c>
      <c r="B4095" s="7" t="str">
        <f>VLOOKUP(VALUE(A4095), 'DICIONÁRIO UF'!$A:$B, 2, FALSE)</f>
        <v>Mato Grosso do Sul</v>
      </c>
      <c r="C4095" s="3">
        <v>43000</v>
      </c>
      <c r="D4095" s="5" t="str">
        <f>VLOOKUP(C4095, 'DICIONÁRIO CNAES'!$A:$B, 2, FALSE)</f>
        <v>Serviços especializados para construção</v>
      </c>
      <c r="E4095" s="4">
        <v>29836.62196923</v>
      </c>
      <c r="F4095" s="4">
        <v>75117587.093291298</v>
      </c>
    </row>
    <row r="4096" spans="1:6" x14ac:dyDescent="0.3">
      <c r="A4096" s="3" t="s">
        <v>27</v>
      </c>
      <c r="B4096" s="7" t="str">
        <f>VLOOKUP(VALUE(A4096), 'DICIONÁRIO UF'!$A:$B, 2, FALSE)</f>
        <v>Mato Grosso do Sul</v>
      </c>
      <c r="C4096" s="3">
        <v>45010</v>
      </c>
      <c r="D4096" s="5" t="str">
        <f>VLOOKUP(C4096, 'DICIONÁRIO CNAES'!$A:$B, 2, FALSE)</f>
        <v>Comércio de veículos automotores</v>
      </c>
      <c r="E4096" s="4">
        <v>9830.4340300900003</v>
      </c>
      <c r="F4096" s="4">
        <v>27265686.076788001</v>
      </c>
    </row>
    <row r="4097" spans="1:6" x14ac:dyDescent="0.3">
      <c r="A4097" s="3" t="s">
        <v>27</v>
      </c>
      <c r="B4097" s="7" t="str">
        <f>VLOOKUP(VALUE(A4097), 'DICIONÁRIO UF'!$A:$B, 2, FALSE)</f>
        <v>Mato Grosso do Sul</v>
      </c>
      <c r="C4097" s="3">
        <v>45020</v>
      </c>
      <c r="D4097" s="5" t="str">
        <f>VLOOKUP(C4097, 'DICIONÁRIO CNAES'!$A:$B, 2, FALSE)</f>
        <v>Manutenção e reparação de veículos automotores</v>
      </c>
      <c r="E4097" s="4">
        <v>37302.899215190002</v>
      </c>
      <c r="F4097" s="4">
        <v>88734541.864932001</v>
      </c>
    </row>
    <row r="4098" spans="1:6" x14ac:dyDescent="0.3">
      <c r="A4098" s="3" t="s">
        <v>27</v>
      </c>
      <c r="B4098" s="7" t="str">
        <f>VLOOKUP(VALUE(A4098), 'DICIONÁRIO UF'!$A:$B, 2, FALSE)</f>
        <v>Mato Grosso do Sul</v>
      </c>
      <c r="C4098" s="3">
        <v>45030</v>
      </c>
      <c r="D4098" s="5" t="str">
        <f>VLOOKUP(C4098, 'DICIONÁRIO CNAES'!$A:$B, 2, FALSE)</f>
        <v>Comércio de peças e acessórios para veículos automotores</v>
      </c>
      <c r="E4098" s="4">
        <v>6132.6515935199996</v>
      </c>
      <c r="F4098" s="4">
        <v>13212965.762734</v>
      </c>
    </row>
    <row r="4099" spans="1:6" x14ac:dyDescent="0.3">
      <c r="A4099" s="3" t="s">
        <v>27</v>
      </c>
      <c r="B4099" s="7" t="str">
        <f>VLOOKUP(VALUE(A4099), 'DICIONÁRIO UF'!$A:$B, 2, FALSE)</f>
        <v>Mato Grosso do Sul</v>
      </c>
      <c r="C4099" s="3">
        <v>45040</v>
      </c>
      <c r="D4099" s="5" t="str">
        <f>VLOOKUP(C4099, 'DICIONÁRIO CNAES'!$A:$B, 2, FALSE)</f>
        <v>Comércio, manutenção e reparação de motocicletas, peças e acessórios</v>
      </c>
      <c r="E4099" s="4">
        <v>4598.5309130899996</v>
      </c>
      <c r="F4099" s="4">
        <v>7418577.4814336998</v>
      </c>
    </row>
    <row r="4100" spans="1:6" x14ac:dyDescent="0.3">
      <c r="A4100" s="3" t="s">
        <v>27</v>
      </c>
      <c r="B4100" s="7" t="str">
        <f>VLOOKUP(VALUE(A4100), 'DICIONÁRIO UF'!$A:$B, 2, FALSE)</f>
        <v>Mato Grosso do Sul</v>
      </c>
      <c r="C4100" s="3">
        <v>48010</v>
      </c>
      <c r="D4100" s="5" t="str">
        <f>VLOOKUP(C4100, 'DICIONÁRIO CNAES'!$A:$B, 2, FALSE)</f>
        <v>Representantes comerciais e agentes do comércio, exceto de veículos automotores e motocicletas</v>
      </c>
      <c r="E4100" s="4">
        <v>2993.5044084199999</v>
      </c>
      <c r="F4100" s="4">
        <v>11646093.923241001</v>
      </c>
    </row>
    <row r="4101" spans="1:6" x14ac:dyDescent="0.3">
      <c r="A4101" s="3" t="s">
        <v>27</v>
      </c>
      <c r="B4101" s="7" t="str">
        <f>VLOOKUP(VALUE(A4101), 'DICIONÁRIO UF'!$A:$B, 2, FALSE)</f>
        <v>Mato Grosso do Sul</v>
      </c>
      <c r="C4101" s="3">
        <v>48020</v>
      </c>
      <c r="D4101" s="5" t="str">
        <f>VLOOKUP(C4101, 'DICIONÁRIO CNAES'!$A:$B, 2, FALSE)</f>
        <v>Comércio de matérias-primas agrícolas e animais vivos</v>
      </c>
      <c r="E4101" s="4">
        <v>1932.7890669999999</v>
      </c>
      <c r="F4101" s="4">
        <v>4821488.7181329997</v>
      </c>
    </row>
    <row r="4102" spans="1:6" x14ac:dyDescent="0.3">
      <c r="A4102" s="3" t="s">
        <v>27</v>
      </c>
      <c r="B4102" s="7" t="str">
        <f>VLOOKUP(VALUE(A4102), 'DICIONÁRIO UF'!$A:$B, 2, FALSE)</f>
        <v>Mato Grosso do Sul</v>
      </c>
      <c r="C4102" s="3">
        <v>48030</v>
      </c>
      <c r="D4102" s="5" t="str">
        <f>VLOOKUP(C4102, 'DICIONÁRIO CNAES'!$A:$B, 2, FALSE)</f>
        <v>Comércio de produtos alimentícios, bebidas e fumo</v>
      </c>
      <c r="E4102" s="4">
        <v>31850.413466729999</v>
      </c>
      <c r="F4102" s="4">
        <v>59130189.010498531</v>
      </c>
    </row>
    <row r="4103" spans="1:6" x14ac:dyDescent="0.3">
      <c r="A4103" s="3" t="s">
        <v>27</v>
      </c>
      <c r="B4103" s="7" t="str">
        <f>VLOOKUP(VALUE(A4103), 'DICIONÁRIO UF'!$A:$B, 2, FALSE)</f>
        <v>Mato Grosso do Sul</v>
      </c>
      <c r="C4103" s="3">
        <v>48041</v>
      </c>
      <c r="D4103" s="5" t="str">
        <f>VLOOKUP(C4103, 'DICIONÁRIO CNAES'!$A:$B, 2, FALSE)</f>
        <v>Comércio de tecidos, artefatos de tecidos e armarinho</v>
      </c>
      <c r="E4103" s="4">
        <v>3190.7429046100001</v>
      </c>
      <c r="F4103" s="4">
        <v>4394637.4047710001</v>
      </c>
    </row>
    <row r="4104" spans="1:6" x14ac:dyDescent="0.3">
      <c r="A4104" s="3" t="s">
        <v>27</v>
      </c>
      <c r="B4104" s="7" t="str">
        <f>VLOOKUP(VALUE(A4104), 'DICIONÁRIO UF'!$A:$B, 2, FALSE)</f>
        <v>Mato Grosso do Sul</v>
      </c>
      <c r="C4104" s="3">
        <v>48042</v>
      </c>
      <c r="D4104" s="5" t="str">
        <f>VLOOKUP(C4104, 'DICIONÁRIO CNAES'!$A:$B, 2, FALSE)</f>
        <v>Comércio de artigos do vestuário, complementos, calçados e artigos de viagem</v>
      </c>
      <c r="E4104" s="4">
        <v>29670.37281615</v>
      </c>
      <c r="F4104" s="4">
        <v>47319741.012432083</v>
      </c>
    </row>
    <row r="4105" spans="1:6" x14ac:dyDescent="0.3">
      <c r="A4105" s="3" t="s">
        <v>27</v>
      </c>
      <c r="B4105" s="7" t="str">
        <f>VLOOKUP(VALUE(A4105), 'DICIONÁRIO UF'!$A:$B, 2, FALSE)</f>
        <v>Mato Grosso do Sul</v>
      </c>
      <c r="C4105" s="3">
        <v>48050</v>
      </c>
      <c r="D4105" s="5" t="str">
        <f>VLOOKUP(C4105, 'DICIONÁRIO CNAES'!$A:$B, 2, FALSE)</f>
        <v>Comércio de madeira, material de construção, ferragens e ferramentas</v>
      </c>
      <c r="E4105" s="4">
        <v>16256.8923006</v>
      </c>
      <c r="F4105" s="4">
        <v>38787278.230169252</v>
      </c>
    </row>
    <row r="4106" spans="1:6" x14ac:dyDescent="0.3">
      <c r="A4106" s="3" t="s">
        <v>27</v>
      </c>
      <c r="B4106" s="7" t="str">
        <f>VLOOKUP(VALUE(A4106), 'DICIONÁRIO UF'!$A:$B, 2, FALSE)</f>
        <v>Mato Grosso do Sul</v>
      </c>
      <c r="C4106" s="3">
        <v>48060</v>
      </c>
      <c r="D4106" s="5" t="str">
        <f>VLOOKUP(C4106, 'DICIONÁRIO CNAES'!$A:$B, 2, FALSE)</f>
        <v>Comércio de combustíveis para veículos automotores</v>
      </c>
      <c r="E4106" s="4">
        <v>4639.3325643099997</v>
      </c>
      <c r="F4106" s="4">
        <v>7512333.5105050998</v>
      </c>
    </row>
    <row r="4107" spans="1:6" x14ac:dyDescent="0.3">
      <c r="A4107" s="3" t="s">
        <v>27</v>
      </c>
      <c r="B4107" s="7" t="str">
        <f>VLOOKUP(VALUE(A4107), 'DICIONÁRIO UF'!$A:$B, 2, FALSE)</f>
        <v>Mato Grosso do Sul</v>
      </c>
      <c r="C4107" s="3">
        <v>48071</v>
      </c>
      <c r="D4107" s="5" t="str">
        <f>VLOOKUP(C4107, 'DICIONÁRIO CNAES'!$A:$B, 2, FALSE)</f>
        <v>Comércio de produtos farmaceuticos, médicos, ortopédicos, odontológicos e de cosméticos e perfumaria</v>
      </c>
      <c r="E4107" s="4">
        <v>17161.276734970001</v>
      </c>
      <c r="F4107" s="4">
        <v>32665927.242894251</v>
      </c>
    </row>
    <row r="4108" spans="1:6" x14ac:dyDescent="0.3">
      <c r="A4108" s="3" t="s">
        <v>27</v>
      </c>
      <c r="B4108" s="7" t="str">
        <f>VLOOKUP(VALUE(A4108), 'DICIONÁRIO UF'!$A:$B, 2, FALSE)</f>
        <v>Mato Grosso do Sul</v>
      </c>
      <c r="C4108" s="3">
        <v>48072</v>
      </c>
      <c r="D4108" s="5" t="str">
        <f>VLOOKUP(C4108, 'DICIONÁRIO CNAES'!$A:$B, 2, FALSE)</f>
        <v>Comércio de artigos de escritório e de papelaria; livros, jornais e outras publicações</v>
      </c>
      <c r="E4108" s="4">
        <v>179.52913416999999</v>
      </c>
      <c r="F4108" s="4">
        <v>448822.835425</v>
      </c>
    </row>
    <row r="4109" spans="1:6" x14ac:dyDescent="0.3">
      <c r="A4109" s="3" t="s">
        <v>27</v>
      </c>
      <c r="B4109" s="7" t="str">
        <f>VLOOKUP(VALUE(A4109), 'DICIONÁRIO UF'!$A:$B, 2, FALSE)</f>
        <v>Mato Grosso do Sul</v>
      </c>
      <c r="C4109" s="3">
        <v>48073</v>
      </c>
      <c r="D4109" s="5" t="str">
        <f>VLOOKUP(C4109, 'DICIONÁRIO CNAES'!$A:$B, 2, FALSE)</f>
        <v>Comércio de eletrodomésticos, móveis e outros artigos de residência</v>
      </c>
      <c r="E4109" s="4">
        <v>10530.803280579999</v>
      </c>
      <c r="F4109" s="4">
        <v>31208036.669597</v>
      </c>
    </row>
    <row r="4110" spans="1:6" x14ac:dyDescent="0.3">
      <c r="A4110" s="3" t="s">
        <v>27</v>
      </c>
      <c r="B4110" s="7" t="str">
        <f>VLOOKUP(VALUE(A4110), 'DICIONÁRIO UF'!$A:$B, 2, FALSE)</f>
        <v>Mato Grosso do Sul</v>
      </c>
      <c r="C4110" s="3">
        <v>48074</v>
      </c>
      <c r="D4110" s="5" t="str">
        <f>VLOOKUP(C4110, 'DICIONÁRIO CNAES'!$A:$B, 2, FALSE)</f>
        <v>Comércio de equipamentos e produtos de tecnologias de informação e comunicação</v>
      </c>
      <c r="E4110" s="4">
        <v>2370.11635983</v>
      </c>
      <c r="F4110" s="4">
        <v>3828600.2085259999</v>
      </c>
    </row>
    <row r="4111" spans="1:6" x14ac:dyDescent="0.3">
      <c r="A4111" s="3" t="s">
        <v>27</v>
      </c>
      <c r="B4111" s="7" t="str">
        <f>VLOOKUP(VALUE(A4111), 'DICIONÁRIO UF'!$A:$B, 2, FALSE)</f>
        <v>Mato Grosso do Sul</v>
      </c>
      <c r="C4111" s="3">
        <v>48075</v>
      </c>
      <c r="D4111" s="5" t="str">
        <f>VLOOKUP(C4111, 'DICIONÁRIO CNAES'!$A:$B, 2, FALSE)</f>
        <v xml:space="preserve">Comércio de máquinas, aparelhos e equipamentos, exceto eletrodomésticos </v>
      </c>
      <c r="E4111" s="4">
        <v>4311.43973104</v>
      </c>
      <c r="F4111" s="4">
        <v>11853844.40890421</v>
      </c>
    </row>
    <row r="4112" spans="1:6" x14ac:dyDescent="0.3">
      <c r="A4112" s="3" t="s">
        <v>27</v>
      </c>
      <c r="B4112" s="7" t="str">
        <f>VLOOKUP(VALUE(A4112), 'DICIONÁRIO UF'!$A:$B, 2, FALSE)</f>
        <v>Mato Grosso do Sul</v>
      </c>
      <c r="C4112" s="3">
        <v>48076</v>
      </c>
      <c r="D4112" s="5" t="str">
        <f>VLOOKUP(C4112, 'DICIONÁRIO CNAES'!$A:$B, 2, FALSE)</f>
        <v>Comércio de combustíveis sólidos, líquidos e gasosos, exceto para veículos automotores</v>
      </c>
      <c r="E4112" s="4">
        <v>2165.5765562699999</v>
      </c>
      <c r="F4112" s="4">
        <v>3957841.326595</v>
      </c>
    </row>
    <row r="4113" spans="1:6" x14ac:dyDescent="0.3">
      <c r="A4113" s="3" t="s">
        <v>27</v>
      </c>
      <c r="B4113" s="7" t="str">
        <f>VLOOKUP(VALUE(A4113), 'DICIONÁRIO UF'!$A:$B, 2, FALSE)</f>
        <v>Mato Grosso do Sul</v>
      </c>
      <c r="C4113" s="3">
        <v>48077</v>
      </c>
      <c r="D4113" s="5" t="str">
        <f>VLOOKUP(C4113, 'DICIONÁRIO CNAES'!$A:$B, 2, FALSE)</f>
        <v>Comércio de produtos usados</v>
      </c>
      <c r="E4113" s="4">
        <v>363.26290184999999</v>
      </c>
      <c r="F4113" s="4">
        <v>214462.67601649999</v>
      </c>
    </row>
    <row r="4114" spans="1:6" x14ac:dyDescent="0.3">
      <c r="A4114" s="3" t="s">
        <v>27</v>
      </c>
      <c r="B4114" s="7" t="str">
        <f>VLOOKUP(VALUE(A4114), 'DICIONÁRIO UF'!$A:$B, 2, FALSE)</f>
        <v>Mato Grosso do Sul</v>
      </c>
      <c r="C4114" s="3">
        <v>48078</v>
      </c>
      <c r="D4114" s="5" t="str">
        <f>VLOOKUP(C4114, 'DICIONÁRIO CNAES'!$A:$B, 2, FALSE)</f>
        <v>Comercio de residuos e sucatas</v>
      </c>
      <c r="E4114" s="4">
        <v>1237.2162423499999</v>
      </c>
      <c r="F4114" s="4">
        <v>2606024.7101066001</v>
      </c>
    </row>
    <row r="4115" spans="1:6" x14ac:dyDescent="0.3">
      <c r="A4115" s="3" t="s">
        <v>27</v>
      </c>
      <c r="B4115" s="7" t="str">
        <f>VLOOKUP(VALUE(A4115), 'DICIONÁRIO UF'!$A:$B, 2, FALSE)</f>
        <v>Mato Grosso do Sul</v>
      </c>
      <c r="C4115" s="3">
        <v>48079</v>
      </c>
      <c r="D4115" s="5" t="str">
        <f>VLOOKUP(C4115, 'DICIONÁRIO CNAES'!$A:$B, 2, FALSE)</f>
        <v>Comércio de produtos novos não especificados anteriormente</v>
      </c>
      <c r="E4115" s="4">
        <v>18602.69788697</v>
      </c>
      <c r="F4115" s="4">
        <v>53299269.4704208</v>
      </c>
    </row>
    <row r="4116" spans="1:6" x14ac:dyDescent="0.3">
      <c r="A4116" s="3" t="s">
        <v>27</v>
      </c>
      <c r="B4116" s="7" t="str">
        <f>VLOOKUP(VALUE(A4116), 'DICIONÁRIO UF'!$A:$B, 2, FALSE)</f>
        <v>Mato Grosso do Sul</v>
      </c>
      <c r="C4116" s="3">
        <v>48080</v>
      </c>
      <c r="D4116" s="5" t="str">
        <f>VLOOKUP(C4116, 'DICIONÁRIO CNAES'!$A:$B, 2, FALSE)</f>
        <v>Supermercado e hipermercado</v>
      </c>
      <c r="E4116" s="4">
        <v>32707.596187309999</v>
      </c>
      <c r="F4116" s="4">
        <v>49726123.908275239</v>
      </c>
    </row>
    <row r="4117" spans="1:6" x14ac:dyDescent="0.3">
      <c r="A4117" s="3" t="s">
        <v>27</v>
      </c>
      <c r="B4117" s="7" t="str">
        <f>VLOOKUP(VALUE(A4117), 'DICIONÁRIO UF'!$A:$B, 2, FALSE)</f>
        <v>Mato Grosso do Sul</v>
      </c>
      <c r="C4117" s="3">
        <v>48090</v>
      </c>
      <c r="D4117" s="5" t="str">
        <f>VLOOKUP(C4117, 'DICIONÁRIO CNAES'!$A:$B, 2, FALSE)</f>
        <v>Lojas de departamento e outros comércios não especializados, sem predominância de produtos alimentícios</v>
      </c>
      <c r="E4117" s="4">
        <v>1026.57361659</v>
      </c>
      <c r="F4117" s="4">
        <v>782056.32264110004</v>
      </c>
    </row>
    <row r="4118" spans="1:6" x14ac:dyDescent="0.3">
      <c r="A4118" s="3" t="s">
        <v>27</v>
      </c>
      <c r="B4118" s="7" t="str">
        <f>VLOOKUP(VALUE(A4118), 'DICIONÁRIO UF'!$A:$B, 2, FALSE)</f>
        <v>Mato Grosso do Sul</v>
      </c>
      <c r="C4118" s="3">
        <v>48100</v>
      </c>
      <c r="D4118" s="5" t="str">
        <f>VLOOKUP(C4118, 'DICIONÁRIO CNAES'!$A:$B, 2, FALSE)</f>
        <v>Comércio ambulante e feiras</v>
      </c>
      <c r="E4118" s="4">
        <v>4036.08526291</v>
      </c>
      <c r="F4118" s="4">
        <v>4629944.9062639996</v>
      </c>
    </row>
    <row r="4119" spans="1:6" x14ac:dyDescent="0.3">
      <c r="A4119" s="3" t="s">
        <v>27</v>
      </c>
      <c r="B4119" s="7" t="str">
        <f>VLOOKUP(VALUE(A4119), 'DICIONÁRIO UF'!$A:$B, 2, FALSE)</f>
        <v>Mato Grosso do Sul</v>
      </c>
      <c r="C4119" s="3">
        <v>49010</v>
      </c>
      <c r="D4119" s="5" t="str">
        <f>VLOOKUP(C4119, 'DICIONÁRIO CNAES'!$A:$B, 2, FALSE)</f>
        <v>Transporte ferroviário e metroferroviário</v>
      </c>
      <c r="E4119" s="4">
        <v>679.81068955000001</v>
      </c>
      <c r="F4119" s="4">
        <v>2196727.6400700002</v>
      </c>
    </row>
    <row r="4120" spans="1:6" x14ac:dyDescent="0.3">
      <c r="A4120" s="3" t="s">
        <v>27</v>
      </c>
      <c r="B4120" s="7" t="str">
        <f>VLOOKUP(VALUE(A4120), 'DICIONÁRIO UF'!$A:$B, 2, FALSE)</f>
        <v>Mato Grosso do Sul</v>
      </c>
      <c r="C4120" s="3">
        <v>49030</v>
      </c>
      <c r="D4120" s="5" t="str">
        <f>VLOOKUP(C4120, 'DICIONÁRIO CNAES'!$A:$B, 2, FALSE)</f>
        <v>Transporte rodoviário de passageiros</v>
      </c>
      <c r="E4120" s="4">
        <v>16067.8624851</v>
      </c>
      <c r="F4120" s="4">
        <v>35898633.610773459</v>
      </c>
    </row>
    <row r="4121" spans="1:6" x14ac:dyDescent="0.3">
      <c r="A4121" s="3" t="s">
        <v>27</v>
      </c>
      <c r="B4121" s="7" t="str">
        <f>VLOOKUP(VALUE(A4121), 'DICIONÁRIO UF'!$A:$B, 2, FALSE)</f>
        <v>Mato Grosso do Sul</v>
      </c>
      <c r="C4121" s="3">
        <v>49040</v>
      </c>
      <c r="D4121" s="5" t="str">
        <f>VLOOKUP(C4121, 'DICIONÁRIO CNAES'!$A:$B, 2, FALSE)</f>
        <v>Transporte rodoviário de carga</v>
      </c>
      <c r="E4121" s="4">
        <v>30751.754072020001</v>
      </c>
      <c r="F4121" s="4">
        <v>81631559.903119162</v>
      </c>
    </row>
    <row r="4122" spans="1:6" x14ac:dyDescent="0.3">
      <c r="A4122" s="3" t="s">
        <v>27</v>
      </c>
      <c r="B4122" s="7" t="str">
        <f>VLOOKUP(VALUE(A4122), 'DICIONÁRIO UF'!$A:$B, 2, FALSE)</f>
        <v>Mato Grosso do Sul</v>
      </c>
      <c r="C4122" s="3">
        <v>50000</v>
      </c>
      <c r="D4122" s="5" t="str">
        <f>VLOOKUP(C4122, 'DICIONÁRIO CNAES'!$A:$B, 2, FALSE)</f>
        <v>Transporte Aquaviário</v>
      </c>
      <c r="E4122" s="4">
        <v>743.68103092999991</v>
      </c>
      <c r="F4122" s="4">
        <v>1246360.548372</v>
      </c>
    </row>
    <row r="4123" spans="1:6" x14ac:dyDescent="0.3">
      <c r="A4123" s="3" t="s">
        <v>27</v>
      </c>
      <c r="B4123" s="7" t="str">
        <f>VLOOKUP(VALUE(A4123), 'DICIONÁRIO UF'!$A:$B, 2, FALSE)</f>
        <v>Mato Grosso do Sul</v>
      </c>
      <c r="C4123" s="3">
        <v>51000</v>
      </c>
      <c r="D4123" s="5" t="str">
        <f>VLOOKUP(C4123, 'DICIONÁRIO CNAES'!$A:$B, 2, FALSE)</f>
        <v>Transporte Aéreo</v>
      </c>
      <c r="E4123" s="4">
        <v>669.80880923999996</v>
      </c>
      <c r="F4123" s="4">
        <v>1869893.8757140001</v>
      </c>
    </row>
    <row r="4124" spans="1:6" x14ac:dyDescent="0.3">
      <c r="A4124" s="3" t="s">
        <v>27</v>
      </c>
      <c r="B4124" s="7" t="str">
        <f>VLOOKUP(VALUE(A4124), 'DICIONÁRIO UF'!$A:$B, 2, FALSE)</f>
        <v>Mato Grosso do Sul</v>
      </c>
      <c r="C4124" s="3">
        <v>52010</v>
      </c>
      <c r="D4124" s="5" t="str">
        <f>VLOOKUP(C4124, 'DICIONÁRIO CNAES'!$A:$B, 2, FALSE)</f>
        <v>Armazenamento, carga e descarga</v>
      </c>
      <c r="E4124" s="4">
        <v>5225.5163415899997</v>
      </c>
      <c r="F4124" s="4">
        <v>11165811.708559601</v>
      </c>
    </row>
    <row r="4125" spans="1:6" x14ac:dyDescent="0.3">
      <c r="A4125" s="3" t="s">
        <v>27</v>
      </c>
      <c r="B4125" s="7" t="str">
        <f>VLOOKUP(VALUE(A4125), 'DICIONÁRIO UF'!$A:$B, 2, FALSE)</f>
        <v>Mato Grosso do Sul</v>
      </c>
      <c r="C4125" s="3">
        <v>52020</v>
      </c>
      <c r="D4125" s="5" t="str">
        <f>VLOOKUP(C4125, 'DICIONÁRIO CNAES'!$A:$B, 2, FALSE)</f>
        <v xml:space="preserve">Atividades auxiliares dos transportes e atividades relacionadas à organização do transporte de carga </v>
      </c>
      <c r="E4125" s="4">
        <v>1035.03909245</v>
      </c>
      <c r="F4125" s="4">
        <v>1505608.3054440001</v>
      </c>
    </row>
    <row r="4126" spans="1:6" x14ac:dyDescent="0.3">
      <c r="A4126" s="3" t="s">
        <v>27</v>
      </c>
      <c r="B4126" s="7" t="str">
        <f>VLOOKUP(VALUE(A4126), 'DICIONÁRIO UF'!$A:$B, 2, FALSE)</f>
        <v>Mato Grosso do Sul</v>
      </c>
      <c r="C4126" s="3">
        <v>53001</v>
      </c>
      <c r="D4126" s="5" t="str">
        <f>VLOOKUP(C4126, 'DICIONÁRIO CNAES'!$A:$B, 2, FALSE)</f>
        <v>Atividades de Correio</v>
      </c>
      <c r="E4126" s="4">
        <v>2429.1515370000002</v>
      </c>
      <c r="F4126" s="4">
        <v>11487191.302423</v>
      </c>
    </row>
    <row r="4127" spans="1:6" x14ac:dyDescent="0.3">
      <c r="A4127" s="3" t="s">
        <v>27</v>
      </c>
      <c r="B4127" s="7" t="str">
        <f>VLOOKUP(VALUE(A4127), 'DICIONÁRIO UF'!$A:$B, 2, FALSE)</f>
        <v>Mato Grosso do Sul</v>
      </c>
      <c r="C4127" s="3">
        <v>53002</v>
      </c>
      <c r="D4127" s="5" t="str">
        <f>VLOOKUP(C4127, 'DICIONÁRIO CNAES'!$A:$B, 2, FALSE)</f>
        <v>Atividades de malote e de entrega</v>
      </c>
      <c r="E4127" s="4">
        <v>6787.0734128000004</v>
      </c>
      <c r="F4127" s="4">
        <v>12560174.293713501</v>
      </c>
    </row>
    <row r="4128" spans="1:6" x14ac:dyDescent="0.3">
      <c r="A4128" s="3" t="s">
        <v>27</v>
      </c>
      <c r="B4128" s="7" t="str">
        <f>VLOOKUP(VALUE(A4128), 'DICIONÁRIO UF'!$A:$B, 2, FALSE)</f>
        <v>Mato Grosso do Sul</v>
      </c>
      <c r="C4128" s="3">
        <v>55000</v>
      </c>
      <c r="D4128" s="5" t="str">
        <f>VLOOKUP(C4128, 'DICIONÁRIO CNAES'!$A:$B, 2, FALSE)</f>
        <v>Alojamento</v>
      </c>
      <c r="E4128" s="4">
        <v>6684.1607951999986</v>
      </c>
      <c r="F4128" s="4">
        <v>11440600.7271185</v>
      </c>
    </row>
    <row r="4129" spans="1:6" x14ac:dyDescent="0.3">
      <c r="A4129" s="3" t="s">
        <v>27</v>
      </c>
      <c r="B4129" s="7" t="str">
        <f>VLOOKUP(VALUE(A4129), 'DICIONÁRIO UF'!$A:$B, 2, FALSE)</f>
        <v>Mato Grosso do Sul</v>
      </c>
      <c r="C4129" s="3">
        <v>56011</v>
      </c>
      <c r="D4129" s="5" t="str">
        <f>VLOOKUP(C4129, 'DICIONÁRIO CNAES'!$A:$B, 2, FALSE)</f>
        <v>Restaurantes e outros estabelecimentos de serviços de alimentação e bebidas</v>
      </c>
      <c r="E4129" s="4">
        <v>46996.377358029997</v>
      </c>
      <c r="F4129" s="4">
        <v>76443406.740585953</v>
      </c>
    </row>
    <row r="4130" spans="1:6" x14ac:dyDescent="0.3">
      <c r="A4130" s="3" t="s">
        <v>27</v>
      </c>
      <c r="B4130" s="7" t="str">
        <f>VLOOKUP(VALUE(A4130), 'DICIONÁRIO UF'!$A:$B, 2, FALSE)</f>
        <v>Mato Grosso do Sul</v>
      </c>
      <c r="C4130" s="3">
        <v>56012</v>
      </c>
      <c r="D4130" s="5" t="str">
        <f>VLOOKUP(C4130, 'DICIONÁRIO CNAES'!$A:$B, 2, FALSE)</f>
        <v>Serviços de catering, bufê e outros serviços de comida preparada</v>
      </c>
      <c r="E4130" s="4">
        <v>17394.34025456</v>
      </c>
      <c r="F4130" s="4">
        <v>29354632.920267701</v>
      </c>
    </row>
    <row r="4131" spans="1:6" x14ac:dyDescent="0.3">
      <c r="A4131" s="3" t="s">
        <v>27</v>
      </c>
      <c r="B4131" s="7" t="str">
        <f>VLOOKUP(VALUE(A4131), 'DICIONÁRIO UF'!$A:$B, 2, FALSE)</f>
        <v>Mato Grosso do Sul</v>
      </c>
      <c r="C4131" s="3">
        <v>56020</v>
      </c>
      <c r="D4131" s="5" t="str">
        <f>VLOOKUP(C4131, 'DICIONÁRIO CNAES'!$A:$B, 2, FALSE)</f>
        <v>Serviços ambulantes de alimentação</v>
      </c>
      <c r="E4131" s="4">
        <v>3145.6220163600001</v>
      </c>
      <c r="F4131" s="4">
        <v>2725025.7602598998</v>
      </c>
    </row>
    <row r="4132" spans="1:6" x14ac:dyDescent="0.3">
      <c r="A4132" s="3" t="s">
        <v>27</v>
      </c>
      <c r="B4132" s="7" t="str">
        <f>VLOOKUP(VALUE(A4132), 'DICIONÁRIO UF'!$A:$B, 2, FALSE)</f>
        <v>Mato Grosso do Sul</v>
      </c>
      <c r="C4132" s="3">
        <v>59000</v>
      </c>
      <c r="D4132" s="5" t="str">
        <f>VLOOKUP(C4132, 'DICIONÁRIO CNAES'!$A:$B, 2, FALSE)</f>
        <v>Atividades cinematográficas, produção de vídeos e de programas de televisão, gravação de som e de música</v>
      </c>
      <c r="E4132" s="4">
        <v>317.70246058999999</v>
      </c>
      <c r="F4132" s="4">
        <v>381242.95270800003</v>
      </c>
    </row>
    <row r="4133" spans="1:6" x14ac:dyDescent="0.3">
      <c r="A4133" s="3" t="s">
        <v>27</v>
      </c>
      <c r="B4133" s="7" t="str">
        <f>VLOOKUP(VALUE(A4133), 'DICIONÁRIO UF'!$A:$B, 2, FALSE)</f>
        <v>Mato Grosso do Sul</v>
      </c>
      <c r="C4133" s="3">
        <v>60002</v>
      </c>
      <c r="D4133" s="5" t="str">
        <f>VLOOKUP(C4133, 'DICIONÁRIO CNAES'!$A:$B, 2, FALSE)</f>
        <v>Atividades de televisão</v>
      </c>
      <c r="E4133" s="4">
        <v>756.52193657999999</v>
      </c>
      <c r="F4133" s="4">
        <v>2800192.0305022001</v>
      </c>
    </row>
    <row r="4134" spans="1:6" x14ac:dyDescent="0.3">
      <c r="A4134" s="3" t="s">
        <v>27</v>
      </c>
      <c r="B4134" s="7" t="str">
        <f>VLOOKUP(VALUE(A4134), 'DICIONÁRIO UF'!$A:$B, 2, FALSE)</f>
        <v>Mato Grosso do Sul</v>
      </c>
      <c r="C4134" s="3">
        <v>61000</v>
      </c>
      <c r="D4134" s="5" t="str">
        <f>VLOOKUP(C4134, 'DICIONÁRIO CNAES'!$A:$B, 2, FALSE)</f>
        <v>Telecomunicações</v>
      </c>
      <c r="E4134" s="4">
        <v>8014.8566802100004</v>
      </c>
      <c r="F4134" s="4">
        <v>14213279.92455106</v>
      </c>
    </row>
    <row r="4135" spans="1:6" x14ac:dyDescent="0.3">
      <c r="A4135" s="3" t="s">
        <v>27</v>
      </c>
      <c r="B4135" s="7" t="str">
        <f>VLOOKUP(VALUE(A4135), 'DICIONÁRIO UF'!$A:$B, 2, FALSE)</f>
        <v>Mato Grosso do Sul</v>
      </c>
      <c r="C4135" s="3">
        <v>62000</v>
      </c>
      <c r="D4135" s="5" t="str">
        <f>VLOOKUP(C4135, 'DICIONÁRIO CNAES'!$A:$B, 2, FALSE)</f>
        <v>Atividades dos serviços de tecnologia da informação</v>
      </c>
      <c r="E4135" s="4">
        <v>8158.4822282699997</v>
      </c>
      <c r="F4135" s="4">
        <v>32769000.731626</v>
      </c>
    </row>
    <row r="4136" spans="1:6" x14ac:dyDescent="0.3">
      <c r="A4136" s="3" t="s">
        <v>27</v>
      </c>
      <c r="B4136" s="7" t="str">
        <f>VLOOKUP(VALUE(A4136), 'DICIONÁRIO UF'!$A:$B, 2, FALSE)</f>
        <v>Mato Grosso do Sul</v>
      </c>
      <c r="C4136" s="3">
        <v>63000</v>
      </c>
      <c r="D4136" s="5" t="str">
        <f>VLOOKUP(C4136, 'DICIONÁRIO CNAES'!$A:$B, 2, FALSE)</f>
        <v>Atividades de prestação de serviços de informação</v>
      </c>
      <c r="E4136" s="4">
        <v>194.59413391999999</v>
      </c>
      <c r="F4136" s="4">
        <v>1167564.8035200001</v>
      </c>
    </row>
    <row r="4137" spans="1:6" x14ac:dyDescent="0.3">
      <c r="A4137" s="3" t="s">
        <v>27</v>
      </c>
      <c r="B4137" s="7" t="str">
        <f>VLOOKUP(VALUE(A4137), 'DICIONÁRIO UF'!$A:$B, 2, FALSE)</f>
        <v>Mato Grosso do Sul</v>
      </c>
      <c r="C4137" s="3">
        <v>64000</v>
      </c>
      <c r="D4137" s="5" t="str">
        <f>VLOOKUP(C4137, 'DICIONÁRIO CNAES'!$A:$B, 2, FALSE)</f>
        <v>Serviços financeiros</v>
      </c>
      <c r="E4137" s="4">
        <v>9049.3746509299999</v>
      </c>
      <c r="F4137" s="4">
        <v>35796928.957547039</v>
      </c>
    </row>
    <row r="4138" spans="1:6" x14ac:dyDescent="0.3">
      <c r="A4138" s="3" t="s">
        <v>27</v>
      </c>
      <c r="B4138" s="7" t="str">
        <f>VLOOKUP(VALUE(A4138), 'DICIONÁRIO UF'!$A:$B, 2, FALSE)</f>
        <v>Mato Grosso do Sul</v>
      </c>
      <c r="C4138" s="3">
        <v>65000</v>
      </c>
      <c r="D4138" s="5" t="str">
        <f>VLOOKUP(C4138, 'DICIONÁRIO CNAES'!$A:$B, 2, FALSE)</f>
        <v>Seguros e previdência privada</v>
      </c>
      <c r="E4138" s="4">
        <v>519.43019335999998</v>
      </c>
      <c r="F4138" s="4">
        <v>1448098.3401039999</v>
      </c>
    </row>
    <row r="4139" spans="1:6" x14ac:dyDescent="0.3">
      <c r="A4139" s="3" t="s">
        <v>27</v>
      </c>
      <c r="B4139" s="7" t="str">
        <f>VLOOKUP(VALUE(A4139), 'DICIONÁRIO UF'!$A:$B, 2, FALSE)</f>
        <v>Mato Grosso do Sul</v>
      </c>
      <c r="C4139" s="3">
        <v>66001</v>
      </c>
      <c r="D4139" s="5" t="str">
        <f>VLOOKUP(C4139, 'DICIONÁRIO CNAES'!$A:$B, 2, FALSE)</f>
        <v>Atividades auxiliares dos serviços financeiros</v>
      </c>
      <c r="E4139" s="4">
        <v>3075.51140992</v>
      </c>
      <c r="F4139" s="4">
        <v>20322437.529075999</v>
      </c>
    </row>
    <row r="4140" spans="1:6" x14ac:dyDescent="0.3">
      <c r="A4140" s="3" t="s">
        <v>27</v>
      </c>
      <c r="B4140" s="7" t="str">
        <f>VLOOKUP(VALUE(A4140), 'DICIONÁRIO UF'!$A:$B, 2, FALSE)</f>
        <v>Mato Grosso do Sul</v>
      </c>
      <c r="C4140" s="3">
        <v>66002</v>
      </c>
      <c r="D4140" s="5" t="str">
        <f>VLOOKUP(C4140, 'DICIONÁRIO CNAES'!$A:$B, 2, FALSE)</f>
        <v>Atividades auxiliares dos seguros, da previdência complementar e dos planos de saúde</v>
      </c>
      <c r="E4140" s="4">
        <v>1499.05317008</v>
      </c>
      <c r="F4140" s="4">
        <v>4863025.7648290005</v>
      </c>
    </row>
    <row r="4141" spans="1:6" x14ac:dyDescent="0.3">
      <c r="A4141" s="3" t="s">
        <v>27</v>
      </c>
      <c r="B4141" s="7" t="str">
        <f>VLOOKUP(VALUE(A4141), 'DICIONÁRIO UF'!$A:$B, 2, FALSE)</f>
        <v>Mato Grosso do Sul</v>
      </c>
      <c r="C4141" s="3">
        <v>68000</v>
      </c>
      <c r="D4141" s="5" t="str">
        <f>VLOOKUP(C4141, 'DICIONÁRIO CNAES'!$A:$B, 2, FALSE)</f>
        <v>Atividades imobiliárias</v>
      </c>
      <c r="E4141" s="4">
        <v>6176.0024846400001</v>
      </c>
      <c r="F4141" s="4">
        <v>27529039.939585999</v>
      </c>
    </row>
    <row r="4142" spans="1:6" x14ac:dyDescent="0.3">
      <c r="A4142" s="3" t="s">
        <v>27</v>
      </c>
      <c r="B4142" s="7" t="str">
        <f>VLOOKUP(VALUE(A4142), 'DICIONÁRIO UF'!$A:$B, 2, FALSE)</f>
        <v>Mato Grosso do Sul</v>
      </c>
      <c r="C4142" s="3">
        <v>69000</v>
      </c>
      <c r="D4142" s="5" t="str">
        <f>VLOOKUP(C4142, 'DICIONÁRIO CNAES'!$A:$B, 2, FALSE)</f>
        <v xml:space="preserve">Atividades jurídicas, de contabilidade e de auditoria </v>
      </c>
      <c r="E4142" s="4">
        <v>21887.691143510001</v>
      </c>
      <c r="F4142" s="4">
        <v>95544677.820488468</v>
      </c>
    </row>
    <row r="4143" spans="1:6" x14ac:dyDescent="0.3">
      <c r="A4143" s="3" t="s">
        <v>27</v>
      </c>
      <c r="B4143" s="7" t="str">
        <f>VLOOKUP(VALUE(A4143), 'DICIONÁRIO UF'!$A:$B, 2, FALSE)</f>
        <v>Mato Grosso do Sul</v>
      </c>
      <c r="C4143" s="3">
        <v>70000</v>
      </c>
      <c r="D4143" s="5" t="str">
        <f>VLOOKUP(C4143, 'DICIONÁRIO CNAES'!$A:$B, 2, FALSE)</f>
        <v>Atividades de consultoria em gestão empresarial</v>
      </c>
      <c r="E4143" s="4">
        <v>1038.3946931099999</v>
      </c>
      <c r="F4143" s="4">
        <v>3243801.4851576001</v>
      </c>
    </row>
    <row r="4144" spans="1:6" x14ac:dyDescent="0.3">
      <c r="A4144" s="3" t="s">
        <v>27</v>
      </c>
      <c r="B4144" s="7" t="str">
        <f>VLOOKUP(VALUE(A4144), 'DICIONÁRIO UF'!$A:$B, 2, FALSE)</f>
        <v>Mato Grosso do Sul</v>
      </c>
      <c r="C4144" s="3">
        <v>71000</v>
      </c>
      <c r="D4144" s="5" t="str">
        <f>VLOOKUP(C4144, 'DICIONÁRIO CNAES'!$A:$B, 2, FALSE)</f>
        <v>Serviços de arquitetura e engenharia e atividades técnicas relacionadas; Testes e análises técnicas</v>
      </c>
      <c r="E4144" s="4">
        <v>5785.7593367700001</v>
      </c>
      <c r="F4144" s="4">
        <v>22426757.505270001</v>
      </c>
    </row>
    <row r="4145" spans="1:6" x14ac:dyDescent="0.3">
      <c r="A4145" s="3" t="s">
        <v>27</v>
      </c>
      <c r="B4145" s="7" t="str">
        <f>VLOOKUP(VALUE(A4145), 'DICIONÁRIO UF'!$A:$B, 2, FALSE)</f>
        <v>Mato Grosso do Sul</v>
      </c>
      <c r="C4145" s="3">
        <v>72000</v>
      </c>
      <c r="D4145" s="5" t="str">
        <f>VLOOKUP(C4145, 'DICIONÁRIO CNAES'!$A:$B, 2, FALSE)</f>
        <v>Pesquisa e desenvolvimento científico</v>
      </c>
      <c r="E4145" s="4">
        <v>506.39834007000002</v>
      </c>
      <c r="F4145" s="4">
        <v>2177512.8623009999</v>
      </c>
    </row>
    <row r="4146" spans="1:6" x14ac:dyDescent="0.3">
      <c r="A4146" s="3" t="s">
        <v>27</v>
      </c>
      <c r="B4146" s="7" t="str">
        <f>VLOOKUP(VALUE(A4146), 'DICIONÁRIO UF'!$A:$B, 2, FALSE)</f>
        <v>Mato Grosso do Sul</v>
      </c>
      <c r="C4146" s="3">
        <v>73010</v>
      </c>
      <c r="D4146" s="5" t="str">
        <f>VLOOKUP(C4146, 'DICIONÁRIO CNAES'!$A:$B, 2, FALSE)</f>
        <v>Publicidade</v>
      </c>
      <c r="E4146" s="4">
        <v>5036.9387417899998</v>
      </c>
      <c r="F4146" s="4">
        <v>12168725.391481001</v>
      </c>
    </row>
    <row r="4147" spans="1:6" x14ac:dyDescent="0.3">
      <c r="A4147" s="3" t="s">
        <v>27</v>
      </c>
      <c r="B4147" s="7" t="str">
        <f>VLOOKUP(VALUE(A4147), 'DICIONÁRIO UF'!$A:$B, 2, FALSE)</f>
        <v>Mato Grosso do Sul</v>
      </c>
      <c r="C4147" s="3">
        <v>74000</v>
      </c>
      <c r="D4147" s="5" t="str">
        <f>VLOOKUP(C4147, 'DICIONÁRIO CNAES'!$A:$B, 2, FALSE)</f>
        <v>Outras atividades profissionais, científicas e técnicas não especificadas anteriormente</v>
      </c>
      <c r="E4147" s="4">
        <v>3040.0032252400001</v>
      </c>
      <c r="F4147" s="4">
        <v>10310775.095471</v>
      </c>
    </row>
    <row r="4148" spans="1:6" x14ac:dyDescent="0.3">
      <c r="A4148" s="3" t="s">
        <v>27</v>
      </c>
      <c r="B4148" s="7" t="str">
        <f>VLOOKUP(VALUE(A4148), 'DICIONÁRIO UF'!$A:$B, 2, FALSE)</f>
        <v>Mato Grosso do Sul</v>
      </c>
      <c r="C4148" s="3">
        <v>75000</v>
      </c>
      <c r="D4148" s="5" t="str">
        <f>VLOOKUP(C4148, 'DICIONÁRIO CNAES'!$A:$B, 2, FALSE)</f>
        <v>Atividades veterinárias</v>
      </c>
      <c r="E4148" s="4">
        <v>3330.17489922</v>
      </c>
      <c r="F4148" s="4">
        <v>13814271.798312999</v>
      </c>
    </row>
    <row r="4149" spans="1:6" x14ac:dyDescent="0.3">
      <c r="A4149" s="3" t="s">
        <v>27</v>
      </c>
      <c r="B4149" s="7" t="str">
        <f>VLOOKUP(VALUE(A4149), 'DICIONÁRIO UF'!$A:$B, 2, FALSE)</f>
        <v>Mato Grosso do Sul</v>
      </c>
      <c r="C4149" s="3">
        <v>77020</v>
      </c>
      <c r="D4149" s="5" t="str">
        <f>VLOOKUP(C4149, 'DICIONÁRIO CNAES'!$A:$B, 2, FALSE)</f>
        <v>Aluguel de meios de transportes, maquinas e equipamentos sem operador e gestão de ativos intangíveis não financeiros</v>
      </c>
      <c r="E4149" s="4">
        <v>1344.61890935</v>
      </c>
      <c r="F4149" s="4">
        <v>6739456.151265</v>
      </c>
    </row>
    <row r="4150" spans="1:6" x14ac:dyDescent="0.3">
      <c r="A4150" s="3" t="s">
        <v>27</v>
      </c>
      <c r="B4150" s="7" t="str">
        <f>VLOOKUP(VALUE(A4150), 'DICIONÁRIO UF'!$A:$B, 2, FALSE)</f>
        <v>Mato Grosso do Sul</v>
      </c>
      <c r="C4150" s="3">
        <v>78000</v>
      </c>
      <c r="D4150" s="5" t="str">
        <f>VLOOKUP(C4150, 'DICIONÁRIO CNAES'!$A:$B, 2, FALSE)</f>
        <v>Seleção, agenciamento e locação de mão-de-obra</v>
      </c>
      <c r="E4150" s="4">
        <v>7771.8429940799997</v>
      </c>
      <c r="F4150" s="4">
        <v>18861425.317712601</v>
      </c>
    </row>
    <row r="4151" spans="1:6" x14ac:dyDescent="0.3">
      <c r="A4151" s="3" t="s">
        <v>27</v>
      </c>
      <c r="B4151" s="7" t="str">
        <f>VLOOKUP(VALUE(A4151), 'DICIONÁRIO UF'!$A:$B, 2, FALSE)</f>
        <v>Mato Grosso do Sul</v>
      </c>
      <c r="C4151" s="3">
        <v>79000</v>
      </c>
      <c r="D4151" s="5" t="str">
        <f>VLOOKUP(C4151, 'DICIONÁRIO CNAES'!$A:$B, 2, FALSE)</f>
        <v>Agências de viagens, operadores turísticos e serviços de reservas</v>
      </c>
      <c r="E4151" s="4">
        <v>3752.86822325</v>
      </c>
      <c r="F4151" s="4">
        <v>9785376.7092039995</v>
      </c>
    </row>
    <row r="4152" spans="1:6" x14ac:dyDescent="0.3">
      <c r="A4152" s="3" t="s">
        <v>27</v>
      </c>
      <c r="B4152" s="7" t="str">
        <f>VLOOKUP(VALUE(A4152), 'DICIONÁRIO UF'!$A:$B, 2, FALSE)</f>
        <v>Mato Grosso do Sul</v>
      </c>
      <c r="C4152" s="3">
        <v>80000</v>
      </c>
      <c r="D4152" s="5" t="str">
        <f>VLOOKUP(C4152, 'DICIONÁRIO CNAES'!$A:$B, 2, FALSE)</f>
        <v>Atividades de vigilância, segurança, transporte de valores e investigação</v>
      </c>
      <c r="E4152" s="4">
        <v>4569.4852254300004</v>
      </c>
      <c r="F4152" s="4">
        <v>9404585.5585279595</v>
      </c>
    </row>
    <row r="4153" spans="1:6" x14ac:dyDescent="0.3">
      <c r="A4153" s="3" t="s">
        <v>27</v>
      </c>
      <c r="B4153" s="7" t="str">
        <f>VLOOKUP(VALUE(A4153), 'DICIONÁRIO UF'!$A:$B, 2, FALSE)</f>
        <v>Mato Grosso do Sul</v>
      </c>
      <c r="C4153" s="3">
        <v>81011</v>
      </c>
      <c r="D4153" s="5" t="str">
        <f>VLOOKUP(C4153, 'DICIONÁRIO CNAES'!$A:$B, 2, FALSE)</f>
        <v>Serviços de limpeza e de apoio a edifícios, exceto condomínios prediais</v>
      </c>
      <c r="E4153" s="4">
        <v>12997.66290931</v>
      </c>
      <c r="F4153" s="4">
        <v>17829538.4172864</v>
      </c>
    </row>
    <row r="4154" spans="1:6" x14ac:dyDescent="0.3">
      <c r="A4154" s="3" t="s">
        <v>27</v>
      </c>
      <c r="B4154" s="7" t="str">
        <f>VLOOKUP(VALUE(A4154), 'DICIONÁRIO UF'!$A:$B, 2, FALSE)</f>
        <v>Mato Grosso do Sul</v>
      </c>
      <c r="C4154" s="3">
        <v>81012</v>
      </c>
      <c r="D4154" s="5" t="str">
        <f>VLOOKUP(C4154, 'DICIONÁRIO CNAES'!$A:$B, 2, FALSE)</f>
        <v>Condomínios prediais</v>
      </c>
      <c r="E4154" s="4">
        <v>2272.98127015</v>
      </c>
      <c r="F4154" s="4">
        <v>3446292.2194635002</v>
      </c>
    </row>
    <row r="4155" spans="1:6" x14ac:dyDescent="0.3">
      <c r="A4155" s="3" t="s">
        <v>27</v>
      </c>
      <c r="B4155" s="7" t="str">
        <f>VLOOKUP(VALUE(A4155), 'DICIONÁRIO UF'!$A:$B, 2, FALSE)</f>
        <v>Mato Grosso do Sul</v>
      </c>
      <c r="C4155" s="3">
        <v>81020</v>
      </c>
      <c r="D4155" s="5" t="str">
        <f>VLOOKUP(C4155, 'DICIONÁRIO CNAES'!$A:$B, 2, FALSE)</f>
        <v>Atividades paisagísticas</v>
      </c>
      <c r="E4155" s="4">
        <v>2173.2302626699998</v>
      </c>
      <c r="F4155" s="4">
        <v>5739519.8130219998</v>
      </c>
    </row>
    <row r="4156" spans="1:6" x14ac:dyDescent="0.3">
      <c r="A4156" s="3" t="s">
        <v>27</v>
      </c>
      <c r="B4156" s="7" t="str">
        <f>VLOOKUP(VALUE(A4156), 'DICIONÁRIO UF'!$A:$B, 2, FALSE)</f>
        <v>Mato Grosso do Sul</v>
      </c>
      <c r="C4156" s="3">
        <v>82001</v>
      </c>
      <c r="D4156" s="5" t="str">
        <f>VLOOKUP(C4156, 'DICIONÁRIO CNAES'!$A:$B, 2, FALSE)</f>
        <v>Serviços de escritório e apoio administrativo</v>
      </c>
      <c r="E4156" s="4">
        <v>225.98483490999999</v>
      </c>
      <c r="F4156" s="4">
        <v>903939.3396399999</v>
      </c>
    </row>
    <row r="4157" spans="1:6" x14ac:dyDescent="0.3">
      <c r="A4157" s="3" t="s">
        <v>27</v>
      </c>
      <c r="B4157" s="7" t="str">
        <f>VLOOKUP(VALUE(A4157), 'DICIONÁRIO UF'!$A:$B, 2, FALSE)</f>
        <v>Mato Grosso do Sul</v>
      </c>
      <c r="C4157" s="3">
        <v>82002</v>
      </c>
      <c r="D4157" s="5" t="str">
        <f>VLOOKUP(C4157, 'DICIONÁRIO CNAES'!$A:$B, 2, FALSE)</f>
        <v>Atividades de teleatendimento</v>
      </c>
      <c r="E4157" s="4">
        <v>3761.5718465499999</v>
      </c>
      <c r="F4157" s="4">
        <v>4936184.4155519996</v>
      </c>
    </row>
    <row r="4158" spans="1:6" x14ac:dyDescent="0.3">
      <c r="A4158" s="3" t="s">
        <v>27</v>
      </c>
      <c r="B4158" s="7" t="str">
        <f>VLOOKUP(VALUE(A4158), 'DICIONÁRIO UF'!$A:$B, 2, FALSE)</f>
        <v>Mato Grosso do Sul</v>
      </c>
      <c r="C4158" s="3">
        <v>82003</v>
      </c>
      <c r="D4158" s="5" t="str">
        <f>VLOOKUP(C4158, 'DICIONÁRIO CNAES'!$A:$B, 2, FALSE)</f>
        <v>Atividades de organização de eventos, exceto culturais e esportivos</v>
      </c>
      <c r="E4158" s="4">
        <v>312.91297373999998</v>
      </c>
      <c r="F4158" s="4">
        <v>938738.9212199999</v>
      </c>
    </row>
    <row r="4159" spans="1:6" x14ac:dyDescent="0.3">
      <c r="A4159" s="3" t="s">
        <v>27</v>
      </c>
      <c r="B4159" s="7" t="str">
        <f>VLOOKUP(VALUE(A4159), 'DICIONÁRIO UF'!$A:$B, 2, FALSE)</f>
        <v>Mato Grosso do Sul</v>
      </c>
      <c r="C4159" s="3">
        <v>82009</v>
      </c>
      <c r="D4159" s="5" t="str">
        <f>VLOOKUP(C4159, 'DICIONÁRIO CNAES'!$A:$B, 2, FALSE)</f>
        <v>Outras atividades de serviços prestados principalmente às empresas</v>
      </c>
      <c r="E4159" s="4">
        <v>3724.1306084900002</v>
      </c>
      <c r="F4159" s="4">
        <v>6987089.8872254603</v>
      </c>
    </row>
    <row r="4160" spans="1:6" x14ac:dyDescent="0.3">
      <c r="A4160" s="3" t="s">
        <v>27</v>
      </c>
      <c r="B4160" s="7" t="str">
        <f>VLOOKUP(VALUE(A4160), 'DICIONÁRIO UF'!$A:$B, 2, FALSE)</f>
        <v>Mato Grosso do Sul</v>
      </c>
      <c r="C4160" s="3">
        <v>84011</v>
      </c>
      <c r="D4160" s="5" t="str">
        <f>VLOOKUP(C4160, 'DICIONÁRIO CNAES'!$A:$B, 2, FALSE)</f>
        <v>Administração publica e regulação da política econômica e social - Federal</v>
      </c>
      <c r="E4160" s="4">
        <v>5205.5562886600001</v>
      </c>
      <c r="F4160" s="4">
        <v>38830639.098245002</v>
      </c>
    </row>
    <row r="4161" spans="1:6" x14ac:dyDescent="0.3">
      <c r="A4161" s="3" t="s">
        <v>27</v>
      </c>
      <c r="B4161" s="7" t="str">
        <f>VLOOKUP(VALUE(A4161), 'DICIONÁRIO UF'!$A:$B, 2, FALSE)</f>
        <v>Mato Grosso do Sul</v>
      </c>
      <c r="C4161" s="3">
        <v>84012</v>
      </c>
      <c r="D4161" s="5" t="str">
        <f>VLOOKUP(C4161, 'DICIONÁRIO CNAES'!$A:$B, 2, FALSE)</f>
        <v>Administração publica e regulação da política econômica e social - Estadual</v>
      </c>
      <c r="E4161" s="4">
        <v>7638.2086618200001</v>
      </c>
      <c r="F4161" s="4">
        <v>58952389.868813507</v>
      </c>
    </row>
    <row r="4162" spans="1:6" x14ac:dyDescent="0.3">
      <c r="A4162" s="3" t="s">
        <v>27</v>
      </c>
      <c r="B4162" s="7" t="str">
        <f>VLOOKUP(VALUE(A4162), 'DICIONÁRIO UF'!$A:$B, 2, FALSE)</f>
        <v>Mato Grosso do Sul</v>
      </c>
      <c r="C4162" s="3">
        <v>84013</v>
      </c>
      <c r="D4162" s="5" t="str">
        <f>VLOOKUP(C4162, 'DICIONÁRIO CNAES'!$A:$B, 2, FALSE)</f>
        <v>Administração publica e regulação da política econômica e social - Municipal</v>
      </c>
      <c r="E4162" s="4">
        <v>40774.177680699999</v>
      </c>
      <c r="F4162" s="4">
        <v>120773242.5677747</v>
      </c>
    </row>
    <row r="4163" spans="1:6" x14ac:dyDescent="0.3">
      <c r="A4163" s="3" t="s">
        <v>27</v>
      </c>
      <c r="B4163" s="7" t="str">
        <f>VLOOKUP(VALUE(A4163), 'DICIONÁRIO UF'!$A:$B, 2, FALSE)</f>
        <v>Mato Grosso do Sul</v>
      </c>
      <c r="C4163" s="3">
        <v>84014</v>
      </c>
      <c r="D4163" s="5" t="str">
        <f>VLOOKUP(C4163, 'DICIONÁRIO CNAES'!$A:$B, 2, FALSE)</f>
        <v>Defesa</v>
      </c>
      <c r="E4163" s="4">
        <v>11247.315492490001</v>
      </c>
      <c r="F4163" s="4">
        <v>56229072.471053131</v>
      </c>
    </row>
    <row r="4164" spans="1:6" x14ac:dyDescent="0.3">
      <c r="A4164" s="3" t="s">
        <v>27</v>
      </c>
      <c r="B4164" s="7" t="str">
        <f>VLOOKUP(VALUE(A4164), 'DICIONÁRIO UF'!$A:$B, 2, FALSE)</f>
        <v>Mato Grosso do Sul</v>
      </c>
      <c r="C4164" s="3">
        <v>84015</v>
      </c>
      <c r="D4164" s="5" t="str">
        <f>VLOOKUP(C4164, 'DICIONÁRIO CNAES'!$A:$B, 2, FALSE)</f>
        <v>Outros serviços coletivos prestados pela administração pública - Federal</v>
      </c>
      <c r="E4164" s="4">
        <v>1581.84408201</v>
      </c>
      <c r="F4164" s="4">
        <v>11498857.759838</v>
      </c>
    </row>
    <row r="4165" spans="1:6" x14ac:dyDescent="0.3">
      <c r="A4165" s="3" t="s">
        <v>27</v>
      </c>
      <c r="B4165" s="7" t="str">
        <f>VLOOKUP(VALUE(A4165), 'DICIONÁRIO UF'!$A:$B, 2, FALSE)</f>
        <v>Mato Grosso do Sul</v>
      </c>
      <c r="C4165" s="3">
        <v>84016</v>
      </c>
      <c r="D4165" s="5" t="str">
        <f>VLOOKUP(C4165, 'DICIONÁRIO CNAES'!$A:$B, 2, FALSE)</f>
        <v>Outros serviços coletivos prestados pela administração pública - Estadual</v>
      </c>
      <c r="E4165" s="4">
        <v>23021.538061089999</v>
      </c>
      <c r="F4165" s="4">
        <v>179863577.44604301</v>
      </c>
    </row>
    <row r="4166" spans="1:6" x14ac:dyDescent="0.3">
      <c r="A4166" s="3" t="s">
        <v>27</v>
      </c>
      <c r="B4166" s="7" t="str">
        <f>VLOOKUP(VALUE(A4166), 'DICIONÁRIO UF'!$A:$B, 2, FALSE)</f>
        <v>Mato Grosso do Sul</v>
      </c>
      <c r="C4166" s="3">
        <v>84017</v>
      </c>
      <c r="D4166" s="5" t="str">
        <f>VLOOKUP(C4166, 'DICIONÁRIO CNAES'!$A:$B, 2, FALSE)</f>
        <v>Outros serviços coletivos prestados pela administração pública - Municipal</v>
      </c>
      <c r="E4166" s="4">
        <v>1465.93802329</v>
      </c>
      <c r="F4166" s="4">
        <v>3182194.7368430002</v>
      </c>
    </row>
    <row r="4167" spans="1:6" x14ac:dyDescent="0.3">
      <c r="A4167" s="3" t="s">
        <v>27</v>
      </c>
      <c r="B4167" s="7" t="str">
        <f>VLOOKUP(VALUE(A4167), 'DICIONÁRIO UF'!$A:$B, 2, FALSE)</f>
        <v>Mato Grosso do Sul</v>
      </c>
      <c r="C4167" s="3">
        <v>84020</v>
      </c>
      <c r="D4167" s="5" t="str">
        <f>VLOOKUP(C4167, 'DICIONÁRIO CNAES'!$A:$B, 2, FALSE)</f>
        <v>Seguridade social obrigatória</v>
      </c>
      <c r="E4167" s="4">
        <v>767.87612554999998</v>
      </c>
      <c r="F4167" s="4">
        <v>3311709.4158040001</v>
      </c>
    </row>
    <row r="4168" spans="1:6" x14ac:dyDescent="0.3">
      <c r="A4168" s="3" t="s">
        <v>27</v>
      </c>
      <c r="B4168" s="7" t="str">
        <f>VLOOKUP(VALUE(A4168), 'DICIONÁRIO UF'!$A:$B, 2, FALSE)</f>
        <v>Mato Grosso do Sul</v>
      </c>
      <c r="C4168" s="3">
        <v>85011</v>
      </c>
      <c r="D4168" s="5" t="str">
        <f>VLOOKUP(C4168, 'DICIONÁRIO CNAES'!$A:$B, 2, FALSE)</f>
        <v>Creche</v>
      </c>
      <c r="E4168" s="4">
        <v>5174.2581911899997</v>
      </c>
      <c r="F4168" s="4">
        <v>11541676.158775641</v>
      </c>
    </row>
    <row r="4169" spans="1:6" x14ac:dyDescent="0.3">
      <c r="A4169" s="3" t="s">
        <v>27</v>
      </c>
      <c r="B4169" s="7" t="str">
        <f>VLOOKUP(VALUE(A4169), 'DICIONÁRIO UF'!$A:$B, 2, FALSE)</f>
        <v>Mato Grosso do Sul</v>
      </c>
      <c r="C4169" s="3">
        <v>85012</v>
      </c>
      <c r="D4169" s="5" t="str">
        <f>VLOOKUP(C4169, 'DICIONÁRIO CNAES'!$A:$B, 2, FALSE)</f>
        <v>Pré-escola e ensino fundamental</v>
      </c>
      <c r="E4169" s="4">
        <v>45033.104530919998</v>
      </c>
      <c r="F4169" s="4">
        <v>140727300.68660271</v>
      </c>
    </row>
    <row r="4170" spans="1:6" x14ac:dyDescent="0.3">
      <c r="A4170" s="3" t="s">
        <v>27</v>
      </c>
      <c r="B4170" s="7" t="str">
        <f>VLOOKUP(VALUE(A4170), 'DICIONÁRIO UF'!$A:$B, 2, FALSE)</f>
        <v>Mato Grosso do Sul</v>
      </c>
      <c r="C4170" s="3">
        <v>85013</v>
      </c>
      <c r="D4170" s="5" t="str">
        <f>VLOOKUP(C4170, 'DICIONÁRIO CNAES'!$A:$B, 2, FALSE)</f>
        <v>Ensino médio</v>
      </c>
      <c r="E4170" s="4">
        <v>19133.00355922</v>
      </c>
      <c r="F4170" s="4">
        <v>81477225.419994265</v>
      </c>
    </row>
    <row r="4171" spans="1:6" x14ac:dyDescent="0.3">
      <c r="A4171" s="3" t="s">
        <v>27</v>
      </c>
      <c r="B4171" s="7" t="str">
        <f>VLOOKUP(VALUE(A4171), 'DICIONÁRIO UF'!$A:$B, 2, FALSE)</f>
        <v>Mato Grosso do Sul</v>
      </c>
      <c r="C4171" s="3">
        <v>85014</v>
      </c>
      <c r="D4171" s="5" t="str">
        <f>VLOOKUP(C4171, 'DICIONÁRIO CNAES'!$A:$B, 2, FALSE)</f>
        <v>Educação superior</v>
      </c>
      <c r="E4171" s="4">
        <v>10856.777124169999</v>
      </c>
      <c r="F4171" s="4">
        <v>63349061.427280329</v>
      </c>
    </row>
    <row r="4172" spans="1:6" x14ac:dyDescent="0.3">
      <c r="A4172" s="3" t="s">
        <v>27</v>
      </c>
      <c r="B4172" s="7" t="str">
        <f>VLOOKUP(VALUE(A4172), 'DICIONÁRIO UF'!$A:$B, 2, FALSE)</f>
        <v>Mato Grosso do Sul</v>
      </c>
      <c r="C4172" s="3">
        <v>85029</v>
      </c>
      <c r="D4172" s="5" t="str">
        <f>VLOOKUP(C4172, 'DICIONÁRIO CNAES'!$A:$B, 2, FALSE)</f>
        <v>Outras atividades de ensino</v>
      </c>
      <c r="E4172" s="4">
        <v>6143.2096091499998</v>
      </c>
      <c r="F4172" s="4">
        <v>12121390.546103761</v>
      </c>
    </row>
    <row r="4173" spans="1:6" x14ac:dyDescent="0.3">
      <c r="A4173" s="3" t="s">
        <v>27</v>
      </c>
      <c r="B4173" s="7" t="str">
        <f>VLOOKUP(VALUE(A4173), 'DICIONÁRIO UF'!$A:$B, 2, FALSE)</f>
        <v>Mato Grosso do Sul</v>
      </c>
      <c r="C4173" s="3">
        <v>86001</v>
      </c>
      <c r="D4173" s="5" t="str">
        <f>VLOOKUP(C4173, 'DICIONÁRIO CNAES'!$A:$B, 2, FALSE)</f>
        <v>Atividades de atendimento hospitalar</v>
      </c>
      <c r="E4173" s="4">
        <v>21394.376367749999</v>
      </c>
      <c r="F4173" s="4">
        <v>85447863.614928082</v>
      </c>
    </row>
    <row r="4174" spans="1:6" x14ac:dyDescent="0.3">
      <c r="A4174" s="3" t="s">
        <v>27</v>
      </c>
      <c r="B4174" s="7" t="str">
        <f>VLOOKUP(VALUE(A4174), 'DICIONÁRIO UF'!$A:$B, 2, FALSE)</f>
        <v>Mato Grosso do Sul</v>
      </c>
      <c r="C4174" s="3">
        <v>86002</v>
      </c>
      <c r="D4174" s="5" t="str">
        <f>VLOOKUP(C4174, 'DICIONÁRIO CNAES'!$A:$B, 2, FALSE)</f>
        <v>Atividades de atenção ambulatorial executadas por médicos e odontólogos</v>
      </c>
      <c r="E4174" s="4">
        <v>27552.05679441</v>
      </c>
      <c r="F4174" s="4">
        <v>88821457.372170165</v>
      </c>
    </row>
    <row r="4175" spans="1:6" x14ac:dyDescent="0.3">
      <c r="A4175" s="3" t="s">
        <v>27</v>
      </c>
      <c r="B4175" s="7" t="str">
        <f>VLOOKUP(VALUE(A4175), 'DICIONÁRIO UF'!$A:$B, 2, FALSE)</f>
        <v>Mato Grosso do Sul</v>
      </c>
      <c r="C4175" s="3">
        <v>86003</v>
      </c>
      <c r="D4175" s="5" t="str">
        <f>VLOOKUP(C4175, 'DICIONÁRIO CNAES'!$A:$B, 2, FALSE)</f>
        <v>Atividades de serviços de complementação diagnóstica e terapêutica</v>
      </c>
      <c r="E4175" s="4">
        <v>3289.8005022100001</v>
      </c>
      <c r="F4175" s="4">
        <v>10563702.585665001</v>
      </c>
    </row>
    <row r="4176" spans="1:6" x14ac:dyDescent="0.3">
      <c r="A4176" s="3" t="s">
        <v>27</v>
      </c>
      <c r="B4176" s="7" t="str">
        <f>VLOOKUP(VALUE(A4176), 'DICIONÁRIO UF'!$A:$B, 2, FALSE)</f>
        <v>Mato Grosso do Sul</v>
      </c>
      <c r="C4176" s="3">
        <v>86004</v>
      </c>
      <c r="D4176" s="5" t="str">
        <f>VLOOKUP(C4176, 'DICIONÁRIO CNAES'!$A:$B, 2, FALSE)</f>
        <v>Atividades de profissionais da área de saúde, exceto médicos e odontólogos</v>
      </c>
      <c r="E4176" s="4">
        <v>5284.3020550499996</v>
      </c>
      <c r="F4176" s="4">
        <v>20796713.0420544</v>
      </c>
    </row>
    <row r="4177" spans="1:6" x14ac:dyDescent="0.3">
      <c r="A4177" s="3" t="s">
        <v>27</v>
      </c>
      <c r="B4177" s="7" t="str">
        <f>VLOOKUP(VALUE(A4177), 'DICIONÁRIO UF'!$A:$B, 2, FALSE)</f>
        <v>Mato Grosso do Sul</v>
      </c>
      <c r="C4177" s="3">
        <v>86009</v>
      </c>
      <c r="D4177" s="5" t="str">
        <f>VLOOKUP(C4177, 'DICIONÁRIO CNAES'!$A:$B, 2, FALSE)</f>
        <v>Atividades de atenção à saúde humana não especificadas anteriormente</v>
      </c>
      <c r="E4177" s="4">
        <v>1223.3150303</v>
      </c>
      <c r="F4177" s="4">
        <v>1259505.961905</v>
      </c>
    </row>
    <row r="4178" spans="1:6" x14ac:dyDescent="0.3">
      <c r="A4178" s="3" t="s">
        <v>27</v>
      </c>
      <c r="B4178" s="7" t="str">
        <f>VLOOKUP(VALUE(A4178), 'DICIONÁRIO UF'!$A:$B, 2, FALSE)</f>
        <v>Mato Grosso do Sul</v>
      </c>
      <c r="C4178" s="3">
        <v>87000</v>
      </c>
      <c r="D4178" s="5" t="str">
        <f>VLOOKUP(C4178, 'DICIONÁRIO CNAES'!$A:$B, 2, FALSE)</f>
        <v>Atividades de assistência à saude humana integradas com assistencia social, inclusive prestadas em residencias</v>
      </c>
      <c r="E4178" s="4">
        <v>2940.90410922</v>
      </c>
      <c r="F4178" s="4">
        <v>6488348.3263772</v>
      </c>
    </row>
    <row r="4179" spans="1:6" x14ac:dyDescent="0.3">
      <c r="A4179" s="3" t="s">
        <v>27</v>
      </c>
      <c r="B4179" s="7" t="str">
        <f>VLOOKUP(VALUE(A4179), 'DICIONÁRIO UF'!$A:$B, 2, FALSE)</f>
        <v>Mato Grosso do Sul</v>
      </c>
      <c r="C4179" s="3">
        <v>88000</v>
      </c>
      <c r="D4179" s="5" t="str">
        <f>VLOOKUP(C4179, 'DICIONÁRIO CNAES'!$A:$B, 2, FALSE)</f>
        <v>Serviços de assistência social sem alojamento</v>
      </c>
      <c r="E4179" s="4">
        <v>1924.5426652799999</v>
      </c>
      <c r="F4179" s="4">
        <v>6662342.8034774996</v>
      </c>
    </row>
    <row r="4180" spans="1:6" x14ac:dyDescent="0.3">
      <c r="A4180" s="3" t="s">
        <v>27</v>
      </c>
      <c r="B4180" s="7" t="str">
        <f>VLOOKUP(VALUE(A4180), 'DICIONÁRIO UF'!$A:$B, 2, FALSE)</f>
        <v>Mato Grosso do Sul</v>
      </c>
      <c r="C4180" s="3">
        <v>90000</v>
      </c>
      <c r="D4180" s="5" t="str">
        <f>VLOOKUP(C4180, 'DICIONÁRIO CNAES'!$A:$B, 2, FALSE)</f>
        <v>Atividades artísticas, criativas e de espetáculos</v>
      </c>
      <c r="E4180" s="4">
        <v>2748.3471120300001</v>
      </c>
      <c r="F4180" s="4">
        <v>8202441.0092179999</v>
      </c>
    </row>
    <row r="4181" spans="1:6" x14ac:dyDescent="0.3">
      <c r="A4181" s="3" t="s">
        <v>27</v>
      </c>
      <c r="B4181" s="7" t="str">
        <f>VLOOKUP(VALUE(A4181), 'DICIONÁRIO UF'!$A:$B, 2, FALSE)</f>
        <v>Mato Grosso do Sul</v>
      </c>
      <c r="C4181" s="3">
        <v>92000</v>
      </c>
      <c r="D4181" s="5" t="str">
        <f>VLOOKUP(C4181, 'DICIONÁRIO CNAES'!$A:$B, 2, FALSE)</f>
        <v>Atividades de exploração de jogos de azar e apostas</v>
      </c>
      <c r="E4181" s="4">
        <v>488.22581333000011</v>
      </c>
      <c r="F4181" s="4">
        <v>1044990.402104</v>
      </c>
    </row>
    <row r="4182" spans="1:6" x14ac:dyDescent="0.3">
      <c r="A4182" s="3" t="s">
        <v>27</v>
      </c>
      <c r="B4182" s="7" t="str">
        <f>VLOOKUP(VALUE(A4182), 'DICIONÁRIO UF'!$A:$B, 2, FALSE)</f>
        <v>Mato Grosso do Sul</v>
      </c>
      <c r="C4182" s="3">
        <v>93011</v>
      </c>
      <c r="D4182" s="5" t="str">
        <f>VLOOKUP(C4182, 'DICIONÁRIO CNAES'!$A:$B, 2, FALSE)</f>
        <v>Atividades esportivas</v>
      </c>
      <c r="E4182" s="4">
        <v>4601.68184449</v>
      </c>
      <c r="F4182" s="4">
        <v>9588834.7289729994</v>
      </c>
    </row>
    <row r="4183" spans="1:6" x14ac:dyDescent="0.3">
      <c r="A4183" s="3" t="s">
        <v>27</v>
      </c>
      <c r="B4183" s="7" t="str">
        <f>VLOOKUP(VALUE(A4183), 'DICIONÁRIO UF'!$A:$B, 2, FALSE)</f>
        <v>Mato Grosso do Sul</v>
      </c>
      <c r="C4183" s="3">
        <v>93012</v>
      </c>
      <c r="D4183" s="5" t="str">
        <f>VLOOKUP(C4183, 'DICIONÁRIO CNAES'!$A:$B, 2, FALSE)</f>
        <v>Atividades de condicionamento físico</v>
      </c>
      <c r="E4183" s="4">
        <v>3589.45399034</v>
      </c>
      <c r="F4183" s="4">
        <v>6892465.9727574997</v>
      </c>
    </row>
    <row r="4184" spans="1:6" x14ac:dyDescent="0.3">
      <c r="A4184" s="3" t="s">
        <v>27</v>
      </c>
      <c r="B4184" s="7" t="str">
        <f>VLOOKUP(VALUE(A4184), 'DICIONÁRIO UF'!$A:$B, 2, FALSE)</f>
        <v>Mato Grosso do Sul</v>
      </c>
      <c r="C4184" s="3">
        <v>93020</v>
      </c>
      <c r="D4184" s="5" t="str">
        <f>VLOOKUP(C4184, 'DICIONÁRIO CNAES'!$A:$B, 2, FALSE)</f>
        <v>Atividades de recreação e lazer</v>
      </c>
      <c r="E4184" s="4">
        <v>141.63810100000001</v>
      </c>
      <c r="F4184" s="4">
        <v>198293.3414</v>
      </c>
    </row>
    <row r="4185" spans="1:6" x14ac:dyDescent="0.3">
      <c r="A4185" s="3" t="s">
        <v>27</v>
      </c>
      <c r="B4185" s="7" t="str">
        <f>VLOOKUP(VALUE(A4185), 'DICIONÁRIO UF'!$A:$B, 2, FALSE)</f>
        <v>Mato Grosso do Sul</v>
      </c>
      <c r="C4185" s="3">
        <v>94010</v>
      </c>
      <c r="D4185" s="5" t="str">
        <f>VLOOKUP(C4185, 'DICIONÁRIO CNAES'!$A:$B, 2, FALSE)</f>
        <v>Atividades de organizações associativas patronais, empresariais e profissionais</v>
      </c>
      <c r="E4185" s="4">
        <v>1952.7375457400001</v>
      </c>
      <c r="F4185" s="4">
        <v>4224926.7150538601</v>
      </c>
    </row>
    <row r="4186" spans="1:6" x14ac:dyDescent="0.3">
      <c r="A4186" s="3" t="s">
        <v>27</v>
      </c>
      <c r="B4186" s="7" t="str">
        <f>VLOOKUP(VALUE(A4186), 'DICIONÁRIO UF'!$A:$B, 2, FALSE)</f>
        <v>Mato Grosso do Sul</v>
      </c>
      <c r="C4186" s="3">
        <v>94020</v>
      </c>
      <c r="D4186" s="5" t="str">
        <f>VLOOKUP(C4186, 'DICIONÁRIO CNAES'!$A:$B, 2, FALSE)</f>
        <v>Atividades de organizações sindicais</v>
      </c>
      <c r="E4186" s="4">
        <v>582.54544944999998</v>
      </c>
      <c r="F4186" s="4">
        <v>1240396.25235736</v>
      </c>
    </row>
    <row r="4187" spans="1:6" x14ac:dyDescent="0.3">
      <c r="A4187" s="3" t="s">
        <v>27</v>
      </c>
      <c r="B4187" s="7" t="str">
        <f>VLOOKUP(VALUE(A4187), 'DICIONÁRIO UF'!$A:$B, 2, FALSE)</f>
        <v>Mato Grosso do Sul</v>
      </c>
      <c r="C4187" s="3">
        <v>94091</v>
      </c>
      <c r="D4187" s="5" t="str">
        <f>VLOOKUP(C4187, 'DICIONÁRIO CNAES'!$A:$B, 2, FALSE)</f>
        <v>Atividades de organizações religiosas e filosóficas</v>
      </c>
      <c r="E4187" s="4">
        <v>4213.3597676099998</v>
      </c>
      <c r="F4187" s="4">
        <v>10594504.046876</v>
      </c>
    </row>
    <row r="4188" spans="1:6" x14ac:dyDescent="0.3">
      <c r="A4188" s="3" t="s">
        <v>27</v>
      </c>
      <c r="B4188" s="7" t="str">
        <f>VLOOKUP(VALUE(A4188), 'DICIONÁRIO UF'!$A:$B, 2, FALSE)</f>
        <v>Mato Grosso do Sul</v>
      </c>
      <c r="C4188" s="3">
        <v>94099</v>
      </c>
      <c r="D4188" s="5" t="str">
        <f>VLOOKUP(C4188, 'DICIONÁRIO CNAES'!$A:$B, 2, FALSE)</f>
        <v xml:space="preserve">Outras atividades associativas não especificadas anteriormente </v>
      </c>
      <c r="E4188" s="4">
        <v>949.21842678999997</v>
      </c>
      <c r="F4188" s="4">
        <v>2552003.9794700001</v>
      </c>
    </row>
    <row r="4189" spans="1:6" x14ac:dyDescent="0.3">
      <c r="A4189" s="3" t="s">
        <v>27</v>
      </c>
      <c r="B4189" s="7" t="str">
        <f>VLOOKUP(VALUE(A4189), 'DICIONÁRIO UF'!$A:$B, 2, FALSE)</f>
        <v>Mato Grosso do Sul</v>
      </c>
      <c r="C4189" s="3">
        <v>95010</v>
      </c>
      <c r="D4189" s="5" t="str">
        <f>VLOOKUP(C4189, 'DICIONÁRIO CNAES'!$A:$B, 2, FALSE)</f>
        <v>Reparação e manutenção de equipamentos de informática e comunicação</v>
      </c>
      <c r="E4189" s="4">
        <v>2627.3746162299999</v>
      </c>
      <c r="F4189" s="4">
        <v>6362031.812353</v>
      </c>
    </row>
    <row r="4190" spans="1:6" x14ac:dyDescent="0.3">
      <c r="A4190" s="3" t="s">
        <v>27</v>
      </c>
      <c r="B4190" s="7" t="str">
        <f>VLOOKUP(VALUE(A4190), 'DICIONÁRIO UF'!$A:$B, 2, FALSE)</f>
        <v>Mato Grosso do Sul</v>
      </c>
      <c r="C4190" s="3">
        <v>95030</v>
      </c>
      <c r="D4190" s="5" t="str">
        <f>VLOOKUP(C4190, 'DICIONÁRIO CNAES'!$A:$B, 2, FALSE)</f>
        <v>Reparação e manutenção de objetos e equipamentos pessoais e domésticos</v>
      </c>
      <c r="E4190" s="4">
        <v>6535.1703214299996</v>
      </c>
      <c r="F4190" s="4">
        <v>11340385.418501999</v>
      </c>
    </row>
    <row r="4191" spans="1:6" x14ac:dyDescent="0.3">
      <c r="A4191" s="3" t="s">
        <v>27</v>
      </c>
      <c r="B4191" s="7" t="str">
        <f>VLOOKUP(VALUE(A4191), 'DICIONÁRIO UF'!$A:$B, 2, FALSE)</f>
        <v>Mato Grosso do Sul</v>
      </c>
      <c r="C4191" s="3">
        <v>96010</v>
      </c>
      <c r="D4191" s="5" t="str">
        <f>VLOOKUP(C4191, 'DICIONÁRIO CNAES'!$A:$B, 2, FALSE)</f>
        <v>Lavanderias, tinturarias e toalheiros</v>
      </c>
      <c r="E4191" s="4">
        <v>359.16203359000002</v>
      </c>
      <c r="F4191" s="4">
        <v>395078.23694899998</v>
      </c>
    </row>
    <row r="4192" spans="1:6" x14ac:dyDescent="0.3">
      <c r="A4192" s="3" t="s">
        <v>27</v>
      </c>
      <c r="B4192" s="7" t="str">
        <f>VLOOKUP(VALUE(A4192), 'DICIONÁRIO UF'!$A:$B, 2, FALSE)</f>
        <v>Mato Grosso do Sul</v>
      </c>
      <c r="C4192" s="3">
        <v>96020</v>
      </c>
      <c r="D4192" s="5" t="str">
        <f>VLOOKUP(C4192, 'DICIONÁRIO CNAES'!$A:$B, 2, FALSE)</f>
        <v>Cabeleireiros e outras atividades de tratamento de beleza</v>
      </c>
      <c r="E4192" s="4">
        <v>31945.543429339999</v>
      </c>
      <c r="F4192" s="4">
        <v>48086120.268632002</v>
      </c>
    </row>
    <row r="4193" spans="1:6" x14ac:dyDescent="0.3">
      <c r="A4193" s="3" t="s">
        <v>27</v>
      </c>
      <c r="B4193" s="7" t="str">
        <f>VLOOKUP(VALUE(A4193), 'DICIONÁRIO UF'!$A:$B, 2, FALSE)</f>
        <v>Mato Grosso do Sul</v>
      </c>
      <c r="C4193" s="3">
        <v>96030</v>
      </c>
      <c r="D4193" s="5" t="str">
        <f>VLOOKUP(C4193, 'DICIONÁRIO CNAES'!$A:$B, 2, FALSE)</f>
        <v xml:space="preserve">Atividades funerárias e serviços relacionados </v>
      </c>
      <c r="E4193" s="4">
        <v>799.58013688999995</v>
      </c>
      <c r="F4193" s="4">
        <v>1383103.7077490001</v>
      </c>
    </row>
    <row r="4194" spans="1:6" x14ac:dyDescent="0.3">
      <c r="A4194" s="3" t="s">
        <v>27</v>
      </c>
      <c r="B4194" s="7" t="str">
        <f>VLOOKUP(VALUE(A4194), 'DICIONÁRIO UF'!$A:$B, 2, FALSE)</f>
        <v>Mato Grosso do Sul</v>
      </c>
      <c r="C4194" s="3">
        <v>96090</v>
      </c>
      <c r="D4194" s="5" t="str">
        <f>VLOOKUP(C4194, 'DICIONÁRIO CNAES'!$A:$B, 2, FALSE)</f>
        <v>Outras atividades de serviços pessoais</v>
      </c>
      <c r="E4194" s="4">
        <v>5943.5424494299996</v>
      </c>
      <c r="F4194" s="4">
        <v>7867716.4318880001</v>
      </c>
    </row>
    <row r="4195" spans="1:6" x14ac:dyDescent="0.3">
      <c r="A4195" s="3" t="s">
        <v>27</v>
      </c>
      <c r="B4195" s="7" t="str">
        <f>VLOOKUP(VALUE(A4195), 'DICIONÁRIO UF'!$A:$B, 2, FALSE)</f>
        <v>Mato Grosso do Sul</v>
      </c>
      <c r="C4195" s="3">
        <v>97000</v>
      </c>
      <c r="D4195" s="5" t="str">
        <f>VLOOKUP(C4195, 'DICIONÁRIO CNAES'!$A:$B, 2, FALSE)</f>
        <v>Serviços domésticos</v>
      </c>
      <c r="E4195" s="4">
        <v>100544.56583109</v>
      </c>
      <c r="F4195" s="4">
        <v>96433612.946912318</v>
      </c>
    </row>
    <row r="4196" spans="1:6" x14ac:dyDescent="0.3">
      <c r="A4196" s="3" t="s">
        <v>28</v>
      </c>
      <c r="B4196" s="7" t="str">
        <f>VLOOKUP(VALUE(A4196), 'DICIONÁRIO UF'!$A:$B, 2, FALSE)</f>
        <v>Mato Grosso</v>
      </c>
      <c r="C4196" s="3">
        <v>0</v>
      </c>
      <c r="D4196" s="5" t="str">
        <f>VLOOKUP(C4196, 'DICIONÁRIO CNAES'!$A:$B, 2, FALSE)</f>
        <v xml:space="preserve">Atividades mal definidas </v>
      </c>
      <c r="E4196" s="4">
        <v>742.31464245000006</v>
      </c>
      <c r="F4196" s="4">
        <v>1822302.293815</v>
      </c>
    </row>
    <row r="4197" spans="1:6" x14ac:dyDescent="0.3">
      <c r="A4197" s="3" t="s">
        <v>28</v>
      </c>
      <c r="B4197" s="7" t="str">
        <f>VLOOKUP(VALUE(A4197), 'DICIONÁRIO UF'!$A:$B, 2, FALSE)</f>
        <v>Mato Grosso</v>
      </c>
      <c r="C4197" s="3">
        <v>1102</v>
      </c>
      <c r="D4197" s="5" t="str">
        <f>VLOOKUP(C4197, 'DICIONÁRIO CNAES'!$A:$B, 2, FALSE)</f>
        <v>Cultivo de milho</v>
      </c>
      <c r="E4197" s="4">
        <v>5632.5379768299999</v>
      </c>
      <c r="F4197" s="4">
        <v>11462067.463235</v>
      </c>
    </row>
    <row r="4198" spans="1:6" x14ac:dyDescent="0.3">
      <c r="A4198" s="3" t="s">
        <v>28</v>
      </c>
      <c r="B4198" s="7" t="str">
        <f>VLOOKUP(VALUE(A4198), 'DICIONÁRIO UF'!$A:$B, 2, FALSE)</f>
        <v>Mato Grosso</v>
      </c>
      <c r="C4198" s="3">
        <v>1104</v>
      </c>
      <c r="D4198" s="5" t="str">
        <f>VLOOKUP(C4198, 'DICIONÁRIO CNAES'!$A:$B, 2, FALSE)</f>
        <v>Cultivo de algodão</v>
      </c>
      <c r="E4198" s="4">
        <v>1196.1209927299999</v>
      </c>
      <c r="F4198" s="4">
        <v>5528730.0836089998</v>
      </c>
    </row>
    <row r="4199" spans="1:6" x14ac:dyDescent="0.3">
      <c r="A4199" s="3" t="s">
        <v>28</v>
      </c>
      <c r="B4199" s="7" t="str">
        <f>VLOOKUP(VALUE(A4199), 'DICIONÁRIO UF'!$A:$B, 2, FALSE)</f>
        <v>Mato Grosso</v>
      </c>
      <c r="C4199" s="3">
        <v>1105</v>
      </c>
      <c r="D4199" s="5" t="str">
        <f>VLOOKUP(C4199, 'DICIONÁRIO CNAES'!$A:$B, 2, FALSE)</f>
        <v>Cultivo de cana-de-açúcar</v>
      </c>
      <c r="E4199" s="4">
        <v>3272.6754782399998</v>
      </c>
      <c r="F4199" s="4">
        <v>7929670.2138750004</v>
      </c>
    </row>
    <row r="4200" spans="1:6" x14ac:dyDescent="0.3">
      <c r="A4200" s="3" t="s">
        <v>28</v>
      </c>
      <c r="B4200" s="7" t="str">
        <f>VLOOKUP(VALUE(A4200), 'DICIONÁRIO UF'!$A:$B, 2, FALSE)</f>
        <v>Mato Grosso</v>
      </c>
      <c r="C4200" s="3">
        <v>1107</v>
      </c>
      <c r="D4200" s="5" t="str">
        <f>VLOOKUP(C4200, 'DICIONÁRIO CNAES'!$A:$B, 2, FALSE)</f>
        <v>Cultivo de soja</v>
      </c>
      <c r="E4200" s="4">
        <v>59672.749584650002</v>
      </c>
      <c r="F4200" s="4">
        <v>197153964.57092419</v>
      </c>
    </row>
    <row r="4201" spans="1:6" x14ac:dyDescent="0.3">
      <c r="A4201" s="3" t="s">
        <v>28</v>
      </c>
      <c r="B4201" s="7" t="str">
        <f>VLOOKUP(VALUE(A4201), 'DICIONÁRIO UF'!$A:$B, 2, FALSE)</f>
        <v>Mato Grosso</v>
      </c>
      <c r="C4201" s="3">
        <v>1108</v>
      </c>
      <c r="D4201" s="5" t="str">
        <f>VLOOKUP(C4201, 'DICIONÁRIO CNAES'!$A:$B, 2, FALSE)</f>
        <v>Cultivo de mandioca</v>
      </c>
      <c r="E4201" s="4">
        <v>2093.3792340199998</v>
      </c>
      <c r="F4201" s="4">
        <v>2000018.0989925</v>
      </c>
    </row>
    <row r="4202" spans="1:6" x14ac:dyDescent="0.3">
      <c r="A4202" s="3" t="s">
        <v>28</v>
      </c>
      <c r="B4202" s="7" t="str">
        <f>VLOOKUP(VALUE(A4202), 'DICIONÁRIO UF'!$A:$B, 2, FALSE)</f>
        <v>Mato Grosso</v>
      </c>
      <c r="C4202" s="3">
        <v>1109</v>
      </c>
      <c r="D4202" s="5" t="str">
        <f>VLOOKUP(C4202, 'DICIONÁRIO CNAES'!$A:$B, 2, FALSE)</f>
        <v>Cultivo de outras lavouras temporárias não especificadas anteriormente</v>
      </c>
      <c r="E4202" s="4">
        <v>894.73204177999992</v>
      </c>
      <c r="F4202" s="4">
        <v>1632030.52359663</v>
      </c>
    </row>
    <row r="4203" spans="1:6" x14ac:dyDescent="0.3">
      <c r="A4203" s="3" t="s">
        <v>28</v>
      </c>
      <c r="B4203" s="7" t="str">
        <f>VLOOKUP(VALUE(A4203), 'DICIONÁRIO UF'!$A:$B, 2, FALSE)</f>
        <v>Mato Grosso</v>
      </c>
      <c r="C4203" s="3">
        <v>1110</v>
      </c>
      <c r="D4203" s="5" t="str">
        <f>VLOOKUP(C4203, 'DICIONÁRIO CNAES'!$A:$B, 2, FALSE)</f>
        <v>Horticultura</v>
      </c>
      <c r="E4203" s="4">
        <v>2110.3309968600001</v>
      </c>
      <c r="F4203" s="4">
        <v>3262308.799509</v>
      </c>
    </row>
    <row r="4204" spans="1:6" x14ac:dyDescent="0.3">
      <c r="A4204" s="3" t="s">
        <v>28</v>
      </c>
      <c r="B4204" s="7" t="str">
        <f>VLOOKUP(VALUE(A4204), 'DICIONÁRIO UF'!$A:$B, 2, FALSE)</f>
        <v>Mato Grosso</v>
      </c>
      <c r="C4204" s="3">
        <v>1111</v>
      </c>
      <c r="D4204" s="5" t="str">
        <f>VLOOKUP(C4204, 'DICIONÁRIO CNAES'!$A:$B, 2, FALSE)</f>
        <v>Cultivo de flores e plantas ornamentais</v>
      </c>
      <c r="E4204" s="4">
        <v>344.92044215999999</v>
      </c>
      <c r="F4204" s="4">
        <v>862301.1054</v>
      </c>
    </row>
    <row r="4205" spans="1:6" x14ac:dyDescent="0.3">
      <c r="A4205" s="3" t="s">
        <v>28</v>
      </c>
      <c r="B4205" s="7" t="str">
        <f>VLOOKUP(VALUE(A4205), 'DICIONÁRIO UF'!$A:$B, 2, FALSE)</f>
        <v>Mato Grosso</v>
      </c>
      <c r="C4205" s="3">
        <v>1112</v>
      </c>
      <c r="D4205" s="5" t="str">
        <f>VLOOKUP(C4205, 'DICIONÁRIO CNAES'!$A:$B, 2, FALSE)</f>
        <v>Cultivo de frutas cítricas</v>
      </c>
      <c r="E4205" s="4">
        <v>104.02773002000001</v>
      </c>
      <c r="F4205" s="4">
        <v>208055.46004000001</v>
      </c>
    </row>
    <row r="4206" spans="1:6" x14ac:dyDescent="0.3">
      <c r="A4206" s="3" t="s">
        <v>28</v>
      </c>
      <c r="B4206" s="7" t="str">
        <f>VLOOKUP(VALUE(A4206), 'DICIONÁRIO UF'!$A:$B, 2, FALSE)</f>
        <v>Mato Grosso</v>
      </c>
      <c r="C4206" s="3">
        <v>1113</v>
      </c>
      <c r="D4206" s="5" t="str">
        <f>VLOOKUP(C4206, 'DICIONÁRIO CNAES'!$A:$B, 2, FALSE)</f>
        <v>Cultivo de café</v>
      </c>
      <c r="E4206" s="4">
        <v>3585.6055388</v>
      </c>
      <c r="F4206" s="4">
        <v>9845322.0255541205</v>
      </c>
    </row>
    <row r="4207" spans="1:6" x14ac:dyDescent="0.3">
      <c r="A4207" s="3" t="s">
        <v>28</v>
      </c>
      <c r="B4207" s="7" t="str">
        <f>VLOOKUP(VALUE(A4207), 'DICIONÁRIO UF'!$A:$B, 2, FALSE)</f>
        <v>Mato Grosso</v>
      </c>
      <c r="C4207" s="3">
        <v>1114</v>
      </c>
      <c r="D4207" s="5" t="str">
        <f>VLOOKUP(C4207, 'DICIONÁRIO CNAES'!$A:$B, 2, FALSE)</f>
        <v>Cultivo de cacau</v>
      </c>
      <c r="E4207" s="4">
        <v>501.64330295000002</v>
      </c>
      <c r="F4207" s="4">
        <v>2006573.2117999999</v>
      </c>
    </row>
    <row r="4208" spans="1:6" x14ac:dyDescent="0.3">
      <c r="A4208" s="3" t="s">
        <v>28</v>
      </c>
      <c r="B4208" s="7" t="str">
        <f>VLOOKUP(VALUE(A4208), 'DICIONÁRIO UF'!$A:$B, 2, FALSE)</f>
        <v>Mato Grosso</v>
      </c>
      <c r="C4208" s="3">
        <v>1117</v>
      </c>
      <c r="D4208" s="5" t="str">
        <f>VLOOKUP(C4208, 'DICIONÁRIO CNAES'!$A:$B, 2, FALSE)</f>
        <v>Cultivo de outras plantas e frutas de lavoura permanente não especificadas anteriormente</v>
      </c>
      <c r="E4208" s="4">
        <v>1007.54286581</v>
      </c>
      <c r="F4208" s="4">
        <v>1753329.9924570001</v>
      </c>
    </row>
    <row r="4209" spans="1:6" x14ac:dyDescent="0.3">
      <c r="A4209" s="3" t="s">
        <v>28</v>
      </c>
      <c r="B4209" s="7" t="str">
        <f>VLOOKUP(VALUE(A4209), 'DICIONÁRIO UF'!$A:$B, 2, FALSE)</f>
        <v>Mato Grosso</v>
      </c>
      <c r="C4209" s="3">
        <v>1118</v>
      </c>
      <c r="D4209" s="5" t="str">
        <f>VLOOKUP(C4209, 'DICIONÁRIO CNAES'!$A:$B, 2, FALSE)</f>
        <v>Produção de sementes e mudas certificadas</v>
      </c>
      <c r="E4209" s="4">
        <v>355.59433567000002</v>
      </c>
      <c r="F4209" s="4">
        <v>685018.93763100007</v>
      </c>
    </row>
    <row r="4210" spans="1:6" x14ac:dyDescent="0.3">
      <c r="A4210" s="3" t="s">
        <v>28</v>
      </c>
      <c r="B4210" s="7" t="str">
        <f>VLOOKUP(VALUE(A4210), 'DICIONÁRIO UF'!$A:$B, 2, FALSE)</f>
        <v>Mato Grosso</v>
      </c>
      <c r="C4210" s="3">
        <v>1119</v>
      </c>
      <c r="D4210" s="5" t="str">
        <f>VLOOKUP(C4210, 'DICIONÁRIO CNAES'!$A:$B, 2, FALSE)</f>
        <v>Lavoura não especificada</v>
      </c>
      <c r="E4210" s="4">
        <v>5622.7005555599999</v>
      </c>
      <c r="F4210" s="4">
        <v>8798325.3904842995</v>
      </c>
    </row>
    <row r="4211" spans="1:6" x14ac:dyDescent="0.3">
      <c r="A4211" s="3" t="s">
        <v>28</v>
      </c>
      <c r="B4211" s="7" t="str">
        <f>VLOOKUP(VALUE(A4211), 'DICIONÁRIO UF'!$A:$B, 2, FALSE)</f>
        <v>Mato Grosso</v>
      </c>
      <c r="C4211" s="3">
        <v>1201</v>
      </c>
      <c r="D4211" s="5" t="str">
        <f>VLOOKUP(C4211, 'DICIONÁRIO CNAES'!$A:$B, 2, FALSE)</f>
        <v>Criação de bovinos</v>
      </c>
      <c r="E4211" s="4">
        <v>119386.94001306999</v>
      </c>
      <c r="F4211" s="4">
        <v>278601464.9349876</v>
      </c>
    </row>
    <row r="4212" spans="1:6" x14ac:dyDescent="0.3">
      <c r="A4212" s="3" t="s">
        <v>28</v>
      </c>
      <c r="B4212" s="7" t="str">
        <f>VLOOKUP(VALUE(A4212), 'DICIONÁRIO UF'!$A:$B, 2, FALSE)</f>
        <v>Mato Grosso</v>
      </c>
      <c r="C4212" s="3">
        <v>1202</v>
      </c>
      <c r="D4212" s="5" t="str">
        <f>VLOOKUP(C4212, 'DICIONÁRIO CNAES'!$A:$B, 2, FALSE)</f>
        <v>Criação de outros animais de grande porte não especificados anteriormente</v>
      </c>
      <c r="E4212" s="4">
        <v>848.59697512000002</v>
      </c>
      <c r="F4212" s="4">
        <v>1667421.5965100001</v>
      </c>
    </row>
    <row r="4213" spans="1:6" x14ac:dyDescent="0.3">
      <c r="A4213" s="3" t="s">
        <v>28</v>
      </c>
      <c r="B4213" s="7" t="str">
        <f>VLOOKUP(VALUE(A4213), 'DICIONÁRIO UF'!$A:$B, 2, FALSE)</f>
        <v>Mato Grosso</v>
      </c>
      <c r="C4213" s="3">
        <v>1203</v>
      </c>
      <c r="D4213" s="5" t="str">
        <f>VLOOKUP(C4213, 'DICIONÁRIO CNAES'!$A:$B, 2, FALSE)</f>
        <v>Criação de caprinos e ovinos</v>
      </c>
      <c r="E4213" s="4">
        <v>99.633821089999998</v>
      </c>
      <c r="F4213" s="4">
        <v>184322.5690165</v>
      </c>
    </row>
    <row r="4214" spans="1:6" x14ac:dyDescent="0.3">
      <c r="A4214" s="3" t="s">
        <v>28</v>
      </c>
      <c r="B4214" s="7" t="str">
        <f>VLOOKUP(VALUE(A4214), 'DICIONÁRIO UF'!$A:$B, 2, FALSE)</f>
        <v>Mato Grosso</v>
      </c>
      <c r="C4214" s="3">
        <v>1204</v>
      </c>
      <c r="D4214" s="5" t="str">
        <f>VLOOKUP(C4214, 'DICIONÁRIO CNAES'!$A:$B, 2, FALSE)</f>
        <v>Criação de suínos</v>
      </c>
      <c r="E4214" s="4">
        <v>2457.3245493300001</v>
      </c>
      <c r="F4214" s="4">
        <v>5234168.7778629996</v>
      </c>
    </row>
    <row r="4215" spans="1:6" x14ac:dyDescent="0.3">
      <c r="A4215" s="3" t="s">
        <v>28</v>
      </c>
      <c r="B4215" s="7" t="str">
        <f>VLOOKUP(VALUE(A4215), 'DICIONÁRIO UF'!$A:$B, 2, FALSE)</f>
        <v>Mato Grosso</v>
      </c>
      <c r="C4215" s="3">
        <v>1205</v>
      </c>
      <c r="D4215" s="5" t="str">
        <f>VLOOKUP(C4215, 'DICIONÁRIO CNAES'!$A:$B, 2, FALSE)</f>
        <v>Criação de aves</v>
      </c>
      <c r="E4215" s="4">
        <v>6525.3962179399996</v>
      </c>
      <c r="F4215" s="4">
        <v>11208686.1706612</v>
      </c>
    </row>
    <row r="4216" spans="1:6" x14ac:dyDescent="0.3">
      <c r="A4216" s="3" t="s">
        <v>28</v>
      </c>
      <c r="B4216" s="7" t="str">
        <f>VLOOKUP(VALUE(A4216), 'DICIONÁRIO UF'!$A:$B, 2, FALSE)</f>
        <v>Mato Grosso</v>
      </c>
      <c r="C4216" s="3">
        <v>1206</v>
      </c>
      <c r="D4216" s="5" t="str">
        <f>VLOOKUP(C4216, 'DICIONÁRIO CNAES'!$A:$B, 2, FALSE)</f>
        <v>Apicultura</v>
      </c>
      <c r="E4216" s="4">
        <v>759.62630695999997</v>
      </c>
      <c r="F4216" s="4">
        <v>11394394.6044</v>
      </c>
    </row>
    <row r="4217" spans="1:6" x14ac:dyDescent="0.3">
      <c r="A4217" s="3" t="s">
        <v>28</v>
      </c>
      <c r="B4217" s="7" t="str">
        <f>VLOOKUP(VALUE(A4217), 'DICIONÁRIO UF'!$A:$B, 2, FALSE)</f>
        <v>Mato Grosso</v>
      </c>
      <c r="C4217" s="3">
        <v>1401</v>
      </c>
      <c r="D4217" s="5" t="str">
        <f>VLOOKUP(C4217, 'DICIONÁRIO CNAES'!$A:$B, 2, FALSE)</f>
        <v>Atividades de apoio à agricultura e pós-colheita</v>
      </c>
      <c r="E4217" s="4">
        <v>4760.1879014300002</v>
      </c>
      <c r="F4217" s="4">
        <v>11136289.273645001</v>
      </c>
    </row>
    <row r="4218" spans="1:6" x14ac:dyDescent="0.3">
      <c r="A4218" s="3" t="s">
        <v>28</v>
      </c>
      <c r="B4218" s="7" t="str">
        <f>VLOOKUP(VALUE(A4218), 'DICIONÁRIO UF'!$A:$B, 2, FALSE)</f>
        <v>Mato Grosso</v>
      </c>
      <c r="C4218" s="3">
        <v>1402</v>
      </c>
      <c r="D4218" s="5" t="str">
        <f>VLOOKUP(C4218, 'DICIONÁRIO CNAES'!$A:$B, 2, FALSE)</f>
        <v xml:space="preserve">Atividades de apoio à pecuária </v>
      </c>
      <c r="E4218" s="4">
        <v>3450.74459032</v>
      </c>
      <c r="F4218" s="4">
        <v>5565838.0952000003</v>
      </c>
    </row>
    <row r="4219" spans="1:6" x14ac:dyDescent="0.3">
      <c r="A4219" s="3" t="s">
        <v>28</v>
      </c>
      <c r="B4219" s="7" t="str">
        <f>VLOOKUP(VALUE(A4219), 'DICIONÁRIO UF'!$A:$B, 2, FALSE)</f>
        <v>Mato Grosso</v>
      </c>
      <c r="C4219" s="3">
        <v>1999</v>
      </c>
      <c r="D4219" s="5" t="str">
        <f>VLOOKUP(C4219, 'DICIONÁRIO CNAES'!$A:$B, 2, FALSE)</f>
        <v>Agropecuária</v>
      </c>
      <c r="E4219" s="4">
        <v>8364.4078943000004</v>
      </c>
      <c r="F4219" s="4">
        <v>28233845.346203499</v>
      </c>
    </row>
    <row r="4220" spans="1:6" x14ac:dyDescent="0.3">
      <c r="A4220" s="3" t="s">
        <v>28</v>
      </c>
      <c r="B4220" s="7" t="str">
        <f>VLOOKUP(VALUE(A4220), 'DICIONÁRIO UF'!$A:$B, 2, FALSE)</f>
        <v>Mato Grosso</v>
      </c>
      <c r="C4220" s="3">
        <v>2000</v>
      </c>
      <c r="D4220" s="5" t="str">
        <f>VLOOKUP(C4220, 'DICIONÁRIO CNAES'!$A:$B, 2, FALSE)</f>
        <v xml:space="preserve">Produção florestal </v>
      </c>
      <c r="E4220" s="4">
        <v>8216.8987576500003</v>
      </c>
      <c r="F4220" s="4">
        <v>20984783.023494601</v>
      </c>
    </row>
    <row r="4221" spans="1:6" x14ac:dyDescent="0.3">
      <c r="A4221" s="3" t="s">
        <v>28</v>
      </c>
      <c r="B4221" s="7" t="str">
        <f>VLOOKUP(VALUE(A4221), 'DICIONÁRIO UF'!$A:$B, 2, FALSE)</f>
        <v>Mato Grosso</v>
      </c>
      <c r="C4221" s="3">
        <v>3001</v>
      </c>
      <c r="D4221" s="5" t="str">
        <f>VLOOKUP(C4221, 'DICIONÁRIO CNAES'!$A:$B, 2, FALSE)</f>
        <v>Pesca</v>
      </c>
      <c r="E4221" s="4">
        <v>1488.23308582</v>
      </c>
      <c r="F4221" s="4">
        <v>972277.36358100001</v>
      </c>
    </row>
    <row r="4222" spans="1:6" x14ac:dyDescent="0.3">
      <c r="A4222" s="3" t="s">
        <v>28</v>
      </c>
      <c r="B4222" s="7" t="str">
        <f>VLOOKUP(VALUE(A4222), 'DICIONÁRIO UF'!$A:$B, 2, FALSE)</f>
        <v>Mato Grosso</v>
      </c>
      <c r="C4222" s="3">
        <v>3002</v>
      </c>
      <c r="D4222" s="5" t="str">
        <f>VLOOKUP(C4222, 'DICIONÁRIO CNAES'!$A:$B, 2, FALSE)</f>
        <v>Aqüicultura</v>
      </c>
      <c r="E4222" s="4">
        <v>2580.19801917</v>
      </c>
      <c r="F4222" s="4">
        <v>9192573.0856315009</v>
      </c>
    </row>
    <row r="4223" spans="1:6" x14ac:dyDescent="0.3">
      <c r="A4223" s="3" t="s">
        <v>28</v>
      </c>
      <c r="B4223" s="7" t="str">
        <f>VLOOKUP(VALUE(A4223), 'DICIONÁRIO UF'!$A:$B, 2, FALSE)</f>
        <v>Mato Grosso</v>
      </c>
      <c r="C4223" s="3">
        <v>6000</v>
      </c>
      <c r="D4223" s="5" t="str">
        <f>VLOOKUP(C4223, 'DICIONÁRIO CNAES'!$A:$B, 2, FALSE)</f>
        <v xml:space="preserve">Extração de petróleo e gás natural </v>
      </c>
      <c r="E4223" s="4">
        <v>409.06772360000002</v>
      </c>
      <c r="F4223" s="4">
        <v>818135.44720000005</v>
      </c>
    </row>
    <row r="4224" spans="1:6" x14ac:dyDescent="0.3">
      <c r="A4224" s="3" t="s">
        <v>28</v>
      </c>
      <c r="B4224" s="7" t="str">
        <f>VLOOKUP(VALUE(A4224), 'DICIONÁRIO UF'!$A:$B, 2, FALSE)</f>
        <v>Mato Grosso</v>
      </c>
      <c r="C4224" s="3">
        <v>7001</v>
      </c>
      <c r="D4224" s="5" t="str">
        <f>VLOOKUP(C4224, 'DICIONÁRIO CNAES'!$A:$B, 2, FALSE)</f>
        <v>Extração de minérios de metais preciosos</v>
      </c>
      <c r="E4224" s="4">
        <v>6983.30979733</v>
      </c>
      <c r="F4224" s="4">
        <v>18130617.851173349</v>
      </c>
    </row>
    <row r="4225" spans="1:6" x14ac:dyDescent="0.3">
      <c r="A4225" s="3" t="s">
        <v>28</v>
      </c>
      <c r="B4225" s="7" t="str">
        <f>VLOOKUP(VALUE(A4225), 'DICIONÁRIO UF'!$A:$B, 2, FALSE)</f>
        <v>Mato Grosso</v>
      </c>
      <c r="C4225" s="3">
        <v>7002</v>
      </c>
      <c r="D4225" s="5" t="str">
        <f>VLOOKUP(C4225, 'DICIONÁRIO CNAES'!$A:$B, 2, FALSE)</f>
        <v xml:space="preserve">Extração de minerais metálicos não especificados anteriormente </v>
      </c>
      <c r="E4225" s="4">
        <v>1528.05859943</v>
      </c>
      <c r="F4225" s="4">
        <v>5413090.8185249995</v>
      </c>
    </row>
    <row r="4226" spans="1:6" x14ac:dyDescent="0.3">
      <c r="A4226" s="3" t="s">
        <v>28</v>
      </c>
      <c r="B4226" s="7" t="str">
        <f>VLOOKUP(VALUE(A4226), 'DICIONÁRIO UF'!$A:$B, 2, FALSE)</f>
        <v>Mato Grosso</v>
      </c>
      <c r="C4226" s="3">
        <v>8001</v>
      </c>
      <c r="D4226" s="5" t="str">
        <f>VLOOKUP(C4226, 'DICIONÁRIO CNAES'!$A:$B, 2, FALSE)</f>
        <v>Extração de pedras, areia e argila</v>
      </c>
      <c r="E4226" s="4">
        <v>4535.8194274300004</v>
      </c>
      <c r="F4226" s="4">
        <v>9247704.8130294997</v>
      </c>
    </row>
    <row r="4227" spans="1:6" x14ac:dyDescent="0.3">
      <c r="A4227" s="3" t="s">
        <v>28</v>
      </c>
      <c r="B4227" s="7" t="str">
        <f>VLOOKUP(VALUE(A4227), 'DICIONÁRIO UF'!$A:$B, 2, FALSE)</f>
        <v>Mato Grosso</v>
      </c>
      <c r="C4227" s="3">
        <v>10010</v>
      </c>
      <c r="D4227" s="5" t="str">
        <f>VLOOKUP(C4227, 'DICIONÁRIO CNAES'!$A:$B, 2, FALSE)</f>
        <v xml:space="preserve">Abate e fabricação de produtos de carne e pescado </v>
      </c>
      <c r="E4227" s="4">
        <v>35388.26305809</v>
      </c>
      <c r="F4227" s="4">
        <v>68465847.586743623</v>
      </c>
    </row>
    <row r="4228" spans="1:6" x14ac:dyDescent="0.3">
      <c r="A4228" s="3" t="s">
        <v>28</v>
      </c>
      <c r="B4228" s="7" t="str">
        <f>VLOOKUP(VALUE(A4228), 'DICIONÁRIO UF'!$A:$B, 2, FALSE)</f>
        <v>Mato Grosso</v>
      </c>
      <c r="C4228" s="3">
        <v>10021</v>
      </c>
      <c r="D4228" s="5" t="str">
        <f>VLOOKUP(C4228, 'DICIONÁRIO CNAES'!$A:$B, 2, FALSE)</f>
        <v>Fabricação de conservas de frutas, legumes e outros vegetais</v>
      </c>
      <c r="E4228" s="4">
        <v>269.30041588</v>
      </c>
      <c r="F4228" s="4">
        <v>646320.99811200006</v>
      </c>
    </row>
    <row r="4229" spans="1:6" x14ac:dyDescent="0.3">
      <c r="A4229" s="3" t="s">
        <v>28</v>
      </c>
      <c r="B4229" s="7" t="str">
        <f>VLOOKUP(VALUE(A4229), 'DICIONÁRIO UF'!$A:$B, 2, FALSE)</f>
        <v>Mato Grosso</v>
      </c>
      <c r="C4229" s="3">
        <v>10022</v>
      </c>
      <c r="D4229" s="5" t="str">
        <f>VLOOKUP(C4229, 'DICIONÁRIO CNAES'!$A:$B, 2, FALSE)</f>
        <v>Fabricação de óleos vegetais e gorduras vegetais e animais</v>
      </c>
      <c r="E4229" s="4">
        <v>1211.82133421</v>
      </c>
      <c r="F4229" s="4">
        <v>6641998.483736</v>
      </c>
    </row>
    <row r="4230" spans="1:6" x14ac:dyDescent="0.3">
      <c r="A4230" s="3" t="s">
        <v>28</v>
      </c>
      <c r="B4230" s="7" t="str">
        <f>VLOOKUP(VALUE(A4230), 'DICIONÁRIO UF'!$A:$B, 2, FALSE)</f>
        <v>Mato Grosso</v>
      </c>
      <c r="C4230" s="3">
        <v>10030</v>
      </c>
      <c r="D4230" s="5" t="str">
        <f>VLOOKUP(C4230, 'DICIONÁRIO CNAES'!$A:$B, 2, FALSE)</f>
        <v>Laticínios</v>
      </c>
      <c r="E4230" s="4">
        <v>3778.4793390300001</v>
      </c>
      <c r="F4230" s="4">
        <v>6328717.0280569997</v>
      </c>
    </row>
    <row r="4231" spans="1:6" x14ac:dyDescent="0.3">
      <c r="A4231" s="3" t="s">
        <v>28</v>
      </c>
      <c r="B4231" s="7" t="str">
        <f>VLOOKUP(VALUE(A4231), 'DICIONÁRIO UF'!$A:$B, 2, FALSE)</f>
        <v>Mato Grosso</v>
      </c>
      <c r="C4231" s="3">
        <v>10091</v>
      </c>
      <c r="D4231" s="5" t="str">
        <f>VLOOKUP(C4231, 'DICIONÁRIO CNAES'!$A:$B, 2, FALSE)</f>
        <v>Moagem, fabricação de produtos amiláceos e de alimentos para animais</v>
      </c>
      <c r="E4231" s="4">
        <v>1152.7760826399999</v>
      </c>
      <c r="F4231" s="4">
        <v>4443261.615344</v>
      </c>
    </row>
    <row r="4232" spans="1:6" x14ac:dyDescent="0.3">
      <c r="A4232" s="3" t="s">
        <v>28</v>
      </c>
      <c r="B4232" s="7" t="str">
        <f>VLOOKUP(VALUE(A4232), 'DICIONÁRIO UF'!$A:$B, 2, FALSE)</f>
        <v>Mato Grosso</v>
      </c>
      <c r="C4232" s="3">
        <v>10092</v>
      </c>
      <c r="D4232" s="5" t="str">
        <f>VLOOKUP(C4232, 'DICIONÁRIO CNAES'!$A:$B, 2, FALSE)</f>
        <v>Fabricação e refino do açúcar</v>
      </c>
      <c r="E4232" s="4">
        <v>2203.02872067</v>
      </c>
      <c r="F4232" s="4">
        <v>5347640.8538429998</v>
      </c>
    </row>
    <row r="4233" spans="1:6" x14ac:dyDescent="0.3">
      <c r="A4233" s="3" t="s">
        <v>28</v>
      </c>
      <c r="B4233" s="7" t="str">
        <f>VLOOKUP(VALUE(A4233), 'DICIONÁRIO UF'!$A:$B, 2, FALSE)</f>
        <v>Mato Grosso</v>
      </c>
      <c r="C4233" s="3">
        <v>10099</v>
      </c>
      <c r="D4233" s="5" t="str">
        <f>VLOOKUP(C4233, 'DICIONÁRIO CNAES'!$A:$B, 2, FALSE)</f>
        <v>Fabricação de outros produtos alimentícios</v>
      </c>
      <c r="E4233" s="4">
        <v>2766.3724815099999</v>
      </c>
      <c r="F4233" s="4">
        <v>4708716.2918079998</v>
      </c>
    </row>
    <row r="4234" spans="1:6" x14ac:dyDescent="0.3">
      <c r="A4234" s="3" t="s">
        <v>28</v>
      </c>
      <c r="B4234" s="7" t="str">
        <f>VLOOKUP(VALUE(A4234), 'DICIONÁRIO UF'!$A:$B, 2, FALSE)</f>
        <v>Mato Grosso</v>
      </c>
      <c r="C4234" s="3">
        <v>11000</v>
      </c>
      <c r="D4234" s="5" t="str">
        <f>VLOOKUP(C4234, 'DICIONÁRIO CNAES'!$A:$B, 2, FALSE)</f>
        <v>Fabricação de bebidas</v>
      </c>
      <c r="E4234" s="4">
        <v>4624.5667043599997</v>
      </c>
      <c r="F4234" s="4">
        <v>8143690.3490439998</v>
      </c>
    </row>
    <row r="4235" spans="1:6" x14ac:dyDescent="0.3">
      <c r="A4235" s="3" t="s">
        <v>28</v>
      </c>
      <c r="B4235" s="7" t="str">
        <f>VLOOKUP(VALUE(A4235), 'DICIONÁRIO UF'!$A:$B, 2, FALSE)</f>
        <v>Mato Grosso</v>
      </c>
      <c r="C4235" s="3">
        <v>13001</v>
      </c>
      <c r="D4235" s="5" t="str">
        <f>VLOOKUP(C4235, 'DICIONÁRIO CNAES'!$A:$B, 2, FALSE)</f>
        <v>Preparação de fibras, fiação e tecelagem</v>
      </c>
      <c r="E4235" s="4">
        <v>1399.5930107500001</v>
      </c>
      <c r="F4235" s="4">
        <v>1890472.952823</v>
      </c>
    </row>
    <row r="4236" spans="1:6" x14ac:dyDescent="0.3">
      <c r="A4236" s="3" t="s">
        <v>28</v>
      </c>
      <c r="B4236" s="7" t="str">
        <f>VLOOKUP(VALUE(A4236), 'DICIONÁRIO UF'!$A:$B, 2, FALSE)</f>
        <v>Mato Grosso</v>
      </c>
      <c r="C4236" s="3">
        <v>13002</v>
      </c>
      <c r="D4236" s="5" t="str">
        <f>VLOOKUP(C4236, 'DICIONÁRIO CNAES'!$A:$B, 2, FALSE)</f>
        <v>Fabricação de artefatos têxteis, exceto vestuário</v>
      </c>
      <c r="E4236" s="4">
        <v>2217.3414685100001</v>
      </c>
      <c r="F4236" s="4">
        <v>2220795.4378010002</v>
      </c>
    </row>
    <row r="4237" spans="1:6" x14ac:dyDescent="0.3">
      <c r="A4237" s="3" t="s">
        <v>28</v>
      </c>
      <c r="B4237" s="7" t="str">
        <f>VLOOKUP(VALUE(A4237), 'DICIONÁRIO UF'!$A:$B, 2, FALSE)</f>
        <v>Mato Grosso</v>
      </c>
      <c r="C4237" s="3">
        <v>14001</v>
      </c>
      <c r="D4237" s="5" t="str">
        <f>VLOOKUP(C4237, 'DICIONÁRIO CNAES'!$A:$B, 2, FALSE)</f>
        <v>Confecção de artigos do vestuário e acessórios, exceto sob medida</v>
      </c>
      <c r="E4237" s="4">
        <v>2075.3851973599999</v>
      </c>
      <c r="F4237" s="4">
        <v>2270059.4589300002</v>
      </c>
    </row>
    <row r="4238" spans="1:6" x14ac:dyDescent="0.3">
      <c r="A4238" s="3" t="s">
        <v>28</v>
      </c>
      <c r="B4238" s="7" t="str">
        <f>VLOOKUP(VALUE(A4238), 'DICIONÁRIO UF'!$A:$B, 2, FALSE)</f>
        <v>Mato Grosso</v>
      </c>
      <c r="C4238" s="3">
        <v>14002</v>
      </c>
      <c r="D4238" s="5" t="str">
        <f>VLOOKUP(C4238, 'DICIONÁRIO CNAES'!$A:$B, 2, FALSE)</f>
        <v>Confecção, sob medida, de artigos do vestuário</v>
      </c>
      <c r="E4238" s="4">
        <v>8127.6956501100003</v>
      </c>
      <c r="F4238" s="4">
        <v>10431106.7872303</v>
      </c>
    </row>
    <row r="4239" spans="1:6" x14ac:dyDescent="0.3">
      <c r="A4239" s="3" t="s">
        <v>28</v>
      </c>
      <c r="B4239" s="7" t="str">
        <f>VLOOKUP(VALUE(A4239), 'DICIONÁRIO UF'!$A:$B, 2, FALSE)</f>
        <v>Mato Grosso</v>
      </c>
      <c r="C4239" s="3">
        <v>15020</v>
      </c>
      <c r="D4239" s="5" t="str">
        <f>VLOOKUP(C4239, 'DICIONÁRIO CNAES'!$A:$B, 2, FALSE)</f>
        <v>Fabricação de calçados e partes para calçados, de qualquer material</v>
      </c>
      <c r="E4239" s="4">
        <v>248.26006896999999</v>
      </c>
      <c r="F4239" s="4">
        <v>372390.10345499997</v>
      </c>
    </row>
    <row r="4240" spans="1:6" x14ac:dyDescent="0.3">
      <c r="A4240" s="3" t="s">
        <v>28</v>
      </c>
      <c r="B4240" s="7" t="str">
        <f>VLOOKUP(VALUE(A4240), 'DICIONÁRIO UF'!$A:$B, 2, FALSE)</f>
        <v>Mato Grosso</v>
      </c>
      <c r="C4240" s="3">
        <v>16001</v>
      </c>
      <c r="D4240" s="5" t="str">
        <f>VLOOKUP(C4240, 'DICIONÁRIO CNAES'!$A:$B, 2, FALSE)</f>
        <v>Serrarias</v>
      </c>
      <c r="E4240" s="4">
        <v>9783.8209306799999</v>
      </c>
      <c r="F4240" s="4">
        <v>17706284.739770319</v>
      </c>
    </row>
    <row r="4241" spans="1:6" x14ac:dyDescent="0.3">
      <c r="A4241" s="3" t="s">
        <v>28</v>
      </c>
      <c r="B4241" s="7" t="str">
        <f>VLOOKUP(VALUE(A4241), 'DICIONÁRIO UF'!$A:$B, 2, FALSE)</f>
        <v>Mato Grosso</v>
      </c>
      <c r="C4241" s="3">
        <v>16002</v>
      </c>
      <c r="D4241" s="5" t="str">
        <f>VLOOKUP(C4241, 'DICIONÁRIO CNAES'!$A:$B, 2, FALSE)</f>
        <v>Fabricação de produtos de madeira, cortiça e material trançado, exceto móveis</v>
      </c>
      <c r="E4241" s="4">
        <v>5166.9301886699996</v>
      </c>
      <c r="F4241" s="4">
        <v>7295809.1769719999</v>
      </c>
    </row>
    <row r="4242" spans="1:6" x14ac:dyDescent="0.3">
      <c r="A4242" s="3" t="s">
        <v>28</v>
      </c>
      <c r="B4242" s="7" t="str">
        <f>VLOOKUP(VALUE(A4242), 'DICIONÁRIO UF'!$A:$B, 2, FALSE)</f>
        <v>Mato Grosso</v>
      </c>
      <c r="C4242" s="3">
        <v>17002</v>
      </c>
      <c r="D4242" s="5" t="str">
        <f>VLOOKUP(C4242, 'DICIONÁRIO CNAES'!$A:$B, 2, FALSE)</f>
        <v>Fabricação de embalagens e de produtos diversos de papel, cartolina, papel-cartão e papelão ondulado</v>
      </c>
      <c r="E4242" s="4">
        <v>1373.3171230299999</v>
      </c>
      <c r="F4242" s="4">
        <v>1609951.7062319999</v>
      </c>
    </row>
    <row r="4243" spans="1:6" x14ac:dyDescent="0.3">
      <c r="A4243" s="3" t="s">
        <v>28</v>
      </c>
      <c r="B4243" s="7" t="str">
        <f>VLOOKUP(VALUE(A4243), 'DICIONÁRIO UF'!$A:$B, 2, FALSE)</f>
        <v>Mato Grosso</v>
      </c>
      <c r="C4243" s="3">
        <v>18000</v>
      </c>
      <c r="D4243" s="5" t="str">
        <f>VLOOKUP(C4243, 'DICIONÁRIO CNAES'!$A:$B, 2, FALSE)</f>
        <v>Impressão e reprodução de gravações</v>
      </c>
      <c r="E4243" s="4">
        <v>1101.67070947</v>
      </c>
      <c r="F4243" s="4">
        <v>1334585.1320170001</v>
      </c>
    </row>
    <row r="4244" spans="1:6" x14ac:dyDescent="0.3">
      <c r="A4244" s="3" t="s">
        <v>28</v>
      </c>
      <c r="B4244" s="7" t="str">
        <f>VLOOKUP(VALUE(A4244), 'DICIONÁRIO UF'!$A:$B, 2, FALSE)</f>
        <v>Mato Grosso</v>
      </c>
      <c r="C4244" s="3">
        <v>19020</v>
      </c>
      <c r="D4244" s="5" t="str">
        <f>VLOOKUP(C4244, 'DICIONÁRIO CNAES'!$A:$B, 2, FALSE)</f>
        <v>Fabricação de produtos derivados do petróleo</v>
      </c>
      <c r="E4244" s="4">
        <v>318.14589939000001</v>
      </c>
      <c r="F4244" s="4">
        <v>349960.489329</v>
      </c>
    </row>
    <row r="4245" spans="1:6" x14ac:dyDescent="0.3">
      <c r="A4245" s="3" t="s">
        <v>28</v>
      </c>
      <c r="B4245" s="7" t="str">
        <f>VLOOKUP(VALUE(A4245), 'DICIONÁRIO UF'!$A:$B, 2, FALSE)</f>
        <v>Mato Grosso</v>
      </c>
      <c r="C4245" s="3">
        <v>19030</v>
      </c>
      <c r="D4245" s="5" t="str">
        <f>VLOOKUP(C4245, 'DICIONÁRIO CNAES'!$A:$B, 2, FALSE)</f>
        <v>Produção de biocombustíveis</v>
      </c>
      <c r="E4245" s="4">
        <v>4659.2373824699998</v>
      </c>
      <c r="F4245" s="4">
        <v>16726342.989358401</v>
      </c>
    </row>
    <row r="4246" spans="1:6" x14ac:dyDescent="0.3">
      <c r="A4246" s="3" t="s">
        <v>28</v>
      </c>
      <c r="B4246" s="7" t="str">
        <f>VLOOKUP(VALUE(A4246), 'DICIONÁRIO UF'!$A:$B, 2, FALSE)</f>
        <v>Mato Grosso</v>
      </c>
      <c r="C4246" s="3">
        <v>20010</v>
      </c>
      <c r="D4246" s="5" t="str">
        <f>VLOOKUP(C4246, 'DICIONÁRIO CNAES'!$A:$B, 2, FALSE)</f>
        <v>Fabricação de tintas, vernizes, esmaltes, lacas e produtos afins</v>
      </c>
      <c r="E4246" s="4">
        <v>367.01342697000001</v>
      </c>
      <c r="F4246" s="4">
        <v>1761664.449456</v>
      </c>
    </row>
    <row r="4247" spans="1:6" x14ac:dyDescent="0.3">
      <c r="A4247" s="3" t="s">
        <v>28</v>
      </c>
      <c r="B4247" s="7" t="str">
        <f>VLOOKUP(VALUE(A4247), 'DICIONÁRIO UF'!$A:$B, 2, FALSE)</f>
        <v>Mato Grosso</v>
      </c>
      <c r="C4247" s="3">
        <v>20020</v>
      </c>
      <c r="D4247" s="5" t="str">
        <f>VLOOKUP(C4247, 'DICIONÁRIO CNAES'!$A:$B, 2, FALSE)</f>
        <v>Fabricação de sabões, detergentes, produtos de limpeza, cosméticos, produtos de perfumaria e de higiene pessoal</v>
      </c>
      <c r="E4247" s="4">
        <v>884.28019102999997</v>
      </c>
      <c r="F4247" s="4">
        <v>1120159.8875281999</v>
      </c>
    </row>
    <row r="4248" spans="1:6" x14ac:dyDescent="0.3">
      <c r="A4248" s="3" t="s">
        <v>28</v>
      </c>
      <c r="B4248" s="7" t="str">
        <f>VLOOKUP(VALUE(A4248), 'DICIONÁRIO UF'!$A:$B, 2, FALSE)</f>
        <v>Mato Grosso</v>
      </c>
      <c r="C4248" s="3">
        <v>20090</v>
      </c>
      <c r="D4248" s="5" t="str">
        <f>VLOOKUP(C4248, 'DICIONÁRIO CNAES'!$A:$B, 2, FALSE)</f>
        <v>Fabricação de outros produtos químicos não especificados anteriormente</v>
      </c>
      <c r="E4248" s="4">
        <v>2482.3555126000001</v>
      </c>
      <c r="F4248" s="4">
        <v>5019823.0831333799</v>
      </c>
    </row>
    <row r="4249" spans="1:6" x14ac:dyDescent="0.3">
      <c r="A4249" s="3" t="s">
        <v>28</v>
      </c>
      <c r="B4249" s="7" t="str">
        <f>VLOOKUP(VALUE(A4249), 'DICIONÁRIO UF'!$A:$B, 2, FALSE)</f>
        <v>Mato Grosso</v>
      </c>
      <c r="C4249" s="3">
        <v>22020</v>
      </c>
      <c r="D4249" s="5" t="str">
        <f>VLOOKUP(C4249, 'DICIONÁRIO CNAES'!$A:$B, 2, FALSE)</f>
        <v>Fabricação de produtos de material plástico</v>
      </c>
      <c r="E4249" s="4">
        <v>860.85013764999997</v>
      </c>
      <c r="F4249" s="4">
        <v>1531308.769235</v>
      </c>
    </row>
    <row r="4250" spans="1:6" x14ac:dyDescent="0.3">
      <c r="A4250" s="3" t="s">
        <v>28</v>
      </c>
      <c r="B4250" s="7" t="str">
        <f>VLOOKUP(VALUE(A4250), 'DICIONÁRIO UF'!$A:$B, 2, FALSE)</f>
        <v>Mato Grosso</v>
      </c>
      <c r="C4250" s="3">
        <v>23010</v>
      </c>
      <c r="D4250" s="5" t="str">
        <f>VLOOKUP(C4250, 'DICIONÁRIO CNAES'!$A:$B, 2, FALSE)</f>
        <v>Fabricação de vidro e produtos de vidro</v>
      </c>
      <c r="E4250" s="4">
        <v>60.550484109999999</v>
      </c>
      <c r="F4250" s="4">
        <v>242201.93643999999</v>
      </c>
    </row>
    <row r="4251" spans="1:6" x14ac:dyDescent="0.3">
      <c r="A4251" s="3" t="s">
        <v>28</v>
      </c>
      <c r="B4251" s="7" t="str">
        <f>VLOOKUP(VALUE(A4251), 'DICIONÁRIO UF'!$A:$B, 2, FALSE)</f>
        <v>Mato Grosso</v>
      </c>
      <c r="C4251" s="3">
        <v>23091</v>
      </c>
      <c r="D4251" s="5" t="str">
        <f>VLOOKUP(C4251, 'DICIONÁRIO CNAES'!$A:$B, 2, FALSE)</f>
        <v>Fabricação de produtos cerâmicos</v>
      </c>
      <c r="E4251" s="4">
        <v>1629.4792173000001</v>
      </c>
      <c r="F4251" s="4">
        <v>2903158.0879469998</v>
      </c>
    </row>
    <row r="4252" spans="1:6" x14ac:dyDescent="0.3">
      <c r="A4252" s="3" t="s">
        <v>28</v>
      </c>
      <c r="B4252" s="7" t="str">
        <f>VLOOKUP(VALUE(A4252), 'DICIONÁRIO UF'!$A:$B, 2, FALSE)</f>
        <v>Mato Grosso</v>
      </c>
      <c r="C4252" s="3">
        <v>23099</v>
      </c>
      <c r="D4252" s="5" t="str">
        <f>VLOOKUP(C4252, 'DICIONÁRIO CNAES'!$A:$B, 2, FALSE)</f>
        <v>Fabricação de outros produtos de minerais não-metálicos não especificados anteriormente</v>
      </c>
      <c r="E4252" s="4">
        <v>6358.2306578300004</v>
      </c>
      <c r="F4252" s="4">
        <v>11650556.818561001</v>
      </c>
    </row>
    <row r="4253" spans="1:6" x14ac:dyDescent="0.3">
      <c r="A4253" s="3" t="s">
        <v>28</v>
      </c>
      <c r="B4253" s="7" t="str">
        <f>VLOOKUP(VALUE(A4253), 'DICIONÁRIO UF'!$A:$B, 2, FALSE)</f>
        <v>Mato Grosso</v>
      </c>
      <c r="C4253" s="3">
        <v>24002</v>
      </c>
      <c r="D4253" s="5" t="str">
        <f>VLOOKUP(C4253, 'DICIONÁRIO CNAES'!$A:$B, 2, FALSE)</f>
        <v>Metalurgia dos metais não-ferrosos</v>
      </c>
      <c r="E4253" s="4">
        <v>153.21212911999999</v>
      </c>
      <c r="F4253" s="4">
        <v>337066.68406399997</v>
      </c>
    </row>
    <row r="4254" spans="1:6" x14ac:dyDescent="0.3">
      <c r="A4254" s="3" t="s">
        <v>28</v>
      </c>
      <c r="B4254" s="7" t="str">
        <f>VLOOKUP(VALUE(A4254), 'DICIONÁRIO UF'!$A:$B, 2, FALSE)</f>
        <v>Mato Grosso</v>
      </c>
      <c r="C4254" s="3">
        <v>25001</v>
      </c>
      <c r="D4254" s="5" t="str">
        <f>VLOOKUP(C4254, 'DICIONÁRIO CNAES'!$A:$B, 2, FALSE)</f>
        <v>Fabricação de produtos de metal, exceto máquinas e equipamentos</v>
      </c>
      <c r="E4254" s="4">
        <v>11275.068218799999</v>
      </c>
      <c r="F4254" s="4">
        <v>29236946.325928651</v>
      </c>
    </row>
    <row r="4255" spans="1:6" x14ac:dyDescent="0.3">
      <c r="A4255" s="3" t="s">
        <v>28</v>
      </c>
      <c r="B4255" s="7" t="str">
        <f>VLOOKUP(VALUE(A4255), 'DICIONÁRIO UF'!$A:$B, 2, FALSE)</f>
        <v>Mato Grosso</v>
      </c>
      <c r="C4255" s="3">
        <v>25002</v>
      </c>
      <c r="D4255" s="5" t="str">
        <f>VLOOKUP(C4255, 'DICIONÁRIO CNAES'!$A:$B, 2, FALSE)</f>
        <v>Forjaria, estamparia, metalurgia do pó e serviços de tratamento de metais</v>
      </c>
      <c r="E4255" s="4">
        <v>3549.6993571899998</v>
      </c>
      <c r="F4255" s="4">
        <v>8614166.5436209999</v>
      </c>
    </row>
    <row r="4256" spans="1:6" x14ac:dyDescent="0.3">
      <c r="A4256" s="3" t="s">
        <v>28</v>
      </c>
      <c r="B4256" s="7" t="str">
        <f>VLOOKUP(VALUE(A4256), 'DICIONÁRIO UF'!$A:$B, 2, FALSE)</f>
        <v>Mato Grosso</v>
      </c>
      <c r="C4256" s="3">
        <v>27090</v>
      </c>
      <c r="D4256" s="5" t="str">
        <f>VLOOKUP(C4256, 'DICIONÁRIO CNAES'!$A:$B, 2, FALSE)</f>
        <v>Fabricação de máquinas, aparelhos e materiais elétricos diversos, exceto eletrodomesticos</v>
      </c>
      <c r="E4256" s="4">
        <v>246.31746777999999</v>
      </c>
      <c r="F4256" s="4">
        <v>418739.69522599998</v>
      </c>
    </row>
    <row r="4257" spans="1:6" x14ac:dyDescent="0.3">
      <c r="A4257" s="3" t="s">
        <v>28</v>
      </c>
      <c r="B4257" s="7" t="str">
        <f>VLOOKUP(VALUE(A4257), 'DICIONÁRIO UF'!$A:$B, 2, FALSE)</f>
        <v>Mato Grosso</v>
      </c>
      <c r="C4257" s="3">
        <v>28000</v>
      </c>
      <c r="D4257" s="5" t="str">
        <f>VLOOKUP(C4257, 'DICIONÁRIO CNAES'!$A:$B, 2, FALSE)</f>
        <v>Fabricação de máquinas e equipamentos</v>
      </c>
      <c r="E4257" s="4">
        <v>1660.09459141</v>
      </c>
      <c r="F4257" s="4">
        <v>3907469.2513489998</v>
      </c>
    </row>
    <row r="4258" spans="1:6" x14ac:dyDescent="0.3">
      <c r="A4258" s="3" t="s">
        <v>28</v>
      </c>
      <c r="B4258" s="7" t="str">
        <f>VLOOKUP(VALUE(A4258), 'DICIONÁRIO UF'!$A:$B, 2, FALSE)</f>
        <v>Mato Grosso</v>
      </c>
      <c r="C4258" s="3">
        <v>29002</v>
      </c>
      <c r="D4258" s="5" t="str">
        <f>VLOOKUP(C4258, 'DICIONÁRIO CNAES'!$A:$B, 2, FALSE)</f>
        <v>Fabricação de cabines, carrocerias, reboques e peças para veículos automotores</v>
      </c>
      <c r="E4258" s="4">
        <v>62.324312980000002</v>
      </c>
      <c r="F4258" s="4">
        <v>99718.900768000007</v>
      </c>
    </row>
    <row r="4259" spans="1:6" x14ac:dyDescent="0.3">
      <c r="A4259" s="3" t="s">
        <v>28</v>
      </c>
      <c r="B4259" s="7" t="str">
        <f>VLOOKUP(VALUE(A4259), 'DICIONÁRIO UF'!$A:$B, 2, FALSE)</f>
        <v>Mato Grosso</v>
      </c>
      <c r="C4259" s="3">
        <v>31000</v>
      </c>
      <c r="D4259" s="5" t="str">
        <f>VLOOKUP(C4259, 'DICIONÁRIO CNAES'!$A:$B, 2, FALSE)</f>
        <v>Fabricação de móveis</v>
      </c>
      <c r="E4259" s="4">
        <v>6410.5902474100003</v>
      </c>
      <c r="F4259" s="4">
        <v>10962042.10979878</v>
      </c>
    </row>
    <row r="4260" spans="1:6" x14ac:dyDescent="0.3">
      <c r="A4260" s="3" t="s">
        <v>28</v>
      </c>
      <c r="B4260" s="7" t="str">
        <f>VLOOKUP(VALUE(A4260), 'DICIONÁRIO UF'!$A:$B, 2, FALSE)</f>
        <v>Mato Grosso</v>
      </c>
      <c r="C4260" s="3">
        <v>32001</v>
      </c>
      <c r="D4260" s="5" t="str">
        <f>VLOOKUP(C4260, 'DICIONÁRIO CNAES'!$A:$B, 2, FALSE)</f>
        <v>Fabricação de artigos de joalheria, bijuteria e semelhantes</v>
      </c>
      <c r="E4260" s="4">
        <v>526.52248324000004</v>
      </c>
      <c r="F4260" s="4">
        <v>3159134.8994399998</v>
      </c>
    </row>
    <row r="4261" spans="1:6" x14ac:dyDescent="0.3">
      <c r="A4261" s="3" t="s">
        <v>28</v>
      </c>
      <c r="B4261" s="7" t="str">
        <f>VLOOKUP(VALUE(A4261), 'DICIONÁRIO UF'!$A:$B, 2, FALSE)</f>
        <v>Mato Grosso</v>
      </c>
      <c r="C4261" s="3">
        <v>32009</v>
      </c>
      <c r="D4261" s="5" t="str">
        <f>VLOOKUP(C4261, 'DICIONÁRIO CNAES'!$A:$B, 2, FALSE)</f>
        <v>Fabricação de produtos diversos</v>
      </c>
      <c r="E4261" s="4">
        <v>642.03298285000005</v>
      </c>
      <c r="F4261" s="4">
        <v>1117032.7933350001</v>
      </c>
    </row>
    <row r="4262" spans="1:6" x14ac:dyDescent="0.3">
      <c r="A4262" s="3" t="s">
        <v>28</v>
      </c>
      <c r="B4262" s="7" t="str">
        <f>VLOOKUP(VALUE(A4262), 'DICIONÁRIO UF'!$A:$B, 2, FALSE)</f>
        <v>Mato Grosso</v>
      </c>
      <c r="C4262" s="3">
        <v>33001</v>
      </c>
      <c r="D4262" s="5" t="str">
        <f>VLOOKUP(C4262, 'DICIONÁRIO CNAES'!$A:$B, 2, FALSE)</f>
        <v>Manutenção e reparação de máquinas e equipamentos</v>
      </c>
      <c r="E4262" s="4">
        <v>6460.8250594800002</v>
      </c>
      <c r="F4262" s="4">
        <v>15335698.755728999</v>
      </c>
    </row>
    <row r="4263" spans="1:6" x14ac:dyDescent="0.3">
      <c r="A4263" s="3" t="s">
        <v>28</v>
      </c>
      <c r="B4263" s="7" t="str">
        <f>VLOOKUP(VALUE(A4263), 'DICIONÁRIO UF'!$A:$B, 2, FALSE)</f>
        <v>Mato Grosso</v>
      </c>
      <c r="C4263" s="3">
        <v>33002</v>
      </c>
      <c r="D4263" s="5" t="str">
        <f>VLOOKUP(C4263, 'DICIONÁRIO CNAES'!$A:$B, 2, FALSE)</f>
        <v>Instalação de máquinas e equipamentos</v>
      </c>
      <c r="E4263" s="4">
        <v>526.68290632000003</v>
      </c>
      <c r="F4263" s="4">
        <v>790024.3594800001</v>
      </c>
    </row>
    <row r="4264" spans="1:6" x14ac:dyDescent="0.3">
      <c r="A4264" s="3" t="s">
        <v>28</v>
      </c>
      <c r="B4264" s="7" t="str">
        <f>VLOOKUP(VALUE(A4264), 'DICIONÁRIO UF'!$A:$B, 2, FALSE)</f>
        <v>Mato Grosso</v>
      </c>
      <c r="C4264" s="3">
        <v>35010</v>
      </c>
      <c r="D4264" s="5" t="str">
        <f>VLOOKUP(C4264, 'DICIONÁRIO CNAES'!$A:$B, 2, FALSE)</f>
        <v>Geração, transmissão e distribuição de energia elétrica</v>
      </c>
      <c r="E4264" s="4">
        <v>3683.7789155</v>
      </c>
      <c r="F4264" s="4">
        <v>9398754.4552611001</v>
      </c>
    </row>
    <row r="4265" spans="1:6" x14ac:dyDescent="0.3">
      <c r="A4265" s="3" t="s">
        <v>28</v>
      </c>
      <c r="B4265" s="7" t="str">
        <f>VLOOKUP(VALUE(A4265), 'DICIONÁRIO UF'!$A:$B, 2, FALSE)</f>
        <v>Mato Grosso</v>
      </c>
      <c r="C4265" s="3">
        <v>36000</v>
      </c>
      <c r="D4265" s="5" t="str">
        <f>VLOOKUP(C4265, 'DICIONÁRIO CNAES'!$A:$B, 2, FALSE)</f>
        <v>Captação, tratamento e distribuição de água</v>
      </c>
      <c r="E4265" s="4">
        <v>1627.9719446700001</v>
      </c>
      <c r="F4265" s="4">
        <v>3432036.6958054998</v>
      </c>
    </row>
    <row r="4266" spans="1:6" x14ac:dyDescent="0.3">
      <c r="A4266" s="3" t="s">
        <v>28</v>
      </c>
      <c r="B4266" s="7" t="str">
        <f>VLOOKUP(VALUE(A4266), 'DICIONÁRIO UF'!$A:$B, 2, FALSE)</f>
        <v>Mato Grosso</v>
      </c>
      <c r="C4266" s="3">
        <v>37000</v>
      </c>
      <c r="D4266" s="5" t="str">
        <f>VLOOKUP(C4266, 'DICIONÁRIO CNAES'!$A:$B, 2, FALSE)</f>
        <v>Esgoto e atividades relacionadas</v>
      </c>
      <c r="E4266" s="4">
        <v>240.95906696</v>
      </c>
      <c r="F4266" s="4">
        <v>481918.13391999999</v>
      </c>
    </row>
    <row r="4267" spans="1:6" x14ac:dyDescent="0.3">
      <c r="A4267" s="3" t="s">
        <v>28</v>
      </c>
      <c r="B4267" s="7" t="str">
        <f>VLOOKUP(VALUE(A4267), 'DICIONÁRIO UF'!$A:$B, 2, FALSE)</f>
        <v>Mato Grosso</v>
      </c>
      <c r="C4267" s="3">
        <v>38000</v>
      </c>
      <c r="D4267" s="5" t="str">
        <f>VLOOKUP(C4267, 'DICIONÁRIO CNAES'!$A:$B, 2, FALSE)</f>
        <v>Coleta, tratamento e disposição de resíduos; recuperação de materiais</v>
      </c>
      <c r="E4267" s="4">
        <v>2017.6524068000001</v>
      </c>
      <c r="F4267" s="4">
        <v>5381053.7707329998</v>
      </c>
    </row>
    <row r="4268" spans="1:6" x14ac:dyDescent="0.3">
      <c r="A4268" s="3" t="s">
        <v>28</v>
      </c>
      <c r="B4268" s="7" t="str">
        <f>VLOOKUP(VALUE(A4268), 'DICIONÁRIO UF'!$A:$B, 2, FALSE)</f>
        <v>Mato Grosso</v>
      </c>
      <c r="C4268" s="3">
        <v>41000</v>
      </c>
      <c r="D4268" s="5" t="str">
        <f>VLOOKUP(C4268, 'DICIONÁRIO CNAES'!$A:$B, 2, FALSE)</f>
        <v>Construção de edifícios</v>
      </c>
      <c r="E4268" s="4">
        <v>110535.06889191001</v>
      </c>
      <c r="F4268" s="4">
        <v>226606599.9402377</v>
      </c>
    </row>
    <row r="4269" spans="1:6" x14ac:dyDescent="0.3">
      <c r="A4269" s="3" t="s">
        <v>28</v>
      </c>
      <c r="B4269" s="7" t="str">
        <f>VLOOKUP(VALUE(A4269), 'DICIONÁRIO UF'!$A:$B, 2, FALSE)</f>
        <v>Mato Grosso</v>
      </c>
      <c r="C4269" s="3">
        <v>42000</v>
      </c>
      <c r="D4269" s="5" t="str">
        <f>VLOOKUP(C4269, 'DICIONÁRIO CNAES'!$A:$B, 2, FALSE)</f>
        <v>Construção de obras de infra-estrutura</v>
      </c>
      <c r="E4269" s="4">
        <v>11674.093037209999</v>
      </c>
      <c r="F4269" s="4">
        <v>37798939.453232773</v>
      </c>
    </row>
    <row r="4270" spans="1:6" x14ac:dyDescent="0.3">
      <c r="A4270" s="3" t="s">
        <v>28</v>
      </c>
      <c r="B4270" s="7" t="str">
        <f>VLOOKUP(VALUE(A4270), 'DICIONÁRIO UF'!$A:$B, 2, FALSE)</f>
        <v>Mato Grosso</v>
      </c>
      <c r="C4270" s="3">
        <v>43000</v>
      </c>
      <c r="D4270" s="5" t="str">
        <f>VLOOKUP(C4270, 'DICIONÁRIO CNAES'!$A:$B, 2, FALSE)</f>
        <v>Serviços especializados para construção</v>
      </c>
      <c r="E4270" s="4">
        <v>46320.476133479999</v>
      </c>
      <c r="F4270" s="4">
        <v>106065595.80666029</v>
      </c>
    </row>
    <row r="4271" spans="1:6" x14ac:dyDescent="0.3">
      <c r="A4271" s="3" t="s">
        <v>28</v>
      </c>
      <c r="B4271" s="7" t="str">
        <f>VLOOKUP(VALUE(A4271), 'DICIONÁRIO UF'!$A:$B, 2, FALSE)</f>
        <v>Mato Grosso</v>
      </c>
      <c r="C4271" s="3">
        <v>45010</v>
      </c>
      <c r="D4271" s="5" t="str">
        <f>VLOOKUP(C4271, 'DICIONÁRIO CNAES'!$A:$B, 2, FALSE)</f>
        <v>Comércio de veículos automotores</v>
      </c>
      <c r="E4271" s="4">
        <v>11180.171156029999</v>
      </c>
      <c r="F4271" s="4">
        <v>28493346.931297</v>
      </c>
    </row>
    <row r="4272" spans="1:6" x14ac:dyDescent="0.3">
      <c r="A4272" s="3" t="s">
        <v>28</v>
      </c>
      <c r="B4272" s="7" t="str">
        <f>VLOOKUP(VALUE(A4272), 'DICIONÁRIO UF'!$A:$B, 2, FALSE)</f>
        <v>Mato Grosso</v>
      </c>
      <c r="C4272" s="3">
        <v>45020</v>
      </c>
      <c r="D4272" s="5" t="str">
        <f>VLOOKUP(C4272, 'DICIONÁRIO CNAES'!$A:$B, 2, FALSE)</f>
        <v>Manutenção e reparação de veículos automotores</v>
      </c>
      <c r="E4272" s="4">
        <v>45703.52140387</v>
      </c>
      <c r="F4272" s="4">
        <v>105269284.8585673</v>
      </c>
    </row>
    <row r="4273" spans="1:6" x14ac:dyDescent="0.3">
      <c r="A4273" s="3" t="s">
        <v>28</v>
      </c>
      <c r="B4273" s="7" t="str">
        <f>VLOOKUP(VALUE(A4273), 'DICIONÁRIO UF'!$A:$B, 2, FALSE)</f>
        <v>Mato Grosso</v>
      </c>
      <c r="C4273" s="3">
        <v>45030</v>
      </c>
      <c r="D4273" s="5" t="str">
        <f>VLOOKUP(C4273, 'DICIONÁRIO CNAES'!$A:$B, 2, FALSE)</f>
        <v>Comércio de peças e acessórios para veículos automotores</v>
      </c>
      <c r="E4273" s="4">
        <v>8803.62192005</v>
      </c>
      <c r="F4273" s="4">
        <v>22326125.184553001</v>
      </c>
    </row>
    <row r="4274" spans="1:6" x14ac:dyDescent="0.3">
      <c r="A4274" s="3" t="s">
        <v>28</v>
      </c>
      <c r="B4274" s="7" t="str">
        <f>VLOOKUP(VALUE(A4274), 'DICIONÁRIO UF'!$A:$B, 2, FALSE)</f>
        <v>Mato Grosso</v>
      </c>
      <c r="C4274" s="3">
        <v>45040</v>
      </c>
      <c r="D4274" s="5" t="str">
        <f>VLOOKUP(C4274, 'DICIONÁRIO CNAES'!$A:$B, 2, FALSE)</f>
        <v>Comércio, manutenção e reparação de motocicletas, peças e acessórios</v>
      </c>
      <c r="E4274" s="4">
        <v>8752.6312334300001</v>
      </c>
      <c r="F4274" s="4">
        <v>25933944.359067999</v>
      </c>
    </row>
    <row r="4275" spans="1:6" x14ac:dyDescent="0.3">
      <c r="A4275" s="3" t="s">
        <v>28</v>
      </c>
      <c r="B4275" s="7" t="str">
        <f>VLOOKUP(VALUE(A4275), 'DICIONÁRIO UF'!$A:$B, 2, FALSE)</f>
        <v>Mato Grosso</v>
      </c>
      <c r="C4275" s="3">
        <v>48010</v>
      </c>
      <c r="D4275" s="5" t="str">
        <f>VLOOKUP(C4275, 'DICIONÁRIO CNAES'!$A:$B, 2, FALSE)</f>
        <v>Representantes comerciais e agentes do comércio, exceto de veículos automotores e motocicletas</v>
      </c>
      <c r="E4275" s="4">
        <v>1170.68276556</v>
      </c>
      <c r="F4275" s="4">
        <v>2927061.886717</v>
      </c>
    </row>
    <row r="4276" spans="1:6" x14ac:dyDescent="0.3">
      <c r="A4276" s="3" t="s">
        <v>28</v>
      </c>
      <c r="B4276" s="7" t="str">
        <f>VLOOKUP(VALUE(A4276), 'DICIONÁRIO UF'!$A:$B, 2, FALSE)</f>
        <v>Mato Grosso</v>
      </c>
      <c r="C4276" s="3">
        <v>48020</v>
      </c>
      <c r="D4276" s="5" t="str">
        <f>VLOOKUP(C4276, 'DICIONÁRIO CNAES'!$A:$B, 2, FALSE)</f>
        <v>Comércio de matérias-primas agrícolas e animais vivos</v>
      </c>
      <c r="E4276" s="4">
        <v>8719.5846927900002</v>
      </c>
      <c r="F4276" s="4">
        <v>23830530.64720992</v>
      </c>
    </row>
    <row r="4277" spans="1:6" x14ac:dyDescent="0.3">
      <c r="A4277" s="3" t="s">
        <v>28</v>
      </c>
      <c r="B4277" s="7" t="str">
        <f>VLOOKUP(VALUE(A4277), 'DICIONÁRIO UF'!$A:$B, 2, FALSE)</f>
        <v>Mato Grosso</v>
      </c>
      <c r="C4277" s="3">
        <v>48030</v>
      </c>
      <c r="D4277" s="5" t="str">
        <f>VLOOKUP(C4277, 'DICIONÁRIO CNAES'!$A:$B, 2, FALSE)</f>
        <v>Comércio de produtos alimentícios, bebidas e fumo</v>
      </c>
      <c r="E4277" s="4">
        <v>55664.288573110003</v>
      </c>
      <c r="F4277" s="4">
        <v>117388404.6203578</v>
      </c>
    </row>
    <row r="4278" spans="1:6" x14ac:dyDescent="0.3">
      <c r="A4278" s="3" t="s">
        <v>28</v>
      </c>
      <c r="B4278" s="7" t="str">
        <f>VLOOKUP(VALUE(A4278), 'DICIONÁRIO UF'!$A:$B, 2, FALSE)</f>
        <v>Mato Grosso</v>
      </c>
      <c r="C4278" s="3">
        <v>48041</v>
      </c>
      <c r="D4278" s="5" t="str">
        <f>VLOOKUP(C4278, 'DICIONÁRIO CNAES'!$A:$B, 2, FALSE)</f>
        <v>Comércio de tecidos, artefatos de tecidos e armarinho</v>
      </c>
      <c r="E4278" s="4">
        <v>2474.35785562</v>
      </c>
      <c r="F4278" s="4">
        <v>4082233.7877385002</v>
      </c>
    </row>
    <row r="4279" spans="1:6" x14ac:dyDescent="0.3">
      <c r="A4279" s="3" t="s">
        <v>28</v>
      </c>
      <c r="B4279" s="7" t="str">
        <f>VLOOKUP(VALUE(A4279), 'DICIONÁRIO UF'!$A:$B, 2, FALSE)</f>
        <v>Mato Grosso</v>
      </c>
      <c r="C4279" s="3">
        <v>48042</v>
      </c>
      <c r="D4279" s="5" t="str">
        <f>VLOOKUP(C4279, 'DICIONÁRIO CNAES'!$A:$B, 2, FALSE)</f>
        <v>Comércio de artigos do vestuário, complementos, calçados e artigos de viagem</v>
      </c>
      <c r="E4279" s="4">
        <v>37137.710543269997</v>
      </c>
      <c r="F4279" s="4">
        <v>68157952.094998956</v>
      </c>
    </row>
    <row r="4280" spans="1:6" x14ac:dyDescent="0.3">
      <c r="A4280" s="3" t="s">
        <v>28</v>
      </c>
      <c r="B4280" s="7" t="str">
        <f>VLOOKUP(VALUE(A4280), 'DICIONÁRIO UF'!$A:$B, 2, FALSE)</f>
        <v>Mato Grosso</v>
      </c>
      <c r="C4280" s="3">
        <v>48050</v>
      </c>
      <c r="D4280" s="5" t="str">
        <f>VLOOKUP(C4280, 'DICIONÁRIO CNAES'!$A:$B, 2, FALSE)</f>
        <v>Comércio de madeira, material de construção, ferragens e ferramentas</v>
      </c>
      <c r="E4280" s="4">
        <v>35156.145847519998</v>
      </c>
      <c r="F4280" s="4">
        <v>83143151.874683499</v>
      </c>
    </row>
    <row r="4281" spans="1:6" x14ac:dyDescent="0.3">
      <c r="A4281" s="3" t="s">
        <v>28</v>
      </c>
      <c r="B4281" s="7" t="str">
        <f>VLOOKUP(VALUE(A4281), 'DICIONÁRIO UF'!$A:$B, 2, FALSE)</f>
        <v>Mato Grosso</v>
      </c>
      <c r="C4281" s="3">
        <v>48060</v>
      </c>
      <c r="D4281" s="5" t="str">
        <f>VLOOKUP(C4281, 'DICIONÁRIO CNAES'!$A:$B, 2, FALSE)</f>
        <v>Comércio de combustíveis para veículos automotores</v>
      </c>
      <c r="E4281" s="4">
        <v>11946.17184117</v>
      </c>
      <c r="F4281" s="4">
        <v>21110604.87419996</v>
      </c>
    </row>
    <row r="4282" spans="1:6" x14ac:dyDescent="0.3">
      <c r="A4282" s="3" t="s">
        <v>28</v>
      </c>
      <c r="B4282" s="7" t="str">
        <f>VLOOKUP(VALUE(A4282), 'DICIONÁRIO UF'!$A:$B, 2, FALSE)</f>
        <v>Mato Grosso</v>
      </c>
      <c r="C4282" s="3">
        <v>48071</v>
      </c>
      <c r="D4282" s="5" t="str">
        <f>VLOOKUP(C4282, 'DICIONÁRIO CNAES'!$A:$B, 2, FALSE)</f>
        <v>Comércio de produtos farmaceuticos, médicos, ortopédicos, odontológicos e de cosméticos e perfumaria</v>
      </c>
      <c r="E4282" s="4">
        <v>24329.836210720001</v>
      </c>
      <c r="F4282" s="4">
        <v>42171308.174594343</v>
      </c>
    </row>
    <row r="4283" spans="1:6" x14ac:dyDescent="0.3">
      <c r="A4283" s="3" t="s">
        <v>28</v>
      </c>
      <c r="B4283" s="7" t="str">
        <f>VLOOKUP(VALUE(A4283), 'DICIONÁRIO UF'!$A:$B, 2, FALSE)</f>
        <v>Mato Grosso</v>
      </c>
      <c r="C4283" s="3">
        <v>48072</v>
      </c>
      <c r="D4283" s="5" t="str">
        <f>VLOOKUP(C4283, 'DICIONÁRIO CNAES'!$A:$B, 2, FALSE)</f>
        <v>Comércio de artigos de escritório e de papelaria; livros, jornais e outras publicações</v>
      </c>
      <c r="E4283" s="4">
        <v>2470.65798954</v>
      </c>
      <c r="F4283" s="4">
        <v>10197180.097353</v>
      </c>
    </row>
    <row r="4284" spans="1:6" x14ac:dyDescent="0.3">
      <c r="A4284" s="3" t="s">
        <v>28</v>
      </c>
      <c r="B4284" s="7" t="str">
        <f>VLOOKUP(VALUE(A4284), 'DICIONÁRIO UF'!$A:$B, 2, FALSE)</f>
        <v>Mato Grosso</v>
      </c>
      <c r="C4284" s="3">
        <v>48073</v>
      </c>
      <c r="D4284" s="5" t="str">
        <f>VLOOKUP(C4284, 'DICIONÁRIO CNAES'!$A:$B, 2, FALSE)</f>
        <v>Comércio de eletrodomésticos, móveis e outros artigos de residência</v>
      </c>
      <c r="E4284" s="4">
        <v>14524.88444756</v>
      </c>
      <c r="F4284" s="4">
        <v>34748373.617550597</v>
      </c>
    </row>
    <row r="4285" spans="1:6" x14ac:dyDescent="0.3">
      <c r="A4285" s="3" t="s">
        <v>28</v>
      </c>
      <c r="B4285" s="7" t="str">
        <f>VLOOKUP(VALUE(A4285), 'DICIONÁRIO UF'!$A:$B, 2, FALSE)</f>
        <v>Mato Grosso</v>
      </c>
      <c r="C4285" s="3">
        <v>48074</v>
      </c>
      <c r="D4285" s="5" t="str">
        <f>VLOOKUP(C4285, 'DICIONÁRIO CNAES'!$A:$B, 2, FALSE)</f>
        <v>Comércio de equipamentos e produtos de tecnologias de informação e comunicação</v>
      </c>
      <c r="E4285" s="4">
        <v>2437.7977706699999</v>
      </c>
      <c r="F4285" s="4">
        <v>6163413.7701589996</v>
      </c>
    </row>
    <row r="4286" spans="1:6" x14ac:dyDescent="0.3">
      <c r="A4286" s="3" t="s">
        <v>28</v>
      </c>
      <c r="B4286" s="7" t="str">
        <f>VLOOKUP(VALUE(A4286), 'DICIONÁRIO UF'!$A:$B, 2, FALSE)</f>
        <v>Mato Grosso</v>
      </c>
      <c r="C4286" s="3">
        <v>48075</v>
      </c>
      <c r="D4286" s="5" t="str">
        <f>VLOOKUP(C4286, 'DICIONÁRIO CNAES'!$A:$B, 2, FALSE)</f>
        <v xml:space="preserve">Comércio de máquinas, aparelhos e equipamentos, exceto eletrodomésticos </v>
      </c>
      <c r="E4286" s="4">
        <v>10474.67483417</v>
      </c>
      <c r="F4286" s="4">
        <v>38626494.419030651</v>
      </c>
    </row>
    <row r="4287" spans="1:6" x14ac:dyDescent="0.3">
      <c r="A4287" s="3" t="s">
        <v>28</v>
      </c>
      <c r="B4287" s="7" t="str">
        <f>VLOOKUP(VALUE(A4287), 'DICIONÁRIO UF'!$A:$B, 2, FALSE)</f>
        <v>Mato Grosso</v>
      </c>
      <c r="C4287" s="3">
        <v>48076</v>
      </c>
      <c r="D4287" s="5" t="str">
        <f>VLOOKUP(C4287, 'DICIONÁRIO CNAES'!$A:$B, 2, FALSE)</f>
        <v>Comércio de combustíveis sólidos, líquidos e gasosos, exceto para veículos automotores</v>
      </c>
      <c r="E4287" s="4">
        <v>4514.17963126</v>
      </c>
      <c r="F4287" s="4">
        <v>8136378.7013689997</v>
      </c>
    </row>
    <row r="4288" spans="1:6" x14ac:dyDescent="0.3">
      <c r="A4288" s="3" t="s">
        <v>28</v>
      </c>
      <c r="B4288" s="7" t="str">
        <f>VLOOKUP(VALUE(A4288), 'DICIONÁRIO UF'!$A:$B, 2, FALSE)</f>
        <v>Mato Grosso</v>
      </c>
      <c r="C4288" s="3">
        <v>48077</v>
      </c>
      <c r="D4288" s="5" t="str">
        <f>VLOOKUP(C4288, 'DICIONÁRIO CNAES'!$A:$B, 2, FALSE)</f>
        <v>Comércio de produtos usados</v>
      </c>
      <c r="E4288" s="4">
        <v>308.77584386000001</v>
      </c>
      <c r="F4288" s="4">
        <v>518208.92770700011</v>
      </c>
    </row>
    <row r="4289" spans="1:6" x14ac:dyDescent="0.3">
      <c r="A4289" s="3" t="s">
        <v>28</v>
      </c>
      <c r="B4289" s="7" t="str">
        <f>VLOOKUP(VALUE(A4289), 'DICIONÁRIO UF'!$A:$B, 2, FALSE)</f>
        <v>Mato Grosso</v>
      </c>
      <c r="C4289" s="3">
        <v>48078</v>
      </c>
      <c r="D4289" s="5" t="str">
        <f>VLOOKUP(C4289, 'DICIONÁRIO CNAES'!$A:$B, 2, FALSE)</f>
        <v>Comercio de residuos e sucatas</v>
      </c>
      <c r="E4289" s="4">
        <v>1481.1622448999999</v>
      </c>
      <c r="F4289" s="4">
        <v>1920293.2519604999</v>
      </c>
    </row>
    <row r="4290" spans="1:6" x14ac:dyDescent="0.3">
      <c r="A4290" s="3" t="s">
        <v>28</v>
      </c>
      <c r="B4290" s="7" t="str">
        <f>VLOOKUP(VALUE(A4290), 'DICIONÁRIO UF'!$A:$B, 2, FALSE)</f>
        <v>Mato Grosso</v>
      </c>
      <c r="C4290" s="3">
        <v>48079</v>
      </c>
      <c r="D4290" s="5" t="str">
        <f>VLOOKUP(C4290, 'DICIONÁRIO CNAES'!$A:$B, 2, FALSE)</f>
        <v>Comércio de produtos novos não especificados anteriormente</v>
      </c>
      <c r="E4290" s="4">
        <v>30889.14182841</v>
      </c>
      <c r="F4290" s="4">
        <v>70962789.875577986</v>
      </c>
    </row>
    <row r="4291" spans="1:6" x14ac:dyDescent="0.3">
      <c r="A4291" s="3" t="s">
        <v>28</v>
      </c>
      <c r="B4291" s="7" t="str">
        <f>VLOOKUP(VALUE(A4291), 'DICIONÁRIO UF'!$A:$B, 2, FALSE)</f>
        <v>Mato Grosso</v>
      </c>
      <c r="C4291" s="3">
        <v>48080</v>
      </c>
      <c r="D4291" s="5" t="str">
        <f>VLOOKUP(C4291, 'DICIONÁRIO CNAES'!$A:$B, 2, FALSE)</f>
        <v>Supermercado e hipermercado</v>
      </c>
      <c r="E4291" s="4">
        <v>53515.853220359997</v>
      </c>
      <c r="F4291" s="4">
        <v>92045904.216122404</v>
      </c>
    </row>
    <row r="4292" spans="1:6" x14ac:dyDescent="0.3">
      <c r="A4292" s="3" t="s">
        <v>28</v>
      </c>
      <c r="B4292" s="7" t="str">
        <f>VLOOKUP(VALUE(A4292), 'DICIONÁRIO UF'!$A:$B, 2, FALSE)</f>
        <v>Mato Grosso</v>
      </c>
      <c r="C4292" s="3">
        <v>48090</v>
      </c>
      <c r="D4292" s="5" t="str">
        <f>VLOOKUP(C4292, 'DICIONÁRIO CNAES'!$A:$B, 2, FALSE)</f>
        <v>Lojas de departamento e outros comércios não especializados, sem predominância de produtos alimentícios</v>
      </c>
      <c r="E4292" s="4">
        <v>1654.5540211</v>
      </c>
      <c r="F4292" s="4">
        <v>2393516.1839153999</v>
      </c>
    </row>
    <row r="4293" spans="1:6" x14ac:dyDescent="0.3">
      <c r="A4293" s="3" t="s">
        <v>28</v>
      </c>
      <c r="B4293" s="7" t="str">
        <f>VLOOKUP(VALUE(A4293), 'DICIONÁRIO UF'!$A:$B, 2, FALSE)</f>
        <v>Mato Grosso</v>
      </c>
      <c r="C4293" s="3">
        <v>48100</v>
      </c>
      <c r="D4293" s="5" t="str">
        <f>VLOOKUP(C4293, 'DICIONÁRIO CNAES'!$A:$B, 2, FALSE)</f>
        <v>Comércio ambulante e feiras</v>
      </c>
      <c r="E4293" s="4">
        <v>10559.552989809999</v>
      </c>
      <c r="F4293" s="4">
        <v>12227891.960686199</v>
      </c>
    </row>
    <row r="4294" spans="1:6" x14ac:dyDescent="0.3">
      <c r="A4294" s="3" t="s">
        <v>28</v>
      </c>
      <c r="B4294" s="7" t="str">
        <f>VLOOKUP(VALUE(A4294), 'DICIONÁRIO UF'!$A:$B, 2, FALSE)</f>
        <v>Mato Grosso</v>
      </c>
      <c r="C4294" s="3">
        <v>49010</v>
      </c>
      <c r="D4294" s="5" t="str">
        <f>VLOOKUP(C4294, 'DICIONÁRIO CNAES'!$A:$B, 2, FALSE)</f>
        <v>Transporte ferroviário e metroferroviário</v>
      </c>
      <c r="E4294" s="4">
        <v>1041.5411761</v>
      </c>
      <c r="F4294" s="4">
        <v>2657676.7204410001</v>
      </c>
    </row>
    <row r="4295" spans="1:6" x14ac:dyDescent="0.3">
      <c r="A4295" s="3" t="s">
        <v>28</v>
      </c>
      <c r="B4295" s="7" t="str">
        <f>VLOOKUP(VALUE(A4295), 'DICIONÁRIO UF'!$A:$B, 2, FALSE)</f>
        <v>Mato Grosso</v>
      </c>
      <c r="C4295" s="3">
        <v>49030</v>
      </c>
      <c r="D4295" s="5" t="str">
        <f>VLOOKUP(C4295, 'DICIONÁRIO CNAES'!$A:$B, 2, FALSE)</f>
        <v>Transporte rodoviário de passageiros</v>
      </c>
      <c r="E4295" s="4">
        <v>18865.739458640001</v>
      </c>
      <c r="F4295" s="4">
        <v>47092870.968407102</v>
      </c>
    </row>
    <row r="4296" spans="1:6" x14ac:dyDescent="0.3">
      <c r="A4296" s="3" t="s">
        <v>28</v>
      </c>
      <c r="B4296" s="7" t="str">
        <f>VLOOKUP(VALUE(A4296), 'DICIONÁRIO UF'!$A:$B, 2, FALSE)</f>
        <v>Mato Grosso</v>
      </c>
      <c r="C4296" s="3">
        <v>49040</v>
      </c>
      <c r="D4296" s="5" t="str">
        <f>VLOOKUP(C4296, 'DICIONÁRIO CNAES'!$A:$B, 2, FALSE)</f>
        <v>Transporte rodoviário de carga</v>
      </c>
      <c r="E4296" s="4">
        <v>58406.330375060003</v>
      </c>
      <c r="F4296" s="4">
        <v>172242130.17302471</v>
      </c>
    </row>
    <row r="4297" spans="1:6" x14ac:dyDescent="0.3">
      <c r="A4297" s="3" t="s">
        <v>28</v>
      </c>
      <c r="B4297" s="7" t="str">
        <f>VLOOKUP(VALUE(A4297), 'DICIONÁRIO UF'!$A:$B, 2, FALSE)</f>
        <v>Mato Grosso</v>
      </c>
      <c r="C4297" s="3">
        <v>51000</v>
      </c>
      <c r="D4297" s="5" t="str">
        <f>VLOOKUP(C4297, 'DICIONÁRIO CNAES'!$A:$B, 2, FALSE)</f>
        <v>Transporte Aéreo</v>
      </c>
      <c r="E4297" s="4">
        <v>370.47015732</v>
      </c>
      <c r="F4297" s="4">
        <v>1178476.2695599999</v>
      </c>
    </row>
    <row r="4298" spans="1:6" x14ac:dyDescent="0.3">
      <c r="A4298" s="3" t="s">
        <v>28</v>
      </c>
      <c r="B4298" s="7" t="str">
        <f>VLOOKUP(VALUE(A4298), 'DICIONÁRIO UF'!$A:$B, 2, FALSE)</f>
        <v>Mato Grosso</v>
      </c>
      <c r="C4298" s="3">
        <v>52010</v>
      </c>
      <c r="D4298" s="5" t="str">
        <f>VLOOKUP(C4298, 'DICIONÁRIO CNAES'!$A:$B, 2, FALSE)</f>
        <v>Armazenamento, carga e descarga</v>
      </c>
      <c r="E4298" s="4">
        <v>8126.5772509899998</v>
      </c>
      <c r="F4298" s="4">
        <v>17184310.153094951</v>
      </c>
    </row>
    <row r="4299" spans="1:6" x14ac:dyDescent="0.3">
      <c r="A4299" s="3" t="s">
        <v>28</v>
      </c>
      <c r="B4299" s="7" t="str">
        <f>VLOOKUP(VALUE(A4299), 'DICIONÁRIO UF'!$A:$B, 2, FALSE)</f>
        <v>Mato Grosso</v>
      </c>
      <c r="C4299" s="3">
        <v>52020</v>
      </c>
      <c r="D4299" s="5" t="str">
        <f>VLOOKUP(C4299, 'DICIONÁRIO CNAES'!$A:$B, 2, FALSE)</f>
        <v xml:space="preserve">Atividades auxiliares dos transportes e atividades relacionadas à organização do transporte de carga </v>
      </c>
      <c r="E4299" s="4">
        <v>3463.1399387900001</v>
      </c>
      <c r="F4299" s="4">
        <v>5576957.7511869986</v>
      </c>
    </row>
    <row r="4300" spans="1:6" x14ac:dyDescent="0.3">
      <c r="A4300" s="3" t="s">
        <v>28</v>
      </c>
      <c r="B4300" s="7" t="str">
        <f>VLOOKUP(VALUE(A4300), 'DICIONÁRIO UF'!$A:$B, 2, FALSE)</f>
        <v>Mato Grosso</v>
      </c>
      <c r="C4300" s="3">
        <v>53001</v>
      </c>
      <c r="D4300" s="5" t="str">
        <f>VLOOKUP(C4300, 'DICIONÁRIO CNAES'!$A:$B, 2, FALSE)</f>
        <v>Atividades de Correio</v>
      </c>
      <c r="E4300" s="4">
        <v>2200.3673078900001</v>
      </c>
      <c r="F4300" s="4">
        <v>6505495.305311</v>
      </c>
    </row>
    <row r="4301" spans="1:6" x14ac:dyDescent="0.3">
      <c r="A4301" s="3" t="s">
        <v>28</v>
      </c>
      <c r="B4301" s="7" t="str">
        <f>VLOOKUP(VALUE(A4301), 'DICIONÁRIO UF'!$A:$B, 2, FALSE)</f>
        <v>Mato Grosso</v>
      </c>
      <c r="C4301" s="3">
        <v>53002</v>
      </c>
      <c r="D4301" s="5" t="str">
        <f>VLOOKUP(C4301, 'DICIONÁRIO CNAES'!$A:$B, 2, FALSE)</f>
        <v>Atividades de malote e de entrega</v>
      </c>
      <c r="E4301" s="4">
        <v>8201.8793371100001</v>
      </c>
      <c r="F4301" s="4">
        <v>16621972.19476275</v>
      </c>
    </row>
    <row r="4302" spans="1:6" x14ac:dyDescent="0.3">
      <c r="A4302" s="3" t="s">
        <v>28</v>
      </c>
      <c r="B4302" s="7" t="str">
        <f>VLOOKUP(VALUE(A4302), 'DICIONÁRIO UF'!$A:$B, 2, FALSE)</f>
        <v>Mato Grosso</v>
      </c>
      <c r="C4302" s="3">
        <v>55000</v>
      </c>
      <c r="D4302" s="5" t="str">
        <f>VLOOKUP(C4302, 'DICIONÁRIO CNAES'!$A:$B, 2, FALSE)</f>
        <v>Alojamento</v>
      </c>
      <c r="E4302" s="4">
        <v>7882.9828150100002</v>
      </c>
      <c r="F4302" s="4">
        <v>12183516.945506999</v>
      </c>
    </row>
    <row r="4303" spans="1:6" x14ac:dyDescent="0.3">
      <c r="A4303" s="3" t="s">
        <v>28</v>
      </c>
      <c r="B4303" s="7" t="str">
        <f>VLOOKUP(VALUE(A4303), 'DICIONÁRIO UF'!$A:$B, 2, FALSE)</f>
        <v>Mato Grosso</v>
      </c>
      <c r="C4303" s="3">
        <v>56011</v>
      </c>
      <c r="D4303" s="5" t="str">
        <f>VLOOKUP(C4303, 'DICIONÁRIO CNAES'!$A:$B, 2, FALSE)</f>
        <v>Restaurantes e outros estabelecimentos de serviços de alimentação e bebidas</v>
      </c>
      <c r="E4303" s="4">
        <v>62276.71636151</v>
      </c>
      <c r="F4303" s="4">
        <v>104255783.7428232</v>
      </c>
    </row>
    <row r="4304" spans="1:6" x14ac:dyDescent="0.3">
      <c r="A4304" s="3" t="s">
        <v>28</v>
      </c>
      <c r="B4304" s="7" t="str">
        <f>VLOOKUP(VALUE(A4304), 'DICIONÁRIO UF'!$A:$B, 2, FALSE)</f>
        <v>Mato Grosso</v>
      </c>
      <c r="C4304" s="3">
        <v>56012</v>
      </c>
      <c r="D4304" s="5" t="str">
        <f>VLOOKUP(C4304, 'DICIONÁRIO CNAES'!$A:$B, 2, FALSE)</f>
        <v>Serviços de catering, bufê e outros serviços de comida preparada</v>
      </c>
      <c r="E4304" s="4">
        <v>9302.1018310300005</v>
      </c>
      <c r="F4304" s="4">
        <v>10908985.805503</v>
      </c>
    </row>
    <row r="4305" spans="1:6" x14ac:dyDescent="0.3">
      <c r="A4305" s="3" t="s">
        <v>28</v>
      </c>
      <c r="B4305" s="7" t="str">
        <f>VLOOKUP(VALUE(A4305), 'DICIONÁRIO UF'!$A:$B, 2, FALSE)</f>
        <v>Mato Grosso</v>
      </c>
      <c r="C4305" s="3">
        <v>56020</v>
      </c>
      <c r="D4305" s="5" t="str">
        <f>VLOOKUP(C4305, 'DICIONÁRIO CNAES'!$A:$B, 2, FALSE)</f>
        <v>Serviços ambulantes de alimentação</v>
      </c>
      <c r="E4305" s="4">
        <v>2010.50207342</v>
      </c>
      <c r="F4305" s="4">
        <v>2744922.3777005002</v>
      </c>
    </row>
    <row r="4306" spans="1:6" x14ac:dyDescent="0.3">
      <c r="A4306" s="3" t="s">
        <v>28</v>
      </c>
      <c r="B4306" s="7" t="str">
        <f>VLOOKUP(VALUE(A4306), 'DICIONÁRIO UF'!$A:$B, 2, FALSE)</f>
        <v>Mato Grosso</v>
      </c>
      <c r="C4306" s="3">
        <v>59000</v>
      </c>
      <c r="D4306" s="5" t="str">
        <f>VLOOKUP(C4306, 'DICIONÁRIO CNAES'!$A:$B, 2, FALSE)</f>
        <v>Atividades cinematográficas, produção de vídeos e de programas de televisão, gravação de som e de música</v>
      </c>
      <c r="E4306" s="4">
        <v>230.52842899999999</v>
      </c>
      <c r="F4306" s="4">
        <v>322739.80060000002</v>
      </c>
    </row>
    <row r="4307" spans="1:6" x14ac:dyDescent="0.3">
      <c r="A4307" s="3" t="s">
        <v>28</v>
      </c>
      <c r="B4307" s="7" t="str">
        <f>VLOOKUP(VALUE(A4307), 'DICIONÁRIO UF'!$A:$B, 2, FALSE)</f>
        <v>Mato Grosso</v>
      </c>
      <c r="C4307" s="3">
        <v>60001</v>
      </c>
      <c r="D4307" s="5" t="str">
        <f>VLOOKUP(C4307, 'DICIONÁRIO CNAES'!$A:$B, 2, FALSE)</f>
        <v>Atividades de rádio</v>
      </c>
      <c r="E4307" s="4">
        <v>2160.7595114800001</v>
      </c>
      <c r="F4307" s="4">
        <v>3462432.2643749998</v>
      </c>
    </row>
    <row r="4308" spans="1:6" x14ac:dyDescent="0.3">
      <c r="A4308" s="3" t="s">
        <v>28</v>
      </c>
      <c r="B4308" s="7" t="str">
        <f>VLOOKUP(VALUE(A4308), 'DICIONÁRIO UF'!$A:$B, 2, FALSE)</f>
        <v>Mato Grosso</v>
      </c>
      <c r="C4308" s="3">
        <v>60002</v>
      </c>
      <c r="D4308" s="5" t="str">
        <f>VLOOKUP(C4308, 'DICIONÁRIO CNAES'!$A:$B, 2, FALSE)</f>
        <v>Atividades de televisão</v>
      </c>
      <c r="E4308" s="4">
        <v>846.77980253999999</v>
      </c>
      <c r="F4308" s="4">
        <v>2370983.4471120001</v>
      </c>
    </row>
    <row r="4309" spans="1:6" x14ac:dyDescent="0.3">
      <c r="A4309" s="3" t="s">
        <v>28</v>
      </c>
      <c r="B4309" s="7" t="str">
        <f>VLOOKUP(VALUE(A4309), 'DICIONÁRIO UF'!$A:$B, 2, FALSE)</f>
        <v>Mato Grosso</v>
      </c>
      <c r="C4309" s="3">
        <v>61000</v>
      </c>
      <c r="D4309" s="5" t="str">
        <f>VLOOKUP(C4309, 'DICIONÁRIO CNAES'!$A:$B, 2, FALSE)</f>
        <v>Telecomunicações</v>
      </c>
      <c r="E4309" s="4">
        <v>5013.0787949200003</v>
      </c>
      <c r="F4309" s="4">
        <v>8378049.6686859</v>
      </c>
    </row>
    <row r="4310" spans="1:6" x14ac:dyDescent="0.3">
      <c r="A4310" s="3" t="s">
        <v>28</v>
      </c>
      <c r="B4310" s="7" t="str">
        <f>VLOOKUP(VALUE(A4310), 'DICIONÁRIO UF'!$A:$B, 2, FALSE)</f>
        <v>Mato Grosso</v>
      </c>
      <c r="C4310" s="3">
        <v>62000</v>
      </c>
      <c r="D4310" s="5" t="str">
        <f>VLOOKUP(C4310, 'DICIONÁRIO CNAES'!$A:$B, 2, FALSE)</f>
        <v>Atividades dos serviços de tecnologia da informação</v>
      </c>
      <c r="E4310" s="4">
        <v>4283.3275033600003</v>
      </c>
      <c r="F4310" s="4">
        <v>30778355.320338849</v>
      </c>
    </row>
    <row r="4311" spans="1:6" x14ac:dyDescent="0.3">
      <c r="A4311" s="3" t="s">
        <v>28</v>
      </c>
      <c r="B4311" s="7" t="str">
        <f>VLOOKUP(VALUE(A4311), 'DICIONÁRIO UF'!$A:$B, 2, FALSE)</f>
        <v>Mato Grosso</v>
      </c>
      <c r="C4311" s="3">
        <v>63000</v>
      </c>
      <c r="D4311" s="5" t="str">
        <f>VLOOKUP(C4311, 'DICIONÁRIO CNAES'!$A:$B, 2, FALSE)</f>
        <v>Atividades de prestação de serviços de informação</v>
      </c>
      <c r="E4311" s="4">
        <v>219.35278345</v>
      </c>
      <c r="F4311" s="4">
        <v>438705.56689999998</v>
      </c>
    </row>
    <row r="4312" spans="1:6" x14ac:dyDescent="0.3">
      <c r="A4312" s="3" t="s">
        <v>28</v>
      </c>
      <c r="B4312" s="7" t="str">
        <f>VLOOKUP(VALUE(A4312), 'DICIONÁRIO UF'!$A:$B, 2, FALSE)</f>
        <v>Mato Grosso</v>
      </c>
      <c r="C4312" s="3">
        <v>64000</v>
      </c>
      <c r="D4312" s="5" t="str">
        <f>VLOOKUP(C4312, 'DICIONÁRIO CNAES'!$A:$B, 2, FALSE)</f>
        <v>Serviços financeiros</v>
      </c>
      <c r="E4312" s="4">
        <v>11932.262486690001</v>
      </c>
      <c r="F4312" s="4">
        <v>44976469.444686748</v>
      </c>
    </row>
    <row r="4313" spans="1:6" x14ac:dyDescent="0.3">
      <c r="A4313" s="3" t="s">
        <v>28</v>
      </c>
      <c r="B4313" s="7" t="str">
        <f>VLOOKUP(VALUE(A4313), 'DICIONÁRIO UF'!$A:$B, 2, FALSE)</f>
        <v>Mato Grosso</v>
      </c>
      <c r="C4313" s="3">
        <v>65000</v>
      </c>
      <c r="D4313" s="5" t="str">
        <f>VLOOKUP(C4313, 'DICIONÁRIO CNAES'!$A:$B, 2, FALSE)</f>
        <v>Seguros e previdência privada</v>
      </c>
      <c r="E4313" s="4">
        <v>2416.5506157300001</v>
      </c>
      <c r="F4313" s="4">
        <v>5293650.5540284002</v>
      </c>
    </row>
    <row r="4314" spans="1:6" x14ac:dyDescent="0.3">
      <c r="A4314" s="3" t="s">
        <v>28</v>
      </c>
      <c r="B4314" s="7" t="str">
        <f>VLOOKUP(VALUE(A4314), 'DICIONÁRIO UF'!$A:$B, 2, FALSE)</f>
        <v>Mato Grosso</v>
      </c>
      <c r="C4314" s="3">
        <v>66001</v>
      </c>
      <c r="D4314" s="5" t="str">
        <f>VLOOKUP(C4314, 'DICIONÁRIO CNAES'!$A:$B, 2, FALSE)</f>
        <v>Atividades auxiliares dos serviços financeiros</v>
      </c>
      <c r="E4314" s="4">
        <v>1724.1731585800001</v>
      </c>
      <c r="F4314" s="4">
        <v>4599949.0231410004</v>
      </c>
    </row>
    <row r="4315" spans="1:6" x14ac:dyDescent="0.3">
      <c r="A4315" s="3" t="s">
        <v>28</v>
      </c>
      <c r="B4315" s="7" t="str">
        <f>VLOOKUP(VALUE(A4315), 'DICIONÁRIO UF'!$A:$B, 2, FALSE)</f>
        <v>Mato Grosso</v>
      </c>
      <c r="C4315" s="3">
        <v>66002</v>
      </c>
      <c r="D4315" s="5" t="str">
        <f>VLOOKUP(C4315, 'DICIONÁRIO CNAES'!$A:$B, 2, FALSE)</f>
        <v>Atividades auxiliares dos seguros, da previdência complementar e dos planos de saúde</v>
      </c>
      <c r="E4315" s="4">
        <v>1001.46455472</v>
      </c>
      <c r="F4315" s="4">
        <v>3794191.3377299998</v>
      </c>
    </row>
    <row r="4316" spans="1:6" x14ac:dyDescent="0.3">
      <c r="A4316" s="3" t="s">
        <v>28</v>
      </c>
      <c r="B4316" s="7" t="str">
        <f>VLOOKUP(VALUE(A4316), 'DICIONÁRIO UF'!$A:$B, 2, FALSE)</f>
        <v>Mato Grosso</v>
      </c>
      <c r="C4316" s="3">
        <v>68000</v>
      </c>
      <c r="D4316" s="5" t="str">
        <f>VLOOKUP(C4316, 'DICIONÁRIO CNAES'!$A:$B, 2, FALSE)</f>
        <v>Atividades imobiliárias</v>
      </c>
      <c r="E4316" s="4">
        <v>10223.41181888</v>
      </c>
      <c r="F4316" s="4">
        <v>33796513.557379</v>
      </c>
    </row>
    <row r="4317" spans="1:6" x14ac:dyDescent="0.3">
      <c r="A4317" s="3" t="s">
        <v>28</v>
      </c>
      <c r="B4317" s="7" t="str">
        <f>VLOOKUP(VALUE(A4317), 'DICIONÁRIO UF'!$A:$B, 2, FALSE)</f>
        <v>Mato Grosso</v>
      </c>
      <c r="C4317" s="3">
        <v>69000</v>
      </c>
      <c r="D4317" s="5" t="str">
        <f>VLOOKUP(C4317, 'DICIONÁRIO CNAES'!$A:$B, 2, FALSE)</f>
        <v xml:space="preserve">Atividades jurídicas, de contabilidade e de auditoria </v>
      </c>
      <c r="E4317" s="4">
        <v>35368.406619419999</v>
      </c>
      <c r="F4317" s="4">
        <v>133342575.77903859</v>
      </c>
    </row>
    <row r="4318" spans="1:6" x14ac:dyDescent="0.3">
      <c r="A4318" s="3" t="s">
        <v>28</v>
      </c>
      <c r="B4318" s="7" t="str">
        <f>VLOOKUP(VALUE(A4318), 'DICIONÁRIO UF'!$A:$B, 2, FALSE)</f>
        <v>Mato Grosso</v>
      </c>
      <c r="C4318" s="3">
        <v>70000</v>
      </c>
      <c r="D4318" s="5" t="str">
        <f>VLOOKUP(C4318, 'DICIONÁRIO CNAES'!$A:$B, 2, FALSE)</f>
        <v>Atividades de consultoria em gestão empresarial</v>
      </c>
      <c r="E4318" s="4">
        <v>1669.6368853199999</v>
      </c>
      <c r="F4318" s="4">
        <v>16207688.024754999</v>
      </c>
    </row>
    <row r="4319" spans="1:6" x14ac:dyDescent="0.3">
      <c r="A4319" s="3" t="s">
        <v>28</v>
      </c>
      <c r="B4319" s="7" t="str">
        <f>VLOOKUP(VALUE(A4319), 'DICIONÁRIO UF'!$A:$B, 2, FALSE)</f>
        <v>Mato Grosso</v>
      </c>
      <c r="C4319" s="3">
        <v>71000</v>
      </c>
      <c r="D4319" s="5" t="str">
        <f>VLOOKUP(C4319, 'DICIONÁRIO CNAES'!$A:$B, 2, FALSE)</f>
        <v>Serviços de arquitetura e engenharia e atividades técnicas relacionadas; Testes e análises técnicas</v>
      </c>
      <c r="E4319" s="4">
        <v>9093.4950775100006</v>
      </c>
      <c r="F4319" s="4">
        <v>29923672.874898002</v>
      </c>
    </row>
    <row r="4320" spans="1:6" x14ac:dyDescent="0.3">
      <c r="A4320" s="3" t="s">
        <v>28</v>
      </c>
      <c r="B4320" s="7" t="str">
        <f>VLOOKUP(VALUE(A4320), 'DICIONÁRIO UF'!$A:$B, 2, FALSE)</f>
        <v>Mato Grosso</v>
      </c>
      <c r="C4320" s="3">
        <v>72000</v>
      </c>
      <c r="D4320" s="5" t="str">
        <f>VLOOKUP(C4320, 'DICIONÁRIO CNAES'!$A:$B, 2, FALSE)</f>
        <v>Pesquisa e desenvolvimento científico</v>
      </c>
      <c r="E4320" s="4">
        <v>223.22414094000001</v>
      </c>
      <c r="F4320" s="4">
        <v>379481.039598</v>
      </c>
    </row>
    <row r="4321" spans="1:6" x14ac:dyDescent="0.3">
      <c r="A4321" s="3" t="s">
        <v>28</v>
      </c>
      <c r="B4321" s="7" t="str">
        <f>VLOOKUP(VALUE(A4321), 'DICIONÁRIO UF'!$A:$B, 2, FALSE)</f>
        <v>Mato Grosso</v>
      </c>
      <c r="C4321" s="3">
        <v>73010</v>
      </c>
      <c r="D4321" s="5" t="str">
        <f>VLOOKUP(C4321, 'DICIONÁRIO CNAES'!$A:$B, 2, FALSE)</f>
        <v>Publicidade</v>
      </c>
      <c r="E4321" s="4">
        <v>2245.5787524500001</v>
      </c>
      <c r="F4321" s="4">
        <v>5797138.5489630001</v>
      </c>
    </row>
    <row r="4322" spans="1:6" x14ac:dyDescent="0.3">
      <c r="A4322" s="3" t="s">
        <v>28</v>
      </c>
      <c r="B4322" s="7" t="str">
        <f>VLOOKUP(VALUE(A4322), 'DICIONÁRIO UF'!$A:$B, 2, FALSE)</f>
        <v>Mato Grosso</v>
      </c>
      <c r="C4322" s="3">
        <v>74000</v>
      </c>
      <c r="D4322" s="5" t="str">
        <f>VLOOKUP(C4322, 'DICIONÁRIO CNAES'!$A:$B, 2, FALSE)</f>
        <v>Outras atividades profissionais, científicas e técnicas não especificadas anteriormente</v>
      </c>
      <c r="E4322" s="4">
        <v>7128.1490421999997</v>
      </c>
      <c r="F4322" s="4">
        <v>43418861.837525003</v>
      </c>
    </row>
    <row r="4323" spans="1:6" x14ac:dyDescent="0.3">
      <c r="A4323" s="3" t="s">
        <v>28</v>
      </c>
      <c r="B4323" s="7" t="str">
        <f>VLOOKUP(VALUE(A4323), 'DICIONÁRIO UF'!$A:$B, 2, FALSE)</f>
        <v>Mato Grosso</v>
      </c>
      <c r="C4323" s="3">
        <v>75000</v>
      </c>
      <c r="D4323" s="5" t="str">
        <f>VLOOKUP(C4323, 'DICIONÁRIO CNAES'!$A:$B, 2, FALSE)</f>
        <v>Atividades veterinárias</v>
      </c>
      <c r="E4323" s="4">
        <v>4401.0762217700003</v>
      </c>
      <c r="F4323" s="4">
        <v>15026706.46847</v>
      </c>
    </row>
    <row r="4324" spans="1:6" x14ac:dyDescent="0.3">
      <c r="A4324" s="3" t="s">
        <v>28</v>
      </c>
      <c r="B4324" s="7" t="str">
        <f>VLOOKUP(VALUE(A4324), 'DICIONÁRIO UF'!$A:$B, 2, FALSE)</f>
        <v>Mato Grosso</v>
      </c>
      <c r="C4324" s="3">
        <v>77010</v>
      </c>
      <c r="D4324" s="5" t="str">
        <f>VLOOKUP(C4324, 'DICIONÁRIO CNAES'!$A:$B, 2, FALSE)</f>
        <v>Aluguel de objetos pessoais e domésticos</v>
      </c>
      <c r="E4324" s="4">
        <v>627.43288975999997</v>
      </c>
      <c r="F4324" s="4">
        <v>2470239.7250319999</v>
      </c>
    </row>
    <row r="4325" spans="1:6" x14ac:dyDescent="0.3">
      <c r="A4325" s="3" t="s">
        <v>28</v>
      </c>
      <c r="B4325" s="7" t="str">
        <f>VLOOKUP(VALUE(A4325), 'DICIONÁRIO UF'!$A:$B, 2, FALSE)</f>
        <v>Mato Grosso</v>
      </c>
      <c r="C4325" s="3">
        <v>77020</v>
      </c>
      <c r="D4325" s="5" t="str">
        <f>VLOOKUP(C4325, 'DICIONÁRIO CNAES'!$A:$B, 2, FALSE)</f>
        <v>Aluguel de meios de transportes, maquinas e equipamentos sem operador e gestão de ativos intangíveis não financeiros</v>
      </c>
      <c r="E4325" s="4">
        <v>587.59335895000004</v>
      </c>
      <c r="F4325" s="4">
        <v>1793484.2345</v>
      </c>
    </row>
    <row r="4326" spans="1:6" x14ac:dyDescent="0.3">
      <c r="A4326" s="3" t="s">
        <v>28</v>
      </c>
      <c r="B4326" s="7" t="str">
        <f>VLOOKUP(VALUE(A4326), 'DICIONÁRIO UF'!$A:$B, 2, FALSE)</f>
        <v>Mato Grosso</v>
      </c>
      <c r="C4326" s="3">
        <v>78000</v>
      </c>
      <c r="D4326" s="5" t="str">
        <f>VLOOKUP(C4326, 'DICIONÁRIO CNAES'!$A:$B, 2, FALSE)</f>
        <v>Seleção, agenciamento e locação de mão-de-obra</v>
      </c>
      <c r="E4326" s="4">
        <v>13005.797636859999</v>
      </c>
      <c r="F4326" s="4">
        <v>31778440.302264448</v>
      </c>
    </row>
    <row r="4327" spans="1:6" x14ac:dyDescent="0.3">
      <c r="A4327" s="3" t="s">
        <v>28</v>
      </c>
      <c r="B4327" s="7" t="str">
        <f>VLOOKUP(VALUE(A4327), 'DICIONÁRIO UF'!$A:$B, 2, FALSE)</f>
        <v>Mato Grosso</v>
      </c>
      <c r="C4327" s="3">
        <v>79000</v>
      </c>
      <c r="D4327" s="5" t="str">
        <f>VLOOKUP(C4327, 'DICIONÁRIO CNAES'!$A:$B, 2, FALSE)</f>
        <v>Agências de viagens, operadores turísticos e serviços de reservas</v>
      </c>
      <c r="E4327" s="4">
        <v>1236.5869957699999</v>
      </c>
      <c r="F4327" s="4">
        <v>2595168.7135514501</v>
      </c>
    </row>
    <row r="4328" spans="1:6" x14ac:dyDescent="0.3">
      <c r="A4328" s="3" t="s">
        <v>28</v>
      </c>
      <c r="B4328" s="7" t="str">
        <f>VLOOKUP(VALUE(A4328), 'DICIONÁRIO UF'!$A:$B, 2, FALSE)</f>
        <v>Mato Grosso</v>
      </c>
      <c r="C4328" s="3">
        <v>80000</v>
      </c>
      <c r="D4328" s="5" t="str">
        <f>VLOOKUP(C4328, 'DICIONÁRIO CNAES'!$A:$B, 2, FALSE)</f>
        <v>Atividades de vigilância, segurança, transporte de valores e investigação</v>
      </c>
      <c r="E4328" s="4">
        <v>11979.999525900001</v>
      </c>
      <c r="F4328" s="4">
        <v>24756550.908677962</v>
      </c>
    </row>
    <row r="4329" spans="1:6" x14ac:dyDescent="0.3">
      <c r="A4329" s="3" t="s">
        <v>28</v>
      </c>
      <c r="B4329" s="7" t="str">
        <f>VLOOKUP(VALUE(A4329), 'DICIONÁRIO UF'!$A:$B, 2, FALSE)</f>
        <v>Mato Grosso</v>
      </c>
      <c r="C4329" s="3">
        <v>81011</v>
      </c>
      <c r="D4329" s="5" t="str">
        <f>VLOOKUP(C4329, 'DICIONÁRIO CNAES'!$A:$B, 2, FALSE)</f>
        <v>Serviços de limpeza e de apoio a edifícios, exceto condomínios prediais</v>
      </c>
      <c r="E4329" s="4">
        <v>16287.452428439999</v>
      </c>
      <c r="F4329" s="4">
        <v>32324308.000480969</v>
      </c>
    </row>
    <row r="4330" spans="1:6" x14ac:dyDescent="0.3">
      <c r="A4330" s="3" t="s">
        <v>28</v>
      </c>
      <c r="B4330" s="7" t="str">
        <f>VLOOKUP(VALUE(A4330), 'DICIONÁRIO UF'!$A:$B, 2, FALSE)</f>
        <v>Mato Grosso</v>
      </c>
      <c r="C4330" s="3">
        <v>81012</v>
      </c>
      <c r="D4330" s="5" t="str">
        <f>VLOOKUP(C4330, 'DICIONÁRIO CNAES'!$A:$B, 2, FALSE)</f>
        <v>Condomínios prediais</v>
      </c>
      <c r="E4330" s="4">
        <v>2256.6304337199999</v>
      </c>
      <c r="F4330" s="4">
        <v>3663534.7233449998</v>
      </c>
    </row>
    <row r="4331" spans="1:6" x14ac:dyDescent="0.3">
      <c r="A4331" s="3" t="s">
        <v>28</v>
      </c>
      <c r="B4331" s="7" t="str">
        <f>VLOOKUP(VALUE(A4331), 'DICIONÁRIO UF'!$A:$B, 2, FALSE)</f>
        <v>Mato Grosso</v>
      </c>
      <c r="C4331" s="3">
        <v>81020</v>
      </c>
      <c r="D4331" s="5" t="str">
        <f>VLOOKUP(C4331, 'DICIONÁRIO CNAES'!$A:$B, 2, FALSE)</f>
        <v>Atividades paisagísticas</v>
      </c>
      <c r="E4331" s="4">
        <v>1600.08349529</v>
      </c>
      <c r="F4331" s="4">
        <v>6408336.4629879994</v>
      </c>
    </row>
    <row r="4332" spans="1:6" x14ac:dyDescent="0.3">
      <c r="A4332" s="3" t="s">
        <v>28</v>
      </c>
      <c r="B4332" s="7" t="str">
        <f>VLOOKUP(VALUE(A4332), 'DICIONÁRIO UF'!$A:$B, 2, FALSE)</f>
        <v>Mato Grosso</v>
      </c>
      <c r="C4332" s="3">
        <v>82001</v>
      </c>
      <c r="D4332" s="5" t="str">
        <f>VLOOKUP(C4332, 'DICIONÁRIO CNAES'!$A:$B, 2, FALSE)</f>
        <v>Serviços de escritório e apoio administrativo</v>
      </c>
      <c r="E4332" s="4">
        <v>727.53079714</v>
      </c>
      <c r="F4332" s="4">
        <v>3328362.5872189999</v>
      </c>
    </row>
    <row r="4333" spans="1:6" x14ac:dyDescent="0.3">
      <c r="A4333" s="3" t="s">
        <v>28</v>
      </c>
      <c r="B4333" s="7" t="str">
        <f>VLOOKUP(VALUE(A4333), 'DICIONÁRIO UF'!$A:$B, 2, FALSE)</f>
        <v>Mato Grosso</v>
      </c>
      <c r="C4333" s="3">
        <v>82002</v>
      </c>
      <c r="D4333" s="5" t="str">
        <f>VLOOKUP(C4333, 'DICIONÁRIO CNAES'!$A:$B, 2, FALSE)</f>
        <v>Atividades de teleatendimento</v>
      </c>
      <c r="E4333" s="4">
        <v>2542.5626143200002</v>
      </c>
      <c r="F4333" s="4">
        <v>3522027.5363949998</v>
      </c>
    </row>
    <row r="4334" spans="1:6" x14ac:dyDescent="0.3">
      <c r="A4334" s="3" t="s">
        <v>28</v>
      </c>
      <c r="B4334" s="7" t="str">
        <f>VLOOKUP(VALUE(A4334), 'DICIONÁRIO UF'!$A:$B, 2, FALSE)</f>
        <v>Mato Grosso</v>
      </c>
      <c r="C4334" s="3">
        <v>82003</v>
      </c>
      <c r="D4334" s="5" t="str">
        <f>VLOOKUP(C4334, 'DICIONÁRIO CNAES'!$A:$B, 2, FALSE)</f>
        <v>Atividades de organização de eventos, exceto culturais e esportivos</v>
      </c>
      <c r="E4334" s="4">
        <v>652.29185271999995</v>
      </c>
      <c r="F4334" s="4">
        <v>1948442.5100829999</v>
      </c>
    </row>
    <row r="4335" spans="1:6" x14ac:dyDescent="0.3">
      <c r="A4335" s="3" t="s">
        <v>28</v>
      </c>
      <c r="B4335" s="7" t="str">
        <f>VLOOKUP(VALUE(A4335), 'DICIONÁRIO UF'!$A:$B, 2, FALSE)</f>
        <v>Mato Grosso</v>
      </c>
      <c r="C4335" s="3">
        <v>82009</v>
      </c>
      <c r="D4335" s="5" t="str">
        <f>VLOOKUP(C4335, 'DICIONÁRIO CNAES'!$A:$B, 2, FALSE)</f>
        <v>Outras atividades de serviços prestados principalmente às empresas</v>
      </c>
      <c r="E4335" s="4">
        <v>3704.9455728299999</v>
      </c>
      <c r="F4335" s="4">
        <v>7883242.8497230001</v>
      </c>
    </row>
    <row r="4336" spans="1:6" x14ac:dyDescent="0.3">
      <c r="A4336" s="3" t="s">
        <v>28</v>
      </c>
      <c r="B4336" s="7" t="str">
        <f>VLOOKUP(VALUE(A4336), 'DICIONÁRIO UF'!$A:$B, 2, FALSE)</f>
        <v>Mato Grosso</v>
      </c>
      <c r="C4336" s="3">
        <v>84011</v>
      </c>
      <c r="D4336" s="5" t="str">
        <f>VLOOKUP(C4336, 'DICIONÁRIO CNAES'!$A:$B, 2, FALSE)</f>
        <v>Administração publica e regulação da política econômica e social - Federal</v>
      </c>
      <c r="E4336" s="4">
        <v>5387.4381104399999</v>
      </c>
      <c r="F4336" s="4">
        <v>27005817.833386101</v>
      </c>
    </row>
    <row r="4337" spans="1:6" x14ac:dyDescent="0.3">
      <c r="A4337" s="3" t="s">
        <v>28</v>
      </c>
      <c r="B4337" s="7" t="str">
        <f>VLOOKUP(VALUE(A4337), 'DICIONÁRIO UF'!$A:$B, 2, FALSE)</f>
        <v>Mato Grosso</v>
      </c>
      <c r="C4337" s="3">
        <v>84012</v>
      </c>
      <c r="D4337" s="5" t="str">
        <f>VLOOKUP(C4337, 'DICIONÁRIO CNAES'!$A:$B, 2, FALSE)</f>
        <v>Administração publica e regulação da política econômica e social - Estadual</v>
      </c>
      <c r="E4337" s="4">
        <v>12995.117891690001</v>
      </c>
      <c r="F4337" s="4">
        <v>90540556.971126497</v>
      </c>
    </row>
    <row r="4338" spans="1:6" x14ac:dyDescent="0.3">
      <c r="A4338" s="3" t="s">
        <v>28</v>
      </c>
      <c r="B4338" s="7" t="str">
        <f>VLOOKUP(VALUE(A4338), 'DICIONÁRIO UF'!$A:$B, 2, FALSE)</f>
        <v>Mato Grosso</v>
      </c>
      <c r="C4338" s="3">
        <v>84013</v>
      </c>
      <c r="D4338" s="5" t="str">
        <f>VLOOKUP(C4338, 'DICIONÁRIO CNAES'!$A:$B, 2, FALSE)</f>
        <v>Administração publica e regulação da política econômica e social - Municipal</v>
      </c>
      <c r="E4338" s="4">
        <v>49592.607789310001</v>
      </c>
      <c r="F4338" s="4">
        <v>132278316.5764989</v>
      </c>
    </row>
    <row r="4339" spans="1:6" x14ac:dyDescent="0.3">
      <c r="A4339" s="3" t="s">
        <v>28</v>
      </c>
      <c r="B4339" s="7" t="str">
        <f>VLOOKUP(VALUE(A4339), 'DICIONÁRIO UF'!$A:$B, 2, FALSE)</f>
        <v>Mato Grosso</v>
      </c>
      <c r="C4339" s="3">
        <v>84014</v>
      </c>
      <c r="D4339" s="5" t="str">
        <f>VLOOKUP(C4339, 'DICIONÁRIO CNAES'!$A:$B, 2, FALSE)</f>
        <v>Defesa</v>
      </c>
      <c r="E4339" s="4">
        <v>1456.5052403499999</v>
      </c>
      <c r="F4339" s="4">
        <v>2888830.5203399998</v>
      </c>
    </row>
    <row r="4340" spans="1:6" x14ac:dyDescent="0.3">
      <c r="A4340" s="3" t="s">
        <v>28</v>
      </c>
      <c r="B4340" s="7" t="str">
        <f>VLOOKUP(VALUE(A4340), 'DICIONÁRIO UF'!$A:$B, 2, FALSE)</f>
        <v>Mato Grosso</v>
      </c>
      <c r="C4340" s="3">
        <v>84015</v>
      </c>
      <c r="D4340" s="5" t="str">
        <f>VLOOKUP(C4340, 'DICIONÁRIO CNAES'!$A:$B, 2, FALSE)</f>
        <v>Outros serviços coletivos prestados pela administração pública - Federal</v>
      </c>
      <c r="E4340" s="4">
        <v>1915.97488516</v>
      </c>
      <c r="F4340" s="4">
        <v>19864954.787944</v>
      </c>
    </row>
    <row r="4341" spans="1:6" x14ac:dyDescent="0.3">
      <c r="A4341" s="3" t="s">
        <v>28</v>
      </c>
      <c r="B4341" s="7" t="str">
        <f>VLOOKUP(VALUE(A4341), 'DICIONÁRIO UF'!$A:$B, 2, FALSE)</f>
        <v>Mato Grosso</v>
      </c>
      <c r="C4341" s="3">
        <v>84016</v>
      </c>
      <c r="D4341" s="5" t="str">
        <f>VLOOKUP(C4341, 'DICIONÁRIO CNAES'!$A:$B, 2, FALSE)</f>
        <v>Outros serviços coletivos prestados pela administração pública - Estadual</v>
      </c>
      <c r="E4341" s="4">
        <v>27340.286475109999</v>
      </c>
      <c r="F4341" s="4">
        <v>165478631.25344169</v>
      </c>
    </row>
    <row r="4342" spans="1:6" x14ac:dyDescent="0.3">
      <c r="A4342" s="3" t="s">
        <v>28</v>
      </c>
      <c r="B4342" s="7" t="str">
        <f>VLOOKUP(VALUE(A4342), 'DICIONÁRIO UF'!$A:$B, 2, FALSE)</f>
        <v>Mato Grosso</v>
      </c>
      <c r="C4342" s="3">
        <v>84017</v>
      </c>
      <c r="D4342" s="5" t="str">
        <f>VLOOKUP(C4342, 'DICIONÁRIO CNAES'!$A:$B, 2, FALSE)</f>
        <v>Outros serviços coletivos prestados pela administração pública - Municipal</v>
      </c>
      <c r="E4342" s="4">
        <v>544.14218116999996</v>
      </c>
      <c r="F4342" s="4">
        <v>1986711.1715299999</v>
      </c>
    </row>
    <row r="4343" spans="1:6" x14ac:dyDescent="0.3">
      <c r="A4343" s="3" t="s">
        <v>28</v>
      </c>
      <c r="B4343" s="7" t="str">
        <f>VLOOKUP(VALUE(A4343), 'DICIONÁRIO UF'!$A:$B, 2, FALSE)</f>
        <v>Mato Grosso</v>
      </c>
      <c r="C4343" s="3">
        <v>84020</v>
      </c>
      <c r="D4343" s="5" t="str">
        <f>VLOOKUP(C4343, 'DICIONÁRIO CNAES'!$A:$B, 2, FALSE)</f>
        <v>Seguridade social obrigatória</v>
      </c>
      <c r="E4343" s="4">
        <v>965.30469973000004</v>
      </c>
      <c r="F4343" s="4">
        <v>2857120.5778490002</v>
      </c>
    </row>
    <row r="4344" spans="1:6" x14ac:dyDescent="0.3">
      <c r="A4344" s="3" t="s">
        <v>28</v>
      </c>
      <c r="B4344" s="7" t="str">
        <f>VLOOKUP(VALUE(A4344), 'DICIONÁRIO UF'!$A:$B, 2, FALSE)</f>
        <v>Mato Grosso</v>
      </c>
      <c r="C4344" s="3">
        <v>85011</v>
      </c>
      <c r="D4344" s="5" t="str">
        <f>VLOOKUP(C4344, 'DICIONÁRIO CNAES'!$A:$B, 2, FALSE)</f>
        <v>Creche</v>
      </c>
      <c r="E4344" s="4">
        <v>6283.5990302999999</v>
      </c>
      <c r="F4344" s="4">
        <v>15083854.09799535</v>
      </c>
    </row>
    <row r="4345" spans="1:6" x14ac:dyDescent="0.3">
      <c r="A4345" s="3" t="s">
        <v>28</v>
      </c>
      <c r="B4345" s="7" t="str">
        <f>VLOOKUP(VALUE(A4345), 'DICIONÁRIO UF'!$A:$B, 2, FALSE)</f>
        <v>Mato Grosso</v>
      </c>
      <c r="C4345" s="3">
        <v>85012</v>
      </c>
      <c r="D4345" s="5" t="str">
        <f>VLOOKUP(C4345, 'DICIONÁRIO CNAES'!$A:$B, 2, FALSE)</f>
        <v>Pré-escola e ensino fundamental</v>
      </c>
      <c r="E4345" s="4">
        <v>49919.052720330001</v>
      </c>
      <c r="F4345" s="4">
        <v>144064143.0175035</v>
      </c>
    </row>
    <row r="4346" spans="1:6" x14ac:dyDescent="0.3">
      <c r="A4346" s="3" t="s">
        <v>28</v>
      </c>
      <c r="B4346" s="7" t="str">
        <f>VLOOKUP(VALUE(A4346), 'DICIONÁRIO UF'!$A:$B, 2, FALSE)</f>
        <v>Mato Grosso</v>
      </c>
      <c r="C4346" s="3">
        <v>85013</v>
      </c>
      <c r="D4346" s="5" t="str">
        <f>VLOOKUP(C4346, 'DICIONÁRIO CNAES'!$A:$B, 2, FALSE)</f>
        <v>Ensino médio</v>
      </c>
      <c r="E4346" s="4">
        <v>26216.092087109999</v>
      </c>
      <c r="F4346" s="4">
        <v>99265886.638381392</v>
      </c>
    </row>
    <row r="4347" spans="1:6" x14ac:dyDescent="0.3">
      <c r="A4347" s="3" t="s">
        <v>28</v>
      </c>
      <c r="B4347" s="7" t="str">
        <f>VLOOKUP(VALUE(A4347), 'DICIONÁRIO UF'!$A:$B, 2, FALSE)</f>
        <v>Mato Grosso</v>
      </c>
      <c r="C4347" s="3">
        <v>85014</v>
      </c>
      <c r="D4347" s="5" t="str">
        <f>VLOOKUP(C4347, 'DICIONÁRIO CNAES'!$A:$B, 2, FALSE)</f>
        <v>Educação superior</v>
      </c>
      <c r="E4347" s="4">
        <v>8887.60570955</v>
      </c>
      <c r="F4347" s="4">
        <v>27893619.066670679</v>
      </c>
    </row>
    <row r="4348" spans="1:6" x14ac:dyDescent="0.3">
      <c r="A4348" s="3" t="s">
        <v>28</v>
      </c>
      <c r="B4348" s="7" t="str">
        <f>VLOOKUP(VALUE(A4348), 'DICIONÁRIO UF'!$A:$B, 2, FALSE)</f>
        <v>Mato Grosso</v>
      </c>
      <c r="C4348" s="3">
        <v>85029</v>
      </c>
      <c r="D4348" s="5" t="str">
        <f>VLOOKUP(C4348, 'DICIONÁRIO CNAES'!$A:$B, 2, FALSE)</f>
        <v>Outras atividades de ensino</v>
      </c>
      <c r="E4348" s="4">
        <v>10703.05066112</v>
      </c>
      <c r="F4348" s="4">
        <v>29337562.684892461</v>
      </c>
    </row>
    <row r="4349" spans="1:6" x14ac:dyDescent="0.3">
      <c r="A4349" s="3" t="s">
        <v>28</v>
      </c>
      <c r="B4349" s="7" t="str">
        <f>VLOOKUP(VALUE(A4349), 'DICIONÁRIO UF'!$A:$B, 2, FALSE)</f>
        <v>Mato Grosso</v>
      </c>
      <c r="C4349" s="3">
        <v>86001</v>
      </c>
      <c r="D4349" s="5" t="str">
        <f>VLOOKUP(C4349, 'DICIONÁRIO CNAES'!$A:$B, 2, FALSE)</f>
        <v>Atividades de atendimento hospitalar</v>
      </c>
      <c r="E4349" s="4">
        <v>25169.1800425</v>
      </c>
      <c r="F4349" s="4">
        <v>83420544.646258116</v>
      </c>
    </row>
    <row r="4350" spans="1:6" x14ac:dyDescent="0.3">
      <c r="A4350" s="3" t="s">
        <v>28</v>
      </c>
      <c r="B4350" s="7" t="str">
        <f>VLOOKUP(VALUE(A4350), 'DICIONÁRIO UF'!$A:$B, 2, FALSE)</f>
        <v>Mato Grosso</v>
      </c>
      <c r="C4350" s="3">
        <v>86002</v>
      </c>
      <c r="D4350" s="5" t="str">
        <f>VLOOKUP(C4350, 'DICIONÁRIO CNAES'!$A:$B, 2, FALSE)</f>
        <v>Atividades de atenção ambulatorial executadas por médicos e odontólogos</v>
      </c>
      <c r="E4350" s="4">
        <v>29237.8804786</v>
      </c>
      <c r="F4350" s="4">
        <v>123399945.4880992</v>
      </c>
    </row>
    <row r="4351" spans="1:6" x14ac:dyDescent="0.3">
      <c r="A4351" s="3" t="s">
        <v>28</v>
      </c>
      <c r="B4351" s="7" t="str">
        <f>VLOOKUP(VALUE(A4351), 'DICIONÁRIO UF'!$A:$B, 2, FALSE)</f>
        <v>Mato Grosso</v>
      </c>
      <c r="C4351" s="3">
        <v>86003</v>
      </c>
      <c r="D4351" s="5" t="str">
        <f>VLOOKUP(C4351, 'DICIONÁRIO CNAES'!$A:$B, 2, FALSE)</f>
        <v>Atividades de serviços de complementação diagnóstica e terapêutica</v>
      </c>
      <c r="E4351" s="4">
        <v>3442.3482013500002</v>
      </c>
      <c r="F4351" s="4">
        <v>7767839.1861540005</v>
      </c>
    </row>
    <row r="4352" spans="1:6" x14ac:dyDescent="0.3">
      <c r="A4352" s="3" t="s">
        <v>28</v>
      </c>
      <c r="B4352" s="7" t="str">
        <f>VLOOKUP(VALUE(A4352), 'DICIONÁRIO UF'!$A:$B, 2, FALSE)</f>
        <v>Mato Grosso</v>
      </c>
      <c r="C4352" s="3">
        <v>86004</v>
      </c>
      <c r="D4352" s="5" t="str">
        <f>VLOOKUP(C4352, 'DICIONÁRIO CNAES'!$A:$B, 2, FALSE)</f>
        <v>Atividades de profissionais da área de saúde, exceto médicos e odontólogos</v>
      </c>
      <c r="E4352" s="4">
        <v>4239.3025896199997</v>
      </c>
      <c r="F4352" s="4">
        <v>10938960.763521999</v>
      </c>
    </row>
    <row r="4353" spans="1:6" x14ac:dyDescent="0.3">
      <c r="A4353" s="3" t="s">
        <v>28</v>
      </c>
      <c r="B4353" s="7" t="str">
        <f>VLOOKUP(VALUE(A4353), 'DICIONÁRIO UF'!$A:$B, 2, FALSE)</f>
        <v>Mato Grosso</v>
      </c>
      <c r="C4353" s="3">
        <v>86009</v>
      </c>
      <c r="D4353" s="5" t="str">
        <f>VLOOKUP(C4353, 'DICIONÁRIO CNAES'!$A:$B, 2, FALSE)</f>
        <v>Atividades de atenção à saúde humana não especificadas anteriormente</v>
      </c>
      <c r="E4353" s="4">
        <v>774.63509382999996</v>
      </c>
      <c r="F4353" s="4">
        <v>1549270.1876600001</v>
      </c>
    </row>
    <row r="4354" spans="1:6" x14ac:dyDescent="0.3">
      <c r="A4354" s="3" t="s">
        <v>28</v>
      </c>
      <c r="B4354" s="7" t="str">
        <f>VLOOKUP(VALUE(A4354), 'DICIONÁRIO UF'!$A:$B, 2, FALSE)</f>
        <v>Mato Grosso</v>
      </c>
      <c r="C4354" s="3">
        <v>87000</v>
      </c>
      <c r="D4354" s="5" t="str">
        <f>VLOOKUP(C4354, 'DICIONÁRIO CNAES'!$A:$B, 2, FALSE)</f>
        <v>Atividades de assistência à saude humana integradas com assistencia social, inclusive prestadas em residencias</v>
      </c>
      <c r="E4354" s="4">
        <v>2947.4562743299998</v>
      </c>
      <c r="F4354" s="4">
        <v>11346061.276261</v>
      </c>
    </row>
    <row r="4355" spans="1:6" x14ac:dyDescent="0.3">
      <c r="A4355" s="3" t="s">
        <v>28</v>
      </c>
      <c r="B4355" s="7" t="str">
        <f>VLOOKUP(VALUE(A4355), 'DICIONÁRIO UF'!$A:$B, 2, FALSE)</f>
        <v>Mato Grosso</v>
      </c>
      <c r="C4355" s="3">
        <v>88000</v>
      </c>
      <c r="D4355" s="5" t="str">
        <f>VLOOKUP(C4355, 'DICIONÁRIO CNAES'!$A:$B, 2, FALSE)</f>
        <v>Serviços de assistência social sem alojamento</v>
      </c>
      <c r="E4355" s="4">
        <v>494.80518825000001</v>
      </c>
      <c r="F4355" s="4">
        <v>1159099.805068</v>
      </c>
    </row>
    <row r="4356" spans="1:6" x14ac:dyDescent="0.3">
      <c r="A4356" s="3" t="s">
        <v>28</v>
      </c>
      <c r="B4356" s="7" t="str">
        <f>VLOOKUP(VALUE(A4356), 'DICIONÁRIO UF'!$A:$B, 2, FALSE)</f>
        <v>Mato Grosso</v>
      </c>
      <c r="C4356" s="3">
        <v>90000</v>
      </c>
      <c r="D4356" s="5" t="str">
        <f>VLOOKUP(C4356, 'DICIONÁRIO CNAES'!$A:$B, 2, FALSE)</f>
        <v>Atividades artísticas, criativas e de espetáculos</v>
      </c>
      <c r="E4356" s="4">
        <v>1214.6186741700001</v>
      </c>
      <c r="F4356" s="4">
        <v>1349456.496783</v>
      </c>
    </row>
    <row r="4357" spans="1:6" x14ac:dyDescent="0.3">
      <c r="A4357" s="3" t="s">
        <v>28</v>
      </c>
      <c r="B4357" s="7" t="str">
        <f>VLOOKUP(VALUE(A4357), 'DICIONÁRIO UF'!$A:$B, 2, FALSE)</f>
        <v>Mato Grosso</v>
      </c>
      <c r="C4357" s="3">
        <v>91000</v>
      </c>
      <c r="D4357" s="5" t="str">
        <f>VLOOKUP(C4357, 'DICIONÁRIO CNAES'!$A:$B, 2, FALSE)</f>
        <v>Atividades ligadas ao patrimônio cultural e ambiental</v>
      </c>
      <c r="E4357" s="4">
        <v>228.97175836</v>
      </c>
      <c r="F4357" s="4">
        <v>125934.46709799999</v>
      </c>
    </row>
    <row r="4358" spans="1:6" x14ac:dyDescent="0.3">
      <c r="A4358" s="3" t="s">
        <v>28</v>
      </c>
      <c r="B4358" s="7" t="str">
        <f>VLOOKUP(VALUE(A4358), 'DICIONÁRIO UF'!$A:$B, 2, FALSE)</f>
        <v>Mato Grosso</v>
      </c>
      <c r="C4358" s="3">
        <v>92000</v>
      </c>
      <c r="D4358" s="5" t="str">
        <f>VLOOKUP(C4358, 'DICIONÁRIO CNAES'!$A:$B, 2, FALSE)</f>
        <v>Atividades de exploração de jogos de azar e apostas</v>
      </c>
      <c r="E4358" s="4">
        <v>317.37010342999997</v>
      </c>
      <c r="F4358" s="4">
        <v>1047321.341319</v>
      </c>
    </row>
    <row r="4359" spans="1:6" x14ac:dyDescent="0.3">
      <c r="A4359" s="3" t="s">
        <v>28</v>
      </c>
      <c r="B4359" s="7" t="str">
        <f>VLOOKUP(VALUE(A4359), 'DICIONÁRIO UF'!$A:$B, 2, FALSE)</f>
        <v>Mato Grosso</v>
      </c>
      <c r="C4359" s="3">
        <v>93011</v>
      </c>
      <c r="D4359" s="5" t="str">
        <f>VLOOKUP(C4359, 'DICIONÁRIO CNAES'!$A:$B, 2, FALSE)</f>
        <v>Atividades esportivas</v>
      </c>
      <c r="E4359" s="4">
        <v>485.08523559999998</v>
      </c>
      <c r="F4359" s="4">
        <v>970170.47119999991</v>
      </c>
    </row>
    <row r="4360" spans="1:6" x14ac:dyDescent="0.3">
      <c r="A4360" s="3" t="s">
        <v>28</v>
      </c>
      <c r="B4360" s="7" t="str">
        <f>VLOOKUP(VALUE(A4360), 'DICIONÁRIO UF'!$A:$B, 2, FALSE)</f>
        <v>Mato Grosso</v>
      </c>
      <c r="C4360" s="3">
        <v>93012</v>
      </c>
      <c r="D4360" s="5" t="str">
        <f>VLOOKUP(C4360, 'DICIONÁRIO CNAES'!$A:$B, 2, FALSE)</f>
        <v>Atividades de condicionamento físico</v>
      </c>
      <c r="E4360" s="4">
        <v>743.71966972999996</v>
      </c>
      <c r="F4360" s="4">
        <v>2946668.5665770001</v>
      </c>
    </row>
    <row r="4361" spans="1:6" x14ac:dyDescent="0.3">
      <c r="A4361" s="3" t="s">
        <v>28</v>
      </c>
      <c r="B4361" s="7" t="str">
        <f>VLOOKUP(VALUE(A4361), 'DICIONÁRIO UF'!$A:$B, 2, FALSE)</f>
        <v>Mato Grosso</v>
      </c>
      <c r="C4361" s="3">
        <v>93020</v>
      </c>
      <c r="D4361" s="5" t="str">
        <f>VLOOKUP(C4361, 'DICIONÁRIO CNAES'!$A:$B, 2, FALSE)</f>
        <v>Atividades de recreação e lazer</v>
      </c>
      <c r="E4361" s="4">
        <v>2171.6051873299998</v>
      </c>
      <c r="F4361" s="4">
        <v>2761657.0730949999</v>
      </c>
    </row>
    <row r="4362" spans="1:6" x14ac:dyDescent="0.3">
      <c r="A4362" s="3" t="s">
        <v>28</v>
      </c>
      <c r="B4362" s="7" t="str">
        <f>VLOOKUP(VALUE(A4362), 'DICIONÁRIO UF'!$A:$B, 2, FALSE)</f>
        <v>Mato Grosso</v>
      </c>
      <c r="C4362" s="3">
        <v>94010</v>
      </c>
      <c r="D4362" s="5" t="str">
        <f>VLOOKUP(C4362, 'DICIONÁRIO CNAES'!$A:$B, 2, FALSE)</f>
        <v>Atividades de organizações associativas patronais, empresariais e profissionais</v>
      </c>
      <c r="E4362" s="4">
        <v>321.24104222</v>
      </c>
      <c r="F4362" s="4">
        <v>642482.08444000001</v>
      </c>
    </row>
    <row r="4363" spans="1:6" x14ac:dyDescent="0.3">
      <c r="A4363" s="3" t="s">
        <v>28</v>
      </c>
      <c r="B4363" s="7" t="str">
        <f>VLOOKUP(VALUE(A4363), 'DICIONÁRIO UF'!$A:$B, 2, FALSE)</f>
        <v>Mato Grosso</v>
      </c>
      <c r="C4363" s="3">
        <v>94020</v>
      </c>
      <c r="D4363" s="5" t="str">
        <f>VLOOKUP(C4363, 'DICIONÁRIO CNAES'!$A:$B, 2, FALSE)</f>
        <v>Atividades de organizações sindicais</v>
      </c>
      <c r="E4363" s="4">
        <v>421.23525296000003</v>
      </c>
      <c r="F4363" s="4">
        <v>1149399.447218</v>
      </c>
    </row>
    <row r="4364" spans="1:6" x14ac:dyDescent="0.3">
      <c r="A4364" s="3" t="s">
        <v>28</v>
      </c>
      <c r="B4364" s="7" t="str">
        <f>VLOOKUP(VALUE(A4364), 'DICIONÁRIO UF'!$A:$B, 2, FALSE)</f>
        <v>Mato Grosso</v>
      </c>
      <c r="C4364" s="3">
        <v>94091</v>
      </c>
      <c r="D4364" s="5" t="str">
        <f>VLOOKUP(C4364, 'DICIONÁRIO CNAES'!$A:$B, 2, FALSE)</f>
        <v>Atividades de organizações religiosas e filosóficas</v>
      </c>
      <c r="E4364" s="4">
        <v>5049.2002926300001</v>
      </c>
      <c r="F4364" s="4">
        <v>15760181.725498</v>
      </c>
    </row>
    <row r="4365" spans="1:6" x14ac:dyDescent="0.3">
      <c r="A4365" s="3" t="s">
        <v>28</v>
      </c>
      <c r="B4365" s="7" t="str">
        <f>VLOOKUP(VALUE(A4365), 'DICIONÁRIO UF'!$A:$B, 2, FALSE)</f>
        <v>Mato Grosso</v>
      </c>
      <c r="C4365" s="3">
        <v>94099</v>
      </c>
      <c r="D4365" s="5" t="str">
        <f>VLOOKUP(C4365, 'DICIONÁRIO CNAES'!$A:$B, 2, FALSE)</f>
        <v xml:space="preserve">Outras atividades associativas não especificadas anteriormente </v>
      </c>
      <c r="E4365" s="4">
        <v>1608.48730443</v>
      </c>
      <c r="F4365" s="4">
        <v>6170735.9840740003</v>
      </c>
    </row>
    <row r="4366" spans="1:6" x14ac:dyDescent="0.3">
      <c r="A4366" s="3" t="s">
        <v>28</v>
      </c>
      <c r="B4366" s="7" t="str">
        <f>VLOOKUP(VALUE(A4366), 'DICIONÁRIO UF'!$A:$B, 2, FALSE)</f>
        <v>Mato Grosso</v>
      </c>
      <c r="C4366" s="3">
        <v>95010</v>
      </c>
      <c r="D4366" s="5" t="str">
        <f>VLOOKUP(C4366, 'DICIONÁRIO CNAES'!$A:$B, 2, FALSE)</f>
        <v>Reparação e manutenção de equipamentos de informática e comunicação</v>
      </c>
      <c r="E4366" s="4">
        <v>6762.0361988300001</v>
      </c>
      <c r="F4366" s="4">
        <v>13525102.934466099</v>
      </c>
    </row>
    <row r="4367" spans="1:6" x14ac:dyDescent="0.3">
      <c r="A4367" s="3" t="s">
        <v>28</v>
      </c>
      <c r="B4367" s="7" t="str">
        <f>VLOOKUP(VALUE(A4367), 'DICIONÁRIO UF'!$A:$B, 2, FALSE)</f>
        <v>Mato Grosso</v>
      </c>
      <c r="C4367" s="3">
        <v>95030</v>
      </c>
      <c r="D4367" s="5" t="str">
        <f>VLOOKUP(C4367, 'DICIONÁRIO CNAES'!$A:$B, 2, FALSE)</f>
        <v>Reparação e manutenção de objetos e equipamentos pessoais e domésticos</v>
      </c>
      <c r="E4367" s="4">
        <v>16128.2083072</v>
      </c>
      <c r="F4367" s="4">
        <v>50804522.888331003</v>
      </c>
    </row>
    <row r="4368" spans="1:6" x14ac:dyDescent="0.3">
      <c r="A4368" s="3" t="s">
        <v>28</v>
      </c>
      <c r="B4368" s="7" t="str">
        <f>VLOOKUP(VALUE(A4368), 'DICIONÁRIO UF'!$A:$B, 2, FALSE)</f>
        <v>Mato Grosso</v>
      </c>
      <c r="C4368" s="3">
        <v>96010</v>
      </c>
      <c r="D4368" s="5" t="str">
        <f>VLOOKUP(C4368, 'DICIONÁRIO CNAES'!$A:$B, 2, FALSE)</f>
        <v>Lavanderias, tinturarias e toalheiros</v>
      </c>
      <c r="E4368" s="4">
        <v>217.54435244999999</v>
      </c>
      <c r="F4368" s="4">
        <v>239298.78769500001</v>
      </c>
    </row>
    <row r="4369" spans="1:6" x14ac:dyDescent="0.3">
      <c r="A4369" s="3" t="s">
        <v>28</v>
      </c>
      <c r="B4369" s="7" t="str">
        <f>VLOOKUP(VALUE(A4369), 'DICIONÁRIO UF'!$A:$B, 2, FALSE)</f>
        <v>Mato Grosso</v>
      </c>
      <c r="C4369" s="3">
        <v>96020</v>
      </c>
      <c r="D4369" s="5" t="str">
        <f>VLOOKUP(C4369, 'DICIONÁRIO CNAES'!$A:$B, 2, FALSE)</f>
        <v>Cabeleireiros e outras atividades de tratamento de beleza</v>
      </c>
      <c r="E4369" s="4">
        <v>39574.016622540003</v>
      </c>
      <c r="F4369" s="4">
        <v>73867508.787927002</v>
      </c>
    </row>
    <row r="4370" spans="1:6" x14ac:dyDescent="0.3">
      <c r="A4370" s="3" t="s">
        <v>28</v>
      </c>
      <c r="B4370" s="7" t="str">
        <f>VLOOKUP(VALUE(A4370), 'DICIONÁRIO UF'!$A:$B, 2, FALSE)</f>
        <v>Mato Grosso</v>
      </c>
      <c r="C4370" s="3">
        <v>96030</v>
      </c>
      <c r="D4370" s="5" t="str">
        <f>VLOOKUP(C4370, 'DICIONÁRIO CNAES'!$A:$B, 2, FALSE)</f>
        <v xml:space="preserve">Atividades funerárias e serviços relacionados </v>
      </c>
      <c r="E4370" s="4">
        <v>848.00852081999994</v>
      </c>
      <c r="F4370" s="4">
        <v>1458824.732388</v>
      </c>
    </row>
    <row r="4371" spans="1:6" x14ac:dyDescent="0.3">
      <c r="A4371" s="3" t="s">
        <v>28</v>
      </c>
      <c r="B4371" s="7" t="str">
        <f>VLOOKUP(VALUE(A4371), 'DICIONÁRIO UF'!$A:$B, 2, FALSE)</f>
        <v>Mato Grosso</v>
      </c>
      <c r="C4371" s="3">
        <v>96090</v>
      </c>
      <c r="D4371" s="5" t="str">
        <f>VLOOKUP(C4371, 'DICIONÁRIO CNAES'!$A:$B, 2, FALSE)</f>
        <v>Outras atividades de serviços pessoais</v>
      </c>
      <c r="E4371" s="4">
        <v>8129.69957213</v>
      </c>
      <c r="F4371" s="4">
        <v>14765071.982248001</v>
      </c>
    </row>
    <row r="4372" spans="1:6" x14ac:dyDescent="0.3">
      <c r="A4372" s="3" t="s">
        <v>28</v>
      </c>
      <c r="B4372" s="7" t="str">
        <f>VLOOKUP(VALUE(A4372), 'DICIONÁRIO UF'!$A:$B, 2, FALSE)</f>
        <v>Mato Grosso</v>
      </c>
      <c r="C4372" s="3">
        <v>97000</v>
      </c>
      <c r="D4372" s="5" t="str">
        <f>VLOOKUP(C4372, 'DICIONÁRIO CNAES'!$A:$B, 2, FALSE)</f>
        <v>Serviços domésticos</v>
      </c>
      <c r="E4372" s="4">
        <v>122398.01481307999</v>
      </c>
      <c r="F4372" s="4">
        <v>132294046.3926912</v>
      </c>
    </row>
    <row r="4373" spans="1:6" x14ac:dyDescent="0.3">
      <c r="A4373" s="3" t="s">
        <v>29</v>
      </c>
      <c r="B4373" s="7" t="str">
        <f>VLOOKUP(VALUE(A4373), 'DICIONÁRIO UF'!$A:$B, 2, FALSE)</f>
        <v>Goiás</v>
      </c>
      <c r="C4373" s="3">
        <v>1101</v>
      </c>
      <c r="D4373" s="5" t="str">
        <f>VLOOKUP(C4373, 'DICIONÁRIO CNAES'!$A:$B, 2, FALSE)</f>
        <v>Cultivo de arroz</v>
      </c>
      <c r="E4373" s="4">
        <v>1990.3503909599999</v>
      </c>
      <c r="F4373" s="4">
        <v>3176788.9624374998</v>
      </c>
    </row>
    <row r="4374" spans="1:6" x14ac:dyDescent="0.3">
      <c r="A4374" s="3" t="s">
        <v>29</v>
      </c>
      <c r="B4374" s="7" t="str">
        <f>VLOOKUP(VALUE(A4374), 'DICIONÁRIO UF'!$A:$B, 2, FALSE)</f>
        <v>Goiás</v>
      </c>
      <c r="C4374" s="3">
        <v>1102</v>
      </c>
      <c r="D4374" s="5" t="str">
        <f>VLOOKUP(C4374, 'DICIONÁRIO CNAES'!$A:$B, 2, FALSE)</f>
        <v>Cultivo de milho</v>
      </c>
      <c r="E4374" s="4">
        <v>15468.8550223</v>
      </c>
      <c r="F4374" s="4">
        <v>75851496.889891237</v>
      </c>
    </row>
    <row r="4375" spans="1:6" x14ac:dyDescent="0.3">
      <c r="A4375" s="3" t="s">
        <v>29</v>
      </c>
      <c r="B4375" s="7" t="str">
        <f>VLOOKUP(VALUE(A4375), 'DICIONÁRIO UF'!$A:$B, 2, FALSE)</f>
        <v>Goiás</v>
      </c>
      <c r="C4375" s="3">
        <v>1105</v>
      </c>
      <c r="D4375" s="5" t="str">
        <f>VLOOKUP(C4375, 'DICIONÁRIO CNAES'!$A:$B, 2, FALSE)</f>
        <v>Cultivo de cana-de-açúcar</v>
      </c>
      <c r="E4375" s="4">
        <v>20990.359708920001</v>
      </c>
      <c r="F4375" s="4">
        <v>44679746.530278496</v>
      </c>
    </row>
    <row r="4376" spans="1:6" x14ac:dyDescent="0.3">
      <c r="A4376" s="3" t="s">
        <v>29</v>
      </c>
      <c r="B4376" s="7" t="str">
        <f>VLOOKUP(VALUE(A4376), 'DICIONÁRIO UF'!$A:$B, 2, FALSE)</f>
        <v>Goiás</v>
      </c>
      <c r="C4376" s="3">
        <v>1107</v>
      </c>
      <c r="D4376" s="5" t="str">
        <f>VLOOKUP(C4376, 'DICIONÁRIO CNAES'!$A:$B, 2, FALSE)</f>
        <v>Cultivo de soja</v>
      </c>
      <c r="E4376" s="4">
        <v>37735.467332979999</v>
      </c>
      <c r="F4376" s="4">
        <v>186810110.52266979</v>
      </c>
    </row>
    <row r="4377" spans="1:6" x14ac:dyDescent="0.3">
      <c r="A4377" s="3" t="s">
        <v>29</v>
      </c>
      <c r="B4377" s="7" t="str">
        <f>VLOOKUP(VALUE(A4377), 'DICIONÁRIO UF'!$A:$B, 2, FALSE)</f>
        <v>Goiás</v>
      </c>
      <c r="C4377" s="3">
        <v>1108</v>
      </c>
      <c r="D4377" s="5" t="str">
        <f>VLOOKUP(C4377, 'DICIONÁRIO CNAES'!$A:$B, 2, FALSE)</f>
        <v>Cultivo de mandioca</v>
      </c>
      <c r="E4377" s="4">
        <v>2838.5130503400001</v>
      </c>
      <c r="F4377" s="4">
        <v>1945944.8727428</v>
      </c>
    </row>
    <row r="4378" spans="1:6" x14ac:dyDescent="0.3">
      <c r="A4378" s="3" t="s">
        <v>29</v>
      </c>
      <c r="B4378" s="7" t="str">
        <f>VLOOKUP(VALUE(A4378), 'DICIONÁRIO UF'!$A:$B, 2, FALSE)</f>
        <v>Goiás</v>
      </c>
      <c r="C4378" s="3">
        <v>1109</v>
      </c>
      <c r="D4378" s="5" t="str">
        <f>VLOOKUP(C4378, 'DICIONÁRIO CNAES'!$A:$B, 2, FALSE)</f>
        <v>Cultivo de outras lavouras temporárias não especificadas anteriormente</v>
      </c>
      <c r="E4378" s="4">
        <v>3942.6362104</v>
      </c>
      <c r="F4378" s="4">
        <v>4913313.5863076998</v>
      </c>
    </row>
    <row r="4379" spans="1:6" x14ac:dyDescent="0.3">
      <c r="A4379" s="3" t="s">
        <v>29</v>
      </c>
      <c r="B4379" s="7" t="str">
        <f>VLOOKUP(VALUE(A4379), 'DICIONÁRIO UF'!$A:$B, 2, FALSE)</f>
        <v>Goiás</v>
      </c>
      <c r="C4379" s="3">
        <v>1110</v>
      </c>
      <c r="D4379" s="5" t="str">
        <f>VLOOKUP(C4379, 'DICIONÁRIO CNAES'!$A:$B, 2, FALSE)</f>
        <v>Horticultura</v>
      </c>
      <c r="E4379" s="4">
        <v>12151.73463124</v>
      </c>
      <c r="F4379" s="4">
        <v>16268979.24669764</v>
      </c>
    </row>
    <row r="4380" spans="1:6" x14ac:dyDescent="0.3">
      <c r="A4380" s="3" t="s">
        <v>29</v>
      </c>
      <c r="B4380" s="7" t="str">
        <f>VLOOKUP(VALUE(A4380), 'DICIONÁRIO UF'!$A:$B, 2, FALSE)</f>
        <v>Goiás</v>
      </c>
      <c r="C4380" s="3">
        <v>1111</v>
      </c>
      <c r="D4380" s="5" t="str">
        <f>VLOOKUP(C4380, 'DICIONÁRIO CNAES'!$A:$B, 2, FALSE)</f>
        <v>Cultivo de flores e plantas ornamentais</v>
      </c>
      <c r="E4380" s="4">
        <v>1390.17467265</v>
      </c>
      <c r="F4380" s="4">
        <v>1247599.202355</v>
      </c>
    </row>
    <row r="4381" spans="1:6" x14ac:dyDescent="0.3">
      <c r="A4381" s="3" t="s">
        <v>29</v>
      </c>
      <c r="B4381" s="7" t="str">
        <f>VLOOKUP(VALUE(A4381), 'DICIONÁRIO UF'!$A:$B, 2, FALSE)</f>
        <v>Goiás</v>
      </c>
      <c r="C4381" s="3">
        <v>1112</v>
      </c>
      <c r="D4381" s="5" t="str">
        <f>VLOOKUP(C4381, 'DICIONÁRIO CNAES'!$A:$B, 2, FALSE)</f>
        <v>Cultivo de frutas cítricas</v>
      </c>
      <c r="E4381" s="4">
        <v>974.6936890500001</v>
      </c>
      <c r="F4381" s="4">
        <v>1094079.539444</v>
      </c>
    </row>
    <row r="4382" spans="1:6" x14ac:dyDescent="0.3">
      <c r="A4382" s="3" t="s">
        <v>29</v>
      </c>
      <c r="B4382" s="7" t="str">
        <f>VLOOKUP(VALUE(A4382), 'DICIONÁRIO UF'!$A:$B, 2, FALSE)</f>
        <v>Goiás</v>
      </c>
      <c r="C4382" s="3">
        <v>1113</v>
      </c>
      <c r="D4382" s="5" t="str">
        <f>VLOOKUP(C4382, 'DICIONÁRIO CNAES'!$A:$B, 2, FALSE)</f>
        <v>Cultivo de café</v>
      </c>
      <c r="E4382" s="4">
        <v>480.23712483000003</v>
      </c>
      <c r="F4382" s="4">
        <v>831711.80502299999</v>
      </c>
    </row>
    <row r="4383" spans="1:6" x14ac:dyDescent="0.3">
      <c r="A4383" s="3" t="s">
        <v>29</v>
      </c>
      <c r="B4383" s="7" t="str">
        <f>VLOOKUP(VALUE(A4383), 'DICIONÁRIO UF'!$A:$B, 2, FALSE)</f>
        <v>Goiás</v>
      </c>
      <c r="C4383" s="3">
        <v>1115</v>
      </c>
      <c r="D4383" s="5" t="str">
        <f>VLOOKUP(C4383, 'DICIONÁRIO CNAES'!$A:$B, 2, FALSE)</f>
        <v>Cultivo de uva</v>
      </c>
      <c r="E4383" s="4">
        <v>218.09981056999999</v>
      </c>
      <c r="F4383" s="4">
        <v>239909.791627</v>
      </c>
    </row>
    <row r="4384" spans="1:6" x14ac:dyDescent="0.3">
      <c r="A4384" s="3" t="s">
        <v>29</v>
      </c>
      <c r="B4384" s="7" t="str">
        <f>VLOOKUP(VALUE(A4384), 'DICIONÁRIO UF'!$A:$B, 2, FALSE)</f>
        <v>Goiás</v>
      </c>
      <c r="C4384" s="3">
        <v>1116</v>
      </c>
      <c r="D4384" s="5" t="str">
        <f>VLOOKUP(C4384, 'DICIONÁRIO CNAES'!$A:$B, 2, FALSE)</f>
        <v>Cultivo de banana</v>
      </c>
      <c r="E4384" s="4">
        <v>2078.3072296400001</v>
      </c>
      <c r="F4384" s="4">
        <v>2299021.067022</v>
      </c>
    </row>
    <row r="4385" spans="1:6" x14ac:dyDescent="0.3">
      <c r="A4385" s="3" t="s">
        <v>29</v>
      </c>
      <c r="B4385" s="7" t="str">
        <f>VLOOKUP(VALUE(A4385), 'DICIONÁRIO UF'!$A:$B, 2, FALSE)</f>
        <v>Goiás</v>
      </c>
      <c r="C4385" s="3">
        <v>1117</v>
      </c>
      <c r="D4385" s="5" t="str">
        <f>VLOOKUP(C4385, 'DICIONÁRIO CNAES'!$A:$B, 2, FALSE)</f>
        <v>Cultivo de outras plantas e frutas de lavoura permanente não especificadas anteriormente</v>
      </c>
      <c r="E4385" s="4">
        <v>4461.25880151</v>
      </c>
      <c r="F4385" s="4">
        <v>5908169.0933141802</v>
      </c>
    </row>
    <row r="4386" spans="1:6" x14ac:dyDescent="0.3">
      <c r="A4386" s="3" t="s">
        <v>29</v>
      </c>
      <c r="B4386" s="7" t="str">
        <f>VLOOKUP(VALUE(A4386), 'DICIONÁRIO UF'!$A:$B, 2, FALSE)</f>
        <v>Goiás</v>
      </c>
      <c r="C4386" s="3">
        <v>1119</v>
      </c>
      <c r="D4386" s="5" t="str">
        <f>VLOOKUP(C4386, 'DICIONÁRIO CNAES'!$A:$B, 2, FALSE)</f>
        <v>Lavoura não especificada</v>
      </c>
      <c r="E4386" s="4">
        <v>3581.5847598099999</v>
      </c>
      <c r="F4386" s="4">
        <v>9098553.8505630009</v>
      </c>
    </row>
    <row r="4387" spans="1:6" x14ac:dyDescent="0.3">
      <c r="A4387" s="3" t="s">
        <v>29</v>
      </c>
      <c r="B4387" s="7" t="str">
        <f>VLOOKUP(VALUE(A4387), 'DICIONÁRIO UF'!$A:$B, 2, FALSE)</f>
        <v>Goiás</v>
      </c>
      <c r="C4387" s="3">
        <v>1201</v>
      </c>
      <c r="D4387" s="5" t="str">
        <f>VLOOKUP(C4387, 'DICIONÁRIO CNAES'!$A:$B, 2, FALSE)</f>
        <v>Criação de bovinos</v>
      </c>
      <c r="E4387" s="4">
        <v>155989.67474493</v>
      </c>
      <c r="F4387" s="4">
        <v>400228476.73349053</v>
      </c>
    </row>
    <row r="4388" spans="1:6" x14ac:dyDescent="0.3">
      <c r="A4388" s="3" t="s">
        <v>29</v>
      </c>
      <c r="B4388" s="7" t="str">
        <f>VLOOKUP(VALUE(A4388), 'DICIONÁRIO UF'!$A:$B, 2, FALSE)</f>
        <v>Goiás</v>
      </c>
      <c r="C4388" s="3">
        <v>1202</v>
      </c>
      <c r="D4388" s="5" t="str">
        <f>VLOOKUP(C4388, 'DICIONÁRIO CNAES'!$A:$B, 2, FALSE)</f>
        <v>Criação de outros animais de grande porte não especificados anteriormente</v>
      </c>
      <c r="E4388" s="4">
        <v>378.84773888000001</v>
      </c>
      <c r="F4388" s="4">
        <v>459136.01500800002</v>
      </c>
    </row>
    <row r="4389" spans="1:6" x14ac:dyDescent="0.3">
      <c r="A4389" s="3" t="s">
        <v>29</v>
      </c>
      <c r="B4389" s="7" t="str">
        <f>VLOOKUP(VALUE(A4389), 'DICIONÁRIO UF'!$A:$B, 2, FALSE)</f>
        <v>Goiás</v>
      </c>
      <c r="C4389" s="3">
        <v>1204</v>
      </c>
      <c r="D4389" s="5" t="str">
        <f>VLOOKUP(C4389, 'DICIONÁRIO CNAES'!$A:$B, 2, FALSE)</f>
        <v>Criação de suínos</v>
      </c>
      <c r="E4389" s="4">
        <v>4648.5208481899999</v>
      </c>
      <c r="F4389" s="4">
        <v>8147430.9706156999</v>
      </c>
    </row>
    <row r="4390" spans="1:6" x14ac:dyDescent="0.3">
      <c r="A4390" s="3" t="s">
        <v>29</v>
      </c>
      <c r="B4390" s="7" t="str">
        <f>VLOOKUP(VALUE(A4390), 'DICIONÁRIO UF'!$A:$B, 2, FALSE)</f>
        <v>Goiás</v>
      </c>
      <c r="C4390" s="3">
        <v>1205</v>
      </c>
      <c r="D4390" s="5" t="str">
        <f>VLOOKUP(C4390, 'DICIONÁRIO CNAES'!$A:$B, 2, FALSE)</f>
        <v>Criação de aves</v>
      </c>
      <c r="E4390" s="4">
        <v>11999.93725911</v>
      </c>
      <c r="F4390" s="4">
        <v>16194782.01292154</v>
      </c>
    </row>
    <row r="4391" spans="1:6" x14ac:dyDescent="0.3">
      <c r="A4391" s="3" t="s">
        <v>29</v>
      </c>
      <c r="B4391" s="7" t="str">
        <f>VLOOKUP(VALUE(A4391), 'DICIONÁRIO UF'!$A:$B, 2, FALSE)</f>
        <v>Goiás</v>
      </c>
      <c r="C4391" s="3">
        <v>1206</v>
      </c>
      <c r="D4391" s="5" t="str">
        <f>VLOOKUP(C4391, 'DICIONÁRIO CNAES'!$A:$B, 2, FALSE)</f>
        <v>Apicultura</v>
      </c>
      <c r="E4391" s="4">
        <v>389.61344967999997</v>
      </c>
      <c r="F4391" s="4">
        <v>974033.62419999996</v>
      </c>
    </row>
    <row r="4392" spans="1:6" x14ac:dyDescent="0.3">
      <c r="A4392" s="3" t="s">
        <v>29</v>
      </c>
      <c r="B4392" s="7" t="str">
        <f>VLOOKUP(VALUE(A4392), 'DICIONÁRIO UF'!$A:$B, 2, FALSE)</f>
        <v>Goiás</v>
      </c>
      <c r="C4392" s="3">
        <v>1401</v>
      </c>
      <c r="D4392" s="5" t="str">
        <f>VLOOKUP(C4392, 'DICIONÁRIO CNAES'!$A:$B, 2, FALSE)</f>
        <v>Atividades de apoio à agricultura e pós-colheita</v>
      </c>
      <c r="E4392" s="4">
        <v>8017.8517969900004</v>
      </c>
      <c r="F4392" s="4">
        <v>15854913.941407001</v>
      </c>
    </row>
    <row r="4393" spans="1:6" x14ac:dyDescent="0.3">
      <c r="A4393" s="3" t="s">
        <v>29</v>
      </c>
      <c r="B4393" s="7" t="str">
        <f>VLOOKUP(VALUE(A4393), 'DICIONÁRIO UF'!$A:$B, 2, FALSE)</f>
        <v>Goiás</v>
      </c>
      <c r="C4393" s="3">
        <v>1402</v>
      </c>
      <c r="D4393" s="5" t="str">
        <f>VLOOKUP(C4393, 'DICIONÁRIO CNAES'!$A:$B, 2, FALSE)</f>
        <v xml:space="preserve">Atividades de apoio à pecuária </v>
      </c>
      <c r="E4393" s="4">
        <v>1227.9086351200001</v>
      </c>
      <c r="F4393" s="4">
        <v>1715553.8158239999</v>
      </c>
    </row>
    <row r="4394" spans="1:6" x14ac:dyDescent="0.3">
      <c r="A4394" s="3" t="s">
        <v>29</v>
      </c>
      <c r="B4394" s="7" t="str">
        <f>VLOOKUP(VALUE(A4394), 'DICIONÁRIO UF'!$A:$B, 2, FALSE)</f>
        <v>Goiás</v>
      </c>
      <c r="C4394" s="3">
        <v>1999</v>
      </c>
      <c r="D4394" s="5" t="str">
        <f>VLOOKUP(C4394, 'DICIONÁRIO CNAES'!$A:$B, 2, FALSE)</f>
        <v>Agropecuária</v>
      </c>
      <c r="E4394" s="4">
        <v>171.5068014</v>
      </c>
      <c r="F4394" s="4">
        <v>1029040.8084</v>
      </c>
    </row>
    <row r="4395" spans="1:6" x14ac:dyDescent="0.3">
      <c r="A4395" s="3" t="s">
        <v>29</v>
      </c>
      <c r="B4395" s="7" t="str">
        <f>VLOOKUP(VALUE(A4395), 'DICIONÁRIO UF'!$A:$B, 2, FALSE)</f>
        <v>Goiás</v>
      </c>
      <c r="C4395" s="3">
        <v>2000</v>
      </c>
      <c r="D4395" s="5" t="str">
        <f>VLOOKUP(C4395, 'DICIONÁRIO CNAES'!$A:$B, 2, FALSE)</f>
        <v xml:space="preserve">Produção florestal </v>
      </c>
      <c r="E4395" s="4">
        <v>2948.85999907</v>
      </c>
      <c r="F4395" s="4">
        <v>4879366.1888030004</v>
      </c>
    </row>
    <row r="4396" spans="1:6" x14ac:dyDescent="0.3">
      <c r="A4396" s="3" t="s">
        <v>29</v>
      </c>
      <c r="B4396" s="7" t="str">
        <f>VLOOKUP(VALUE(A4396), 'DICIONÁRIO UF'!$A:$B, 2, FALSE)</f>
        <v>Goiás</v>
      </c>
      <c r="C4396" s="3">
        <v>3001</v>
      </c>
      <c r="D4396" s="5" t="str">
        <f>VLOOKUP(C4396, 'DICIONÁRIO CNAES'!$A:$B, 2, FALSE)</f>
        <v>Pesca</v>
      </c>
      <c r="E4396" s="4">
        <v>163.79778665000001</v>
      </c>
      <c r="F4396" s="4">
        <v>98278.671990000003</v>
      </c>
    </row>
    <row r="4397" spans="1:6" x14ac:dyDescent="0.3">
      <c r="A4397" s="3" t="s">
        <v>29</v>
      </c>
      <c r="B4397" s="7" t="str">
        <f>VLOOKUP(VALUE(A4397), 'DICIONÁRIO UF'!$A:$B, 2, FALSE)</f>
        <v>Goiás</v>
      </c>
      <c r="C4397" s="3">
        <v>3002</v>
      </c>
      <c r="D4397" s="5" t="str">
        <f>VLOOKUP(C4397, 'DICIONÁRIO CNAES'!$A:$B, 2, FALSE)</f>
        <v>Aqüicultura</v>
      </c>
      <c r="E4397" s="4">
        <v>1635.30108593</v>
      </c>
      <c r="F4397" s="4">
        <v>3465361.7484030002</v>
      </c>
    </row>
    <row r="4398" spans="1:6" x14ac:dyDescent="0.3">
      <c r="A4398" s="3" t="s">
        <v>29</v>
      </c>
      <c r="B4398" s="7" t="str">
        <f>VLOOKUP(VALUE(A4398), 'DICIONÁRIO UF'!$A:$B, 2, FALSE)</f>
        <v>Goiás</v>
      </c>
      <c r="C4398" s="3">
        <v>7001</v>
      </c>
      <c r="D4398" s="5" t="str">
        <f>VLOOKUP(C4398, 'DICIONÁRIO CNAES'!$A:$B, 2, FALSE)</f>
        <v>Extração de minérios de metais preciosos</v>
      </c>
      <c r="E4398" s="4">
        <v>3061.5880867300002</v>
      </c>
      <c r="F4398" s="4">
        <v>14799994.067743</v>
      </c>
    </row>
    <row r="4399" spans="1:6" x14ac:dyDescent="0.3">
      <c r="A4399" s="3" t="s">
        <v>29</v>
      </c>
      <c r="B4399" s="7" t="str">
        <f>VLOOKUP(VALUE(A4399), 'DICIONÁRIO UF'!$A:$B, 2, FALSE)</f>
        <v>Goiás</v>
      </c>
      <c r="C4399" s="3">
        <v>7002</v>
      </c>
      <c r="D4399" s="5" t="str">
        <f>VLOOKUP(C4399, 'DICIONÁRIO CNAES'!$A:$B, 2, FALSE)</f>
        <v xml:space="preserve">Extração de minerais metálicos não especificados anteriormente </v>
      </c>
      <c r="E4399" s="4">
        <v>2168.6845508800002</v>
      </c>
      <c r="F4399" s="4">
        <v>6390383.9800335001</v>
      </c>
    </row>
    <row r="4400" spans="1:6" x14ac:dyDescent="0.3">
      <c r="A4400" s="3" t="s">
        <v>29</v>
      </c>
      <c r="B4400" s="7" t="str">
        <f>VLOOKUP(VALUE(A4400), 'DICIONÁRIO UF'!$A:$B, 2, FALSE)</f>
        <v>Goiás</v>
      </c>
      <c r="C4400" s="3">
        <v>8001</v>
      </c>
      <c r="D4400" s="5" t="str">
        <f>VLOOKUP(C4400, 'DICIONÁRIO CNAES'!$A:$B, 2, FALSE)</f>
        <v>Extração de pedras, areia e argila</v>
      </c>
      <c r="E4400" s="4">
        <v>3149.1165043999999</v>
      </c>
      <c r="F4400" s="4">
        <v>5602934.6634940002</v>
      </c>
    </row>
    <row r="4401" spans="1:6" x14ac:dyDescent="0.3">
      <c r="A4401" s="3" t="s">
        <v>29</v>
      </c>
      <c r="B4401" s="7" t="str">
        <f>VLOOKUP(VALUE(A4401), 'DICIONÁRIO UF'!$A:$B, 2, FALSE)</f>
        <v>Goiás</v>
      </c>
      <c r="C4401" s="3">
        <v>8002</v>
      </c>
      <c r="D4401" s="5" t="str">
        <f>VLOOKUP(C4401, 'DICIONÁRIO CNAES'!$A:$B, 2, FALSE)</f>
        <v>Extração de gemas (pedras preciosas e semi-preciosas)</v>
      </c>
      <c r="E4401" s="4">
        <v>615.52697182999998</v>
      </c>
      <c r="F4401" s="4">
        <v>677079.66901299998</v>
      </c>
    </row>
    <row r="4402" spans="1:6" x14ac:dyDescent="0.3">
      <c r="A4402" s="3" t="s">
        <v>29</v>
      </c>
      <c r="B4402" s="7" t="str">
        <f>VLOOKUP(VALUE(A4402), 'DICIONÁRIO UF'!$A:$B, 2, FALSE)</f>
        <v>Goiás</v>
      </c>
      <c r="C4402" s="3">
        <v>8009</v>
      </c>
      <c r="D4402" s="5" t="str">
        <f>VLOOKUP(C4402, 'DICIONÁRIO CNAES'!$A:$B, 2, FALSE)</f>
        <v xml:space="preserve">Extração de minerais não metálicos não especificados anteriormente </v>
      </c>
      <c r="E4402" s="4">
        <v>3796.9395669700002</v>
      </c>
      <c r="F4402" s="4">
        <v>13450558.614271</v>
      </c>
    </row>
    <row r="4403" spans="1:6" x14ac:dyDescent="0.3">
      <c r="A4403" s="3" t="s">
        <v>29</v>
      </c>
      <c r="B4403" s="7" t="str">
        <f>VLOOKUP(VALUE(A4403), 'DICIONÁRIO UF'!$A:$B, 2, FALSE)</f>
        <v>Goiás</v>
      </c>
      <c r="C4403" s="3">
        <v>10010</v>
      </c>
      <c r="D4403" s="5" t="str">
        <f>VLOOKUP(C4403, 'DICIONÁRIO CNAES'!$A:$B, 2, FALSE)</f>
        <v xml:space="preserve">Abate e fabricação de produtos de carne e pescado </v>
      </c>
      <c r="E4403" s="4">
        <v>23088.0903072</v>
      </c>
      <c r="F4403" s="4">
        <v>55772452.70545052</v>
      </c>
    </row>
    <row r="4404" spans="1:6" x14ac:dyDescent="0.3">
      <c r="A4404" s="3" t="s">
        <v>29</v>
      </c>
      <c r="B4404" s="7" t="str">
        <f>VLOOKUP(VALUE(A4404), 'DICIONÁRIO UF'!$A:$B, 2, FALSE)</f>
        <v>Goiás</v>
      </c>
      <c r="C4404" s="3">
        <v>10021</v>
      </c>
      <c r="D4404" s="5" t="str">
        <f>VLOOKUP(C4404, 'DICIONÁRIO CNAES'!$A:$B, 2, FALSE)</f>
        <v>Fabricação de conservas de frutas, legumes e outros vegetais</v>
      </c>
      <c r="E4404" s="4">
        <v>2939.4515415199999</v>
      </c>
      <c r="F4404" s="4">
        <v>7406639.0687659997</v>
      </c>
    </row>
    <row r="4405" spans="1:6" x14ac:dyDescent="0.3">
      <c r="A4405" s="3" t="s">
        <v>29</v>
      </c>
      <c r="B4405" s="7" t="str">
        <f>VLOOKUP(VALUE(A4405), 'DICIONÁRIO UF'!$A:$B, 2, FALSE)</f>
        <v>Goiás</v>
      </c>
      <c r="C4405" s="3">
        <v>10022</v>
      </c>
      <c r="D4405" s="5" t="str">
        <f>VLOOKUP(C4405, 'DICIONÁRIO CNAES'!$A:$B, 2, FALSE)</f>
        <v>Fabricação de óleos vegetais e gorduras vegetais e animais</v>
      </c>
      <c r="E4405" s="4">
        <v>2807.9711591400001</v>
      </c>
      <c r="F4405" s="4">
        <v>8724081.3762750011</v>
      </c>
    </row>
    <row r="4406" spans="1:6" x14ac:dyDescent="0.3">
      <c r="A4406" s="3" t="s">
        <v>29</v>
      </c>
      <c r="B4406" s="7" t="str">
        <f>VLOOKUP(VALUE(A4406), 'DICIONÁRIO UF'!$A:$B, 2, FALSE)</f>
        <v>Goiás</v>
      </c>
      <c r="C4406" s="3">
        <v>10030</v>
      </c>
      <c r="D4406" s="5" t="str">
        <f>VLOOKUP(C4406, 'DICIONÁRIO CNAES'!$A:$B, 2, FALSE)</f>
        <v>Laticínios</v>
      </c>
      <c r="E4406" s="4">
        <v>12077.13157494</v>
      </c>
      <c r="F4406" s="4">
        <v>17506332.909904551</v>
      </c>
    </row>
    <row r="4407" spans="1:6" x14ac:dyDescent="0.3">
      <c r="A4407" s="3" t="s">
        <v>29</v>
      </c>
      <c r="B4407" s="7" t="str">
        <f>VLOOKUP(VALUE(A4407), 'DICIONÁRIO UF'!$A:$B, 2, FALSE)</f>
        <v>Goiás</v>
      </c>
      <c r="C4407" s="3">
        <v>10091</v>
      </c>
      <c r="D4407" s="5" t="str">
        <f>VLOOKUP(C4407, 'DICIONÁRIO CNAES'!$A:$B, 2, FALSE)</f>
        <v>Moagem, fabricação de produtos amiláceos e de alimentos para animais</v>
      </c>
      <c r="E4407" s="4">
        <v>6766.48877103</v>
      </c>
      <c r="F4407" s="4">
        <v>8859019.0464340001</v>
      </c>
    </row>
    <row r="4408" spans="1:6" x14ac:dyDescent="0.3">
      <c r="A4408" s="3" t="s">
        <v>29</v>
      </c>
      <c r="B4408" s="7" t="str">
        <f>VLOOKUP(VALUE(A4408), 'DICIONÁRIO UF'!$A:$B, 2, FALSE)</f>
        <v>Goiás</v>
      </c>
      <c r="C4408" s="3">
        <v>10092</v>
      </c>
      <c r="D4408" s="5" t="str">
        <f>VLOOKUP(C4408, 'DICIONÁRIO CNAES'!$A:$B, 2, FALSE)</f>
        <v>Fabricação e refino do açúcar</v>
      </c>
      <c r="E4408" s="4">
        <v>10652.82610647</v>
      </c>
      <c r="F4408" s="4">
        <v>22963898.100714199</v>
      </c>
    </row>
    <row r="4409" spans="1:6" x14ac:dyDescent="0.3">
      <c r="A4409" s="3" t="s">
        <v>29</v>
      </c>
      <c r="B4409" s="7" t="str">
        <f>VLOOKUP(VALUE(A4409), 'DICIONÁRIO UF'!$A:$B, 2, FALSE)</f>
        <v>Goiás</v>
      </c>
      <c r="C4409" s="3">
        <v>10093</v>
      </c>
      <c r="D4409" s="5" t="str">
        <f>VLOOKUP(C4409, 'DICIONÁRIO CNAES'!$A:$B, 2, FALSE)</f>
        <v>Torrefação e moagem de café</v>
      </c>
      <c r="E4409" s="4">
        <v>1023.78968687</v>
      </c>
      <c r="F4409" s="4">
        <v>1499045.6286780001</v>
      </c>
    </row>
    <row r="4410" spans="1:6" x14ac:dyDescent="0.3">
      <c r="A4410" s="3" t="s">
        <v>29</v>
      </c>
      <c r="B4410" s="7" t="str">
        <f>VLOOKUP(VALUE(A4410), 'DICIONÁRIO UF'!$A:$B, 2, FALSE)</f>
        <v>Goiás</v>
      </c>
      <c r="C4410" s="3">
        <v>10099</v>
      </c>
      <c r="D4410" s="5" t="str">
        <f>VLOOKUP(C4410, 'DICIONÁRIO CNAES'!$A:$B, 2, FALSE)</f>
        <v>Fabricação de outros produtos alimentícios</v>
      </c>
      <c r="E4410" s="4">
        <v>21356.02677144</v>
      </c>
      <c r="F4410" s="4">
        <v>61152119.456766158</v>
      </c>
    </row>
    <row r="4411" spans="1:6" x14ac:dyDescent="0.3">
      <c r="A4411" s="3" t="s">
        <v>29</v>
      </c>
      <c r="B4411" s="7" t="str">
        <f>VLOOKUP(VALUE(A4411), 'DICIONÁRIO UF'!$A:$B, 2, FALSE)</f>
        <v>Goiás</v>
      </c>
      <c r="C4411" s="3">
        <v>11000</v>
      </c>
      <c r="D4411" s="5" t="str">
        <f>VLOOKUP(C4411, 'DICIONÁRIO CNAES'!$A:$B, 2, FALSE)</f>
        <v>Fabricação de bebidas</v>
      </c>
      <c r="E4411" s="4">
        <v>8100.49233594</v>
      </c>
      <c r="F4411" s="4">
        <v>21373962.264959998</v>
      </c>
    </row>
    <row r="4412" spans="1:6" x14ac:dyDescent="0.3">
      <c r="A4412" s="3" t="s">
        <v>29</v>
      </c>
      <c r="B4412" s="7" t="str">
        <f>VLOOKUP(VALUE(A4412), 'DICIONÁRIO UF'!$A:$B, 2, FALSE)</f>
        <v>Goiás</v>
      </c>
      <c r="C4412" s="3">
        <v>12000</v>
      </c>
      <c r="D4412" s="5" t="str">
        <f>VLOOKUP(C4412, 'DICIONÁRIO CNAES'!$A:$B, 2, FALSE)</f>
        <v>Processamento industrial e fabricação de produtos do fumo</v>
      </c>
      <c r="E4412" s="4">
        <v>579.45350365000002</v>
      </c>
      <c r="F4412" s="4">
        <v>637398.85401500005</v>
      </c>
    </row>
    <row r="4413" spans="1:6" x14ac:dyDescent="0.3">
      <c r="A4413" s="3" t="s">
        <v>29</v>
      </c>
      <c r="B4413" s="7" t="str">
        <f>VLOOKUP(VALUE(A4413), 'DICIONÁRIO UF'!$A:$B, 2, FALSE)</f>
        <v>Goiás</v>
      </c>
      <c r="C4413" s="3">
        <v>13001</v>
      </c>
      <c r="D4413" s="5" t="str">
        <f>VLOOKUP(C4413, 'DICIONÁRIO CNAES'!$A:$B, 2, FALSE)</f>
        <v>Preparação de fibras, fiação e tecelagem</v>
      </c>
      <c r="E4413" s="4">
        <v>3896.9690373100002</v>
      </c>
      <c r="F4413" s="4">
        <v>1918845.9160615001</v>
      </c>
    </row>
    <row r="4414" spans="1:6" x14ac:dyDescent="0.3">
      <c r="A4414" s="3" t="s">
        <v>29</v>
      </c>
      <c r="B4414" s="7" t="str">
        <f>VLOOKUP(VALUE(A4414), 'DICIONÁRIO UF'!$A:$B, 2, FALSE)</f>
        <v>Goiás</v>
      </c>
      <c r="C4414" s="3">
        <v>13002</v>
      </c>
      <c r="D4414" s="5" t="str">
        <f>VLOOKUP(C4414, 'DICIONÁRIO CNAES'!$A:$B, 2, FALSE)</f>
        <v>Fabricação de artefatos têxteis, exceto vestuário</v>
      </c>
      <c r="E4414" s="4">
        <v>12752.10508616</v>
      </c>
      <c r="F4414" s="4">
        <v>10192138.0393799</v>
      </c>
    </row>
    <row r="4415" spans="1:6" x14ac:dyDescent="0.3">
      <c r="A4415" s="3" t="s">
        <v>29</v>
      </c>
      <c r="B4415" s="7" t="str">
        <f>VLOOKUP(VALUE(A4415), 'DICIONÁRIO UF'!$A:$B, 2, FALSE)</f>
        <v>Goiás</v>
      </c>
      <c r="C4415" s="3">
        <v>14001</v>
      </c>
      <c r="D4415" s="5" t="str">
        <f>VLOOKUP(C4415, 'DICIONÁRIO CNAES'!$A:$B, 2, FALSE)</f>
        <v>Confecção de artigos do vestuário e acessórios, exceto sob medida</v>
      </c>
      <c r="E4415" s="4">
        <v>72071.805311040007</v>
      </c>
      <c r="F4415" s="4">
        <v>93028144.374935597</v>
      </c>
    </row>
    <row r="4416" spans="1:6" x14ac:dyDescent="0.3">
      <c r="A4416" s="3" t="s">
        <v>29</v>
      </c>
      <c r="B4416" s="7" t="str">
        <f>VLOOKUP(VALUE(A4416), 'DICIONÁRIO UF'!$A:$B, 2, FALSE)</f>
        <v>Goiás</v>
      </c>
      <c r="C4416" s="3">
        <v>14002</v>
      </c>
      <c r="D4416" s="5" t="str">
        <f>VLOOKUP(C4416, 'DICIONÁRIO CNAES'!$A:$B, 2, FALSE)</f>
        <v>Confecção, sob medida, de artigos do vestuário</v>
      </c>
      <c r="E4416" s="4">
        <v>8851.5812195899998</v>
      </c>
      <c r="F4416" s="4">
        <v>10475777.146496501</v>
      </c>
    </row>
    <row r="4417" spans="1:6" x14ac:dyDescent="0.3">
      <c r="A4417" s="3" t="s">
        <v>29</v>
      </c>
      <c r="B4417" s="7" t="str">
        <f>VLOOKUP(VALUE(A4417), 'DICIONÁRIO UF'!$A:$B, 2, FALSE)</f>
        <v>Goiás</v>
      </c>
      <c r="C4417" s="3">
        <v>15011</v>
      </c>
      <c r="D4417" s="5" t="str">
        <f>VLOOKUP(C4417, 'DICIONÁRIO CNAES'!$A:$B, 2, FALSE)</f>
        <v>Curtimento e outras preparações de couro</v>
      </c>
      <c r="E4417" s="4">
        <v>618.86520617999997</v>
      </c>
      <c r="F4417" s="4">
        <v>309432.60308999999</v>
      </c>
    </row>
    <row r="4418" spans="1:6" x14ac:dyDescent="0.3">
      <c r="A4418" s="3" t="s">
        <v>29</v>
      </c>
      <c r="B4418" s="7" t="str">
        <f>VLOOKUP(VALUE(A4418), 'DICIONÁRIO UF'!$A:$B, 2, FALSE)</f>
        <v>Goiás</v>
      </c>
      <c r="C4418" s="3">
        <v>15012</v>
      </c>
      <c r="D4418" s="5" t="str">
        <f>VLOOKUP(C4418, 'DICIONÁRIO CNAES'!$A:$B, 2, FALSE)</f>
        <v>Fabricação de artigos de viagem e de artefatos diversos de couro</v>
      </c>
      <c r="E4418" s="4">
        <v>693.95966484999997</v>
      </c>
      <c r="F4418" s="4">
        <v>1110335.46376</v>
      </c>
    </row>
    <row r="4419" spans="1:6" x14ac:dyDescent="0.3">
      <c r="A4419" s="3" t="s">
        <v>29</v>
      </c>
      <c r="B4419" s="7" t="str">
        <f>VLOOKUP(VALUE(A4419), 'DICIONÁRIO UF'!$A:$B, 2, FALSE)</f>
        <v>Goiás</v>
      </c>
      <c r="C4419" s="3">
        <v>15020</v>
      </c>
      <c r="D4419" s="5" t="str">
        <f>VLOOKUP(C4419, 'DICIONÁRIO CNAES'!$A:$B, 2, FALSE)</f>
        <v>Fabricação de calçados e partes para calçados, de qualquer material</v>
      </c>
      <c r="E4419" s="4">
        <v>4136.7134169399997</v>
      </c>
      <c r="F4419" s="4">
        <v>7670901.4330789996</v>
      </c>
    </row>
    <row r="4420" spans="1:6" x14ac:dyDescent="0.3">
      <c r="A4420" s="3" t="s">
        <v>29</v>
      </c>
      <c r="B4420" s="7" t="str">
        <f>VLOOKUP(VALUE(A4420), 'DICIONÁRIO UF'!$A:$B, 2, FALSE)</f>
        <v>Goiás</v>
      </c>
      <c r="C4420" s="3">
        <v>16002</v>
      </c>
      <c r="D4420" s="5" t="str">
        <f>VLOOKUP(C4420, 'DICIONÁRIO CNAES'!$A:$B, 2, FALSE)</f>
        <v>Fabricação de produtos de madeira, cortiça e material trançado, exceto móveis</v>
      </c>
      <c r="E4420" s="4">
        <v>8474.2721104600005</v>
      </c>
      <c r="F4420" s="4">
        <v>10389163.2143382</v>
      </c>
    </row>
    <row r="4421" spans="1:6" x14ac:dyDescent="0.3">
      <c r="A4421" s="3" t="s">
        <v>29</v>
      </c>
      <c r="B4421" s="7" t="str">
        <f>VLOOKUP(VALUE(A4421), 'DICIONÁRIO UF'!$A:$B, 2, FALSE)</f>
        <v>Goiás</v>
      </c>
      <c r="C4421" s="3">
        <v>17002</v>
      </c>
      <c r="D4421" s="5" t="str">
        <f>VLOOKUP(C4421, 'DICIONÁRIO CNAES'!$A:$B, 2, FALSE)</f>
        <v>Fabricação de embalagens e de produtos diversos de papel, cartolina, papel-cartão e papelão ondulado</v>
      </c>
      <c r="E4421" s="4">
        <v>4670.7919884100002</v>
      </c>
      <c r="F4421" s="4">
        <v>6649003.9766500005</v>
      </c>
    </row>
    <row r="4422" spans="1:6" x14ac:dyDescent="0.3">
      <c r="A4422" s="3" t="s">
        <v>29</v>
      </c>
      <c r="B4422" s="7" t="str">
        <f>VLOOKUP(VALUE(A4422), 'DICIONÁRIO UF'!$A:$B, 2, FALSE)</f>
        <v>Goiás</v>
      </c>
      <c r="C4422" s="3">
        <v>18000</v>
      </c>
      <c r="D4422" s="5" t="str">
        <f>VLOOKUP(C4422, 'DICIONÁRIO CNAES'!$A:$B, 2, FALSE)</f>
        <v>Impressão e reprodução de gravações</v>
      </c>
      <c r="E4422" s="4">
        <v>6446.5590883300001</v>
      </c>
      <c r="F4422" s="4">
        <v>8250205.1005060803</v>
      </c>
    </row>
    <row r="4423" spans="1:6" x14ac:dyDescent="0.3">
      <c r="A4423" s="3" t="s">
        <v>29</v>
      </c>
      <c r="B4423" s="7" t="str">
        <f>VLOOKUP(VALUE(A4423), 'DICIONÁRIO UF'!$A:$B, 2, FALSE)</f>
        <v>Goiás</v>
      </c>
      <c r="C4423" s="3">
        <v>19030</v>
      </c>
      <c r="D4423" s="5" t="str">
        <f>VLOOKUP(C4423, 'DICIONÁRIO CNAES'!$A:$B, 2, FALSE)</f>
        <v>Produção de biocombustíveis</v>
      </c>
      <c r="E4423" s="4">
        <v>15136.083897709999</v>
      </c>
      <c r="F4423" s="4">
        <v>34823186.874158427</v>
      </c>
    </row>
    <row r="4424" spans="1:6" x14ac:dyDescent="0.3">
      <c r="A4424" s="3" t="s">
        <v>29</v>
      </c>
      <c r="B4424" s="7" t="str">
        <f>VLOOKUP(VALUE(A4424), 'DICIONÁRIO UF'!$A:$B, 2, FALSE)</f>
        <v>Goiás</v>
      </c>
      <c r="C4424" s="3">
        <v>20010</v>
      </c>
      <c r="D4424" s="5" t="str">
        <f>VLOOKUP(C4424, 'DICIONÁRIO CNAES'!$A:$B, 2, FALSE)</f>
        <v>Fabricação de tintas, vernizes, esmaltes, lacas e produtos afins</v>
      </c>
      <c r="E4424" s="4">
        <v>712.91957516000002</v>
      </c>
      <c r="F4424" s="4">
        <v>1572022.736428</v>
      </c>
    </row>
    <row r="4425" spans="1:6" x14ac:dyDescent="0.3">
      <c r="A4425" s="3" t="s">
        <v>29</v>
      </c>
      <c r="B4425" s="7" t="str">
        <f>VLOOKUP(VALUE(A4425), 'DICIONÁRIO UF'!$A:$B, 2, FALSE)</f>
        <v>Goiás</v>
      </c>
      <c r="C4425" s="3">
        <v>20020</v>
      </c>
      <c r="D4425" s="5" t="str">
        <f>VLOOKUP(C4425, 'DICIONÁRIO CNAES'!$A:$B, 2, FALSE)</f>
        <v>Fabricação de sabões, detergentes, produtos de limpeza, cosméticos, produtos de perfumaria e de higiene pessoal</v>
      </c>
      <c r="E4425" s="4">
        <v>8926.204614549999</v>
      </c>
      <c r="F4425" s="4">
        <v>18835419.310947001</v>
      </c>
    </row>
    <row r="4426" spans="1:6" x14ac:dyDescent="0.3">
      <c r="A4426" s="3" t="s">
        <v>29</v>
      </c>
      <c r="B4426" s="7" t="str">
        <f>VLOOKUP(VALUE(A4426), 'DICIONÁRIO UF'!$A:$B, 2, FALSE)</f>
        <v>Goiás</v>
      </c>
      <c r="C4426" s="3">
        <v>20090</v>
      </c>
      <c r="D4426" s="5" t="str">
        <f>VLOOKUP(C4426, 'DICIONÁRIO CNAES'!$A:$B, 2, FALSE)</f>
        <v>Fabricação de outros produtos químicos não especificados anteriormente</v>
      </c>
      <c r="E4426" s="4">
        <v>4972.7117908499986</v>
      </c>
      <c r="F4426" s="4">
        <v>36509087.364872999</v>
      </c>
    </row>
    <row r="4427" spans="1:6" x14ac:dyDescent="0.3">
      <c r="A4427" s="3" t="s">
        <v>29</v>
      </c>
      <c r="B4427" s="7" t="str">
        <f>VLOOKUP(VALUE(A4427), 'DICIONÁRIO UF'!$A:$B, 2, FALSE)</f>
        <v>Goiás</v>
      </c>
      <c r="C4427" s="3">
        <v>21000</v>
      </c>
      <c r="D4427" s="5" t="str">
        <f>VLOOKUP(C4427, 'DICIONÁRIO CNAES'!$A:$B, 2, FALSE)</f>
        <v>Fabricação de produtos farmoquimicos e farmacêuticos</v>
      </c>
      <c r="E4427" s="4">
        <v>19740.566979499999</v>
      </c>
      <c r="F4427" s="4">
        <v>47037829.06550388</v>
      </c>
    </row>
    <row r="4428" spans="1:6" x14ac:dyDescent="0.3">
      <c r="A4428" s="3" t="s">
        <v>29</v>
      </c>
      <c r="B4428" s="7" t="str">
        <f>VLOOKUP(VALUE(A4428), 'DICIONÁRIO UF'!$A:$B, 2, FALSE)</f>
        <v>Goiás</v>
      </c>
      <c r="C4428" s="3">
        <v>22010</v>
      </c>
      <c r="D4428" s="5" t="str">
        <f>VLOOKUP(C4428, 'DICIONÁRIO CNAES'!$A:$B, 2, FALSE)</f>
        <v>Fabricação de produtos de borracha</v>
      </c>
      <c r="E4428" s="4">
        <v>1187.71799068</v>
      </c>
      <c r="F4428" s="4">
        <v>3563153.9720399999</v>
      </c>
    </row>
    <row r="4429" spans="1:6" x14ac:dyDescent="0.3">
      <c r="A4429" s="3" t="s">
        <v>29</v>
      </c>
      <c r="B4429" s="7" t="str">
        <f>VLOOKUP(VALUE(A4429), 'DICIONÁRIO UF'!$A:$B, 2, FALSE)</f>
        <v>Goiás</v>
      </c>
      <c r="C4429" s="3">
        <v>22020</v>
      </c>
      <c r="D4429" s="5" t="str">
        <f>VLOOKUP(C4429, 'DICIONÁRIO CNAES'!$A:$B, 2, FALSE)</f>
        <v>Fabricação de produtos de material plástico</v>
      </c>
      <c r="E4429" s="4">
        <v>8698.6930261100006</v>
      </c>
      <c r="F4429" s="4">
        <v>17154364.157558341</v>
      </c>
    </row>
    <row r="4430" spans="1:6" x14ac:dyDescent="0.3">
      <c r="A4430" s="3" t="s">
        <v>29</v>
      </c>
      <c r="B4430" s="7" t="str">
        <f>VLOOKUP(VALUE(A4430), 'DICIONÁRIO UF'!$A:$B, 2, FALSE)</f>
        <v>Goiás</v>
      </c>
      <c r="C4430" s="3">
        <v>23010</v>
      </c>
      <c r="D4430" s="5" t="str">
        <f>VLOOKUP(C4430, 'DICIONÁRIO CNAES'!$A:$B, 2, FALSE)</f>
        <v>Fabricação de vidro e produtos de vidro</v>
      </c>
      <c r="E4430" s="4">
        <v>2916.0449249799999</v>
      </c>
      <c r="F4430" s="4">
        <v>5583068.8886099998</v>
      </c>
    </row>
    <row r="4431" spans="1:6" x14ac:dyDescent="0.3">
      <c r="A4431" s="3" t="s">
        <v>29</v>
      </c>
      <c r="B4431" s="7" t="str">
        <f>VLOOKUP(VALUE(A4431), 'DICIONÁRIO UF'!$A:$B, 2, FALSE)</f>
        <v>Goiás</v>
      </c>
      <c r="C4431" s="3">
        <v>23091</v>
      </c>
      <c r="D4431" s="5" t="str">
        <f>VLOOKUP(C4431, 'DICIONÁRIO CNAES'!$A:$B, 2, FALSE)</f>
        <v>Fabricação de produtos cerâmicos</v>
      </c>
      <c r="E4431" s="4">
        <v>6885.4117265900004</v>
      </c>
      <c r="F4431" s="4">
        <v>8690094.2319957502</v>
      </c>
    </row>
    <row r="4432" spans="1:6" x14ac:dyDescent="0.3">
      <c r="A4432" s="3" t="s">
        <v>29</v>
      </c>
      <c r="B4432" s="7" t="str">
        <f>VLOOKUP(VALUE(A4432), 'DICIONÁRIO UF'!$A:$B, 2, FALSE)</f>
        <v>Goiás</v>
      </c>
      <c r="C4432" s="3">
        <v>23099</v>
      </c>
      <c r="D4432" s="5" t="str">
        <f>VLOOKUP(C4432, 'DICIONÁRIO CNAES'!$A:$B, 2, FALSE)</f>
        <v>Fabricação de outros produtos de minerais não-metálicos não especificados anteriormente</v>
      </c>
      <c r="E4432" s="4">
        <v>5850.3333181300004</v>
      </c>
      <c r="F4432" s="4">
        <v>11902749.715805</v>
      </c>
    </row>
    <row r="4433" spans="1:6" x14ac:dyDescent="0.3">
      <c r="A4433" s="3" t="s">
        <v>29</v>
      </c>
      <c r="B4433" s="7" t="str">
        <f>VLOOKUP(VALUE(A4433), 'DICIONÁRIO UF'!$A:$B, 2, FALSE)</f>
        <v>Goiás</v>
      </c>
      <c r="C4433" s="3">
        <v>24001</v>
      </c>
      <c r="D4433" s="5" t="str">
        <f>VLOOKUP(C4433, 'DICIONÁRIO CNAES'!$A:$B, 2, FALSE)</f>
        <v>Fabricação de produtos siderúrgicos</v>
      </c>
      <c r="E4433" s="4">
        <v>768.66314255999998</v>
      </c>
      <c r="F4433" s="4">
        <v>1152994.7138400001</v>
      </c>
    </row>
    <row r="4434" spans="1:6" x14ac:dyDescent="0.3">
      <c r="A4434" s="3" t="s">
        <v>29</v>
      </c>
      <c r="B4434" s="7" t="str">
        <f>VLOOKUP(VALUE(A4434), 'DICIONÁRIO UF'!$A:$B, 2, FALSE)</f>
        <v>Goiás</v>
      </c>
      <c r="C4434" s="3">
        <v>25001</v>
      </c>
      <c r="D4434" s="5" t="str">
        <f>VLOOKUP(C4434, 'DICIONÁRIO CNAES'!$A:$B, 2, FALSE)</f>
        <v>Fabricação de produtos de metal, exceto máquinas e equipamentos</v>
      </c>
      <c r="E4434" s="4">
        <v>32896.815701849999</v>
      </c>
      <c r="F4434" s="4">
        <v>61482309.434340999</v>
      </c>
    </row>
    <row r="4435" spans="1:6" x14ac:dyDescent="0.3">
      <c r="A4435" s="3" t="s">
        <v>29</v>
      </c>
      <c r="B4435" s="7" t="str">
        <f>VLOOKUP(VALUE(A4435), 'DICIONÁRIO UF'!$A:$B, 2, FALSE)</f>
        <v>Goiás</v>
      </c>
      <c r="C4435" s="3">
        <v>25002</v>
      </c>
      <c r="D4435" s="5" t="str">
        <f>VLOOKUP(C4435, 'DICIONÁRIO CNAES'!$A:$B, 2, FALSE)</f>
        <v>Forjaria, estamparia, metalurgia do pó e serviços de tratamento de metais</v>
      </c>
      <c r="E4435" s="4">
        <v>3121.9776867400001</v>
      </c>
      <c r="F4435" s="4">
        <v>7323467.7624700004</v>
      </c>
    </row>
    <row r="4436" spans="1:6" x14ac:dyDescent="0.3">
      <c r="A4436" s="3" t="s">
        <v>29</v>
      </c>
      <c r="B4436" s="7" t="str">
        <f>VLOOKUP(VALUE(A4436), 'DICIONÁRIO UF'!$A:$B, 2, FALSE)</f>
        <v>Goiás</v>
      </c>
      <c r="C4436" s="3">
        <v>27010</v>
      </c>
      <c r="D4436" s="5" t="str">
        <f>VLOOKUP(C4436, 'DICIONÁRIO CNAES'!$A:$B, 2, FALSE)</f>
        <v>Fabricação de eletrodomesticos</v>
      </c>
      <c r="E4436" s="4">
        <v>924.10802013</v>
      </c>
      <c r="F4436" s="4">
        <v>2773248.1684101298</v>
      </c>
    </row>
    <row r="4437" spans="1:6" x14ac:dyDescent="0.3">
      <c r="A4437" s="3" t="s">
        <v>29</v>
      </c>
      <c r="B4437" s="7" t="str">
        <f>VLOOKUP(VALUE(A4437), 'DICIONÁRIO UF'!$A:$B, 2, FALSE)</f>
        <v>Goiás</v>
      </c>
      <c r="C4437" s="3">
        <v>27090</v>
      </c>
      <c r="D4437" s="5" t="str">
        <f>VLOOKUP(C4437, 'DICIONÁRIO CNAES'!$A:$B, 2, FALSE)</f>
        <v>Fabricação de máquinas, aparelhos e materiais elétricos diversos, exceto eletrodomesticos</v>
      </c>
      <c r="E4437" s="4">
        <v>764.08817596999995</v>
      </c>
      <c r="F4437" s="4">
        <v>1757402.804731</v>
      </c>
    </row>
    <row r="4438" spans="1:6" x14ac:dyDescent="0.3">
      <c r="A4438" s="3" t="s">
        <v>29</v>
      </c>
      <c r="B4438" s="7" t="str">
        <f>VLOOKUP(VALUE(A4438), 'DICIONÁRIO UF'!$A:$B, 2, FALSE)</f>
        <v>Goiás</v>
      </c>
      <c r="C4438" s="3">
        <v>28000</v>
      </c>
      <c r="D4438" s="5" t="str">
        <f>VLOOKUP(C4438, 'DICIONÁRIO CNAES'!$A:$B, 2, FALSE)</f>
        <v>Fabricação de máquinas e equipamentos</v>
      </c>
      <c r="E4438" s="4">
        <v>6160.0220844800006</v>
      </c>
      <c r="F4438" s="4">
        <v>16621399.923533</v>
      </c>
    </row>
    <row r="4439" spans="1:6" x14ac:dyDescent="0.3">
      <c r="A4439" s="3" t="s">
        <v>29</v>
      </c>
      <c r="B4439" s="7" t="str">
        <f>VLOOKUP(VALUE(A4439), 'DICIONÁRIO UF'!$A:$B, 2, FALSE)</f>
        <v>Goiás</v>
      </c>
      <c r="C4439" s="3">
        <v>29001</v>
      </c>
      <c r="D4439" s="5" t="str">
        <f>VLOOKUP(C4439, 'DICIONÁRIO CNAES'!$A:$B, 2, FALSE)</f>
        <v>Fabricação e montagem de veículos automotores</v>
      </c>
      <c r="E4439" s="4">
        <v>8389.3004928400005</v>
      </c>
      <c r="F4439" s="4">
        <v>23008753.488139398</v>
      </c>
    </row>
    <row r="4440" spans="1:6" x14ac:dyDescent="0.3">
      <c r="A4440" s="3" t="s">
        <v>29</v>
      </c>
      <c r="B4440" s="7" t="str">
        <f>VLOOKUP(VALUE(A4440), 'DICIONÁRIO UF'!$A:$B, 2, FALSE)</f>
        <v>Goiás</v>
      </c>
      <c r="C4440" s="3">
        <v>31000</v>
      </c>
      <c r="D4440" s="5" t="str">
        <f>VLOOKUP(C4440, 'DICIONÁRIO CNAES'!$A:$B, 2, FALSE)</f>
        <v>Fabricação de móveis</v>
      </c>
      <c r="E4440" s="4">
        <v>16280.79913189</v>
      </c>
      <c r="F4440" s="4">
        <v>26880456.1588975</v>
      </c>
    </row>
    <row r="4441" spans="1:6" x14ac:dyDescent="0.3">
      <c r="A4441" s="3" t="s">
        <v>29</v>
      </c>
      <c r="B4441" s="7" t="str">
        <f>VLOOKUP(VALUE(A4441), 'DICIONÁRIO UF'!$A:$B, 2, FALSE)</f>
        <v>Goiás</v>
      </c>
      <c r="C4441" s="3">
        <v>32001</v>
      </c>
      <c r="D4441" s="5" t="str">
        <f>VLOOKUP(C4441, 'DICIONÁRIO CNAES'!$A:$B, 2, FALSE)</f>
        <v>Fabricação de artigos de joalheria, bijuteria e semelhantes</v>
      </c>
      <c r="E4441" s="4">
        <v>980.90896322000003</v>
      </c>
      <c r="F4441" s="4">
        <v>572190.98286600003</v>
      </c>
    </row>
    <row r="4442" spans="1:6" x14ac:dyDescent="0.3">
      <c r="A4442" s="3" t="s">
        <v>29</v>
      </c>
      <c r="B4442" s="7" t="str">
        <f>VLOOKUP(VALUE(A4442), 'DICIONÁRIO UF'!$A:$B, 2, FALSE)</f>
        <v>Goiás</v>
      </c>
      <c r="C4442" s="3">
        <v>32003</v>
      </c>
      <c r="D4442" s="5" t="str">
        <f>VLOOKUP(C4442, 'DICIONÁRIO CNAES'!$A:$B, 2, FALSE)</f>
        <v>Fabricação de artefatos para pesca e esporte e de brinquedos e jogos recreativos</v>
      </c>
      <c r="E4442" s="4">
        <v>221.36058206000001</v>
      </c>
      <c r="F4442" s="4">
        <v>243496.640266</v>
      </c>
    </row>
    <row r="4443" spans="1:6" x14ac:dyDescent="0.3">
      <c r="A4443" s="3" t="s">
        <v>29</v>
      </c>
      <c r="B4443" s="7" t="str">
        <f>VLOOKUP(VALUE(A4443), 'DICIONÁRIO UF'!$A:$B, 2, FALSE)</f>
        <v>Goiás</v>
      </c>
      <c r="C4443" s="3">
        <v>32009</v>
      </c>
      <c r="D4443" s="5" t="str">
        <f>VLOOKUP(C4443, 'DICIONÁRIO CNAES'!$A:$B, 2, FALSE)</f>
        <v>Fabricação de produtos diversos</v>
      </c>
      <c r="E4443" s="4">
        <v>6957.0946874199999</v>
      </c>
      <c r="F4443" s="4">
        <v>11470132.56451001</v>
      </c>
    </row>
    <row r="4444" spans="1:6" x14ac:dyDescent="0.3">
      <c r="A4444" s="3" t="s">
        <v>29</v>
      </c>
      <c r="B4444" s="7" t="str">
        <f>VLOOKUP(VALUE(A4444), 'DICIONÁRIO UF'!$A:$B, 2, FALSE)</f>
        <v>Goiás</v>
      </c>
      <c r="C4444" s="3">
        <v>33001</v>
      </c>
      <c r="D4444" s="5" t="str">
        <f>VLOOKUP(C4444, 'DICIONÁRIO CNAES'!$A:$B, 2, FALSE)</f>
        <v>Manutenção e reparação de máquinas e equipamentos</v>
      </c>
      <c r="E4444" s="4">
        <v>8655.5558191599994</v>
      </c>
      <c r="F4444" s="4">
        <v>26086795.864154998</v>
      </c>
    </row>
    <row r="4445" spans="1:6" x14ac:dyDescent="0.3">
      <c r="A4445" s="3" t="s">
        <v>29</v>
      </c>
      <c r="B4445" s="7" t="str">
        <f>VLOOKUP(VALUE(A4445), 'DICIONÁRIO UF'!$A:$B, 2, FALSE)</f>
        <v>Goiás</v>
      </c>
      <c r="C4445" s="3">
        <v>33002</v>
      </c>
      <c r="D4445" s="5" t="str">
        <f>VLOOKUP(C4445, 'DICIONÁRIO CNAES'!$A:$B, 2, FALSE)</f>
        <v>Instalação de máquinas e equipamentos</v>
      </c>
      <c r="E4445" s="4">
        <v>1043.3348993</v>
      </c>
      <c r="F4445" s="4">
        <v>3167785.7391599989</v>
      </c>
    </row>
    <row r="4446" spans="1:6" x14ac:dyDescent="0.3">
      <c r="A4446" s="3" t="s">
        <v>29</v>
      </c>
      <c r="B4446" s="7" t="str">
        <f>VLOOKUP(VALUE(A4446), 'DICIONÁRIO UF'!$A:$B, 2, FALSE)</f>
        <v>Goiás</v>
      </c>
      <c r="C4446" s="3">
        <v>35010</v>
      </c>
      <c r="D4446" s="5" t="str">
        <f>VLOOKUP(C4446, 'DICIONÁRIO CNAES'!$A:$B, 2, FALSE)</f>
        <v>Geração, transmissão e distribuição de energia elétrica</v>
      </c>
      <c r="E4446" s="4">
        <v>5834.5899852600014</v>
      </c>
      <c r="F4446" s="4">
        <v>19069187.704542998</v>
      </c>
    </row>
    <row r="4447" spans="1:6" x14ac:dyDescent="0.3">
      <c r="A4447" s="3" t="s">
        <v>29</v>
      </c>
      <c r="B4447" s="7" t="str">
        <f>VLOOKUP(VALUE(A4447), 'DICIONÁRIO UF'!$A:$B, 2, FALSE)</f>
        <v>Goiás</v>
      </c>
      <c r="C4447" s="3">
        <v>35021</v>
      </c>
      <c r="D4447" s="5" t="str">
        <f>VLOOKUP(C4447, 'DICIONÁRIO CNAES'!$A:$B, 2, FALSE)</f>
        <v>Produção e distribuição de combustíveis gasosos por redes urbanas</v>
      </c>
      <c r="E4447" s="4">
        <v>899.34894565000002</v>
      </c>
      <c r="F4447" s="4">
        <v>4081848.9246220002</v>
      </c>
    </row>
    <row r="4448" spans="1:6" x14ac:dyDescent="0.3">
      <c r="A4448" s="3" t="s">
        <v>29</v>
      </c>
      <c r="B4448" s="7" t="str">
        <f>VLOOKUP(VALUE(A4448), 'DICIONÁRIO UF'!$A:$B, 2, FALSE)</f>
        <v>Goiás</v>
      </c>
      <c r="C4448" s="3">
        <v>36000</v>
      </c>
      <c r="D4448" s="5" t="str">
        <f>VLOOKUP(C4448, 'DICIONÁRIO CNAES'!$A:$B, 2, FALSE)</f>
        <v>Captação, tratamento e distribuição de água</v>
      </c>
      <c r="E4448" s="4">
        <v>10201.961826909999</v>
      </c>
      <c r="F4448" s="4">
        <v>34469109.396368198</v>
      </c>
    </row>
    <row r="4449" spans="1:6" x14ac:dyDescent="0.3">
      <c r="A4449" s="3" t="s">
        <v>29</v>
      </c>
      <c r="B4449" s="7" t="str">
        <f>VLOOKUP(VALUE(A4449), 'DICIONÁRIO UF'!$A:$B, 2, FALSE)</f>
        <v>Goiás</v>
      </c>
      <c r="C4449" s="3">
        <v>37000</v>
      </c>
      <c r="D4449" s="5" t="str">
        <f>VLOOKUP(C4449, 'DICIONÁRIO CNAES'!$A:$B, 2, FALSE)</f>
        <v>Esgoto e atividades relacionadas</v>
      </c>
      <c r="E4449" s="4">
        <v>277.15411390000003</v>
      </c>
      <c r="F4449" s="4">
        <v>304869.52529000002</v>
      </c>
    </row>
    <row r="4450" spans="1:6" x14ac:dyDescent="0.3">
      <c r="A4450" s="3" t="s">
        <v>29</v>
      </c>
      <c r="B4450" s="7" t="str">
        <f>VLOOKUP(VALUE(A4450), 'DICIONÁRIO UF'!$A:$B, 2, FALSE)</f>
        <v>Goiás</v>
      </c>
      <c r="C4450" s="3">
        <v>38000</v>
      </c>
      <c r="D4450" s="5" t="str">
        <f>VLOOKUP(C4450, 'DICIONÁRIO CNAES'!$A:$B, 2, FALSE)</f>
        <v>Coleta, tratamento e disposição de resíduos; recuperação de materiais</v>
      </c>
      <c r="E4450" s="4">
        <v>8789.3010260400006</v>
      </c>
      <c r="F4450" s="4">
        <v>14996498.4520985</v>
      </c>
    </row>
    <row r="4451" spans="1:6" x14ac:dyDescent="0.3">
      <c r="A4451" s="3" t="s">
        <v>29</v>
      </c>
      <c r="B4451" s="7" t="str">
        <f>VLOOKUP(VALUE(A4451), 'DICIONÁRIO UF'!$A:$B, 2, FALSE)</f>
        <v>Goiás</v>
      </c>
      <c r="C4451" s="3">
        <v>41000</v>
      </c>
      <c r="D4451" s="5" t="str">
        <f>VLOOKUP(C4451, 'DICIONÁRIO CNAES'!$A:$B, 2, FALSE)</f>
        <v>Construção de edifícios</v>
      </c>
      <c r="E4451" s="4">
        <v>218209.49051492999</v>
      </c>
      <c r="F4451" s="4">
        <v>409598774.76923478</v>
      </c>
    </row>
    <row r="4452" spans="1:6" x14ac:dyDescent="0.3">
      <c r="A4452" s="3" t="s">
        <v>29</v>
      </c>
      <c r="B4452" s="7" t="str">
        <f>VLOOKUP(VALUE(A4452), 'DICIONÁRIO UF'!$A:$B, 2, FALSE)</f>
        <v>Goiás</v>
      </c>
      <c r="C4452" s="3">
        <v>42000</v>
      </c>
      <c r="D4452" s="5" t="str">
        <f>VLOOKUP(C4452, 'DICIONÁRIO CNAES'!$A:$B, 2, FALSE)</f>
        <v>Construção de obras de infra-estrutura</v>
      </c>
      <c r="E4452" s="4">
        <v>17858.855378</v>
      </c>
      <c r="F4452" s="4">
        <v>61481178.461826243</v>
      </c>
    </row>
    <row r="4453" spans="1:6" x14ac:dyDescent="0.3">
      <c r="A4453" s="3" t="s">
        <v>29</v>
      </c>
      <c r="B4453" s="7" t="str">
        <f>VLOOKUP(VALUE(A4453), 'DICIONÁRIO UF'!$A:$B, 2, FALSE)</f>
        <v>Goiás</v>
      </c>
      <c r="C4453" s="3">
        <v>43000</v>
      </c>
      <c r="D4453" s="5" t="str">
        <f>VLOOKUP(C4453, 'DICIONÁRIO CNAES'!$A:$B, 2, FALSE)</f>
        <v>Serviços especializados para construção</v>
      </c>
      <c r="E4453" s="4">
        <v>74059.867913480004</v>
      </c>
      <c r="F4453" s="4">
        <v>151648098.9674702</v>
      </c>
    </row>
    <row r="4454" spans="1:6" x14ac:dyDescent="0.3">
      <c r="A4454" s="3" t="s">
        <v>29</v>
      </c>
      <c r="B4454" s="7" t="str">
        <f>VLOOKUP(VALUE(A4454), 'DICIONÁRIO UF'!$A:$B, 2, FALSE)</f>
        <v>Goiás</v>
      </c>
      <c r="C4454" s="3">
        <v>45010</v>
      </c>
      <c r="D4454" s="5" t="str">
        <f>VLOOKUP(C4454, 'DICIONÁRIO CNAES'!$A:$B, 2, FALSE)</f>
        <v>Comércio de veículos automotores</v>
      </c>
      <c r="E4454" s="4">
        <v>15716.08254594</v>
      </c>
      <c r="F4454" s="4">
        <v>39448300.167865999</v>
      </c>
    </row>
    <row r="4455" spans="1:6" x14ac:dyDescent="0.3">
      <c r="A4455" s="3" t="s">
        <v>29</v>
      </c>
      <c r="B4455" s="7" t="str">
        <f>VLOOKUP(VALUE(A4455), 'DICIONÁRIO UF'!$A:$B, 2, FALSE)</f>
        <v>Goiás</v>
      </c>
      <c r="C4455" s="3">
        <v>45020</v>
      </c>
      <c r="D4455" s="5" t="str">
        <f>VLOOKUP(C4455, 'DICIONÁRIO CNAES'!$A:$B, 2, FALSE)</f>
        <v>Manutenção e reparação de veículos automotores</v>
      </c>
      <c r="E4455" s="4">
        <v>83048.169022269998</v>
      </c>
      <c r="F4455" s="4">
        <v>159536447.43744919</v>
      </c>
    </row>
    <row r="4456" spans="1:6" x14ac:dyDescent="0.3">
      <c r="A4456" s="3" t="s">
        <v>29</v>
      </c>
      <c r="B4456" s="7" t="str">
        <f>VLOOKUP(VALUE(A4456), 'DICIONÁRIO UF'!$A:$B, 2, FALSE)</f>
        <v>Goiás</v>
      </c>
      <c r="C4456" s="3">
        <v>45030</v>
      </c>
      <c r="D4456" s="5" t="str">
        <f>VLOOKUP(C4456, 'DICIONÁRIO CNAES'!$A:$B, 2, FALSE)</f>
        <v>Comércio de peças e acessórios para veículos automotores</v>
      </c>
      <c r="E4456" s="4">
        <v>18401.217452320001</v>
      </c>
      <c r="F4456" s="4">
        <v>45695092.65123</v>
      </c>
    </row>
    <row r="4457" spans="1:6" x14ac:dyDescent="0.3">
      <c r="A4457" s="3" t="s">
        <v>29</v>
      </c>
      <c r="B4457" s="7" t="str">
        <f>VLOOKUP(VALUE(A4457), 'DICIONÁRIO UF'!$A:$B, 2, FALSE)</f>
        <v>Goiás</v>
      </c>
      <c r="C4457" s="3">
        <v>45040</v>
      </c>
      <c r="D4457" s="5" t="str">
        <f>VLOOKUP(C4457, 'DICIONÁRIO CNAES'!$A:$B, 2, FALSE)</f>
        <v>Comércio, manutenção e reparação de motocicletas, peças e acessórios</v>
      </c>
      <c r="E4457" s="4">
        <v>12098.83887082</v>
      </c>
      <c r="F4457" s="4">
        <v>32577982.467936002</v>
      </c>
    </row>
    <row r="4458" spans="1:6" x14ac:dyDescent="0.3">
      <c r="A4458" s="3" t="s">
        <v>29</v>
      </c>
      <c r="B4458" s="7" t="str">
        <f>VLOOKUP(VALUE(A4458), 'DICIONÁRIO UF'!$A:$B, 2, FALSE)</f>
        <v>Goiás</v>
      </c>
      <c r="C4458" s="3">
        <v>48010</v>
      </c>
      <c r="D4458" s="5" t="str">
        <f>VLOOKUP(C4458, 'DICIONÁRIO CNAES'!$A:$B, 2, FALSE)</f>
        <v>Representantes comerciais e agentes do comércio, exceto de veículos automotores e motocicletas</v>
      </c>
      <c r="E4458" s="4">
        <v>5106.0207495000004</v>
      </c>
      <c r="F4458" s="4">
        <v>16115385.084487</v>
      </c>
    </row>
    <row r="4459" spans="1:6" x14ac:dyDescent="0.3">
      <c r="A4459" s="3" t="s">
        <v>29</v>
      </c>
      <c r="B4459" s="7" t="str">
        <f>VLOOKUP(VALUE(A4459), 'DICIONÁRIO UF'!$A:$B, 2, FALSE)</f>
        <v>Goiás</v>
      </c>
      <c r="C4459" s="3">
        <v>48020</v>
      </c>
      <c r="D4459" s="5" t="str">
        <f>VLOOKUP(C4459, 'DICIONÁRIO CNAES'!$A:$B, 2, FALSE)</f>
        <v>Comércio de matérias-primas agrícolas e animais vivos</v>
      </c>
      <c r="E4459" s="4">
        <v>6633.1935351000002</v>
      </c>
      <c r="F4459" s="4">
        <v>20704016.840551998</v>
      </c>
    </row>
    <row r="4460" spans="1:6" x14ac:dyDescent="0.3">
      <c r="A4460" s="3" t="s">
        <v>29</v>
      </c>
      <c r="B4460" s="7" t="str">
        <f>VLOOKUP(VALUE(A4460), 'DICIONÁRIO UF'!$A:$B, 2, FALSE)</f>
        <v>Goiás</v>
      </c>
      <c r="C4460" s="3">
        <v>48030</v>
      </c>
      <c r="D4460" s="5" t="str">
        <f>VLOOKUP(C4460, 'DICIONÁRIO CNAES'!$A:$B, 2, FALSE)</f>
        <v>Comércio de produtos alimentícios, bebidas e fumo</v>
      </c>
      <c r="E4460" s="4">
        <v>105991.08862386001</v>
      </c>
      <c r="F4460" s="4">
        <v>277123089.59274298</v>
      </c>
    </row>
    <row r="4461" spans="1:6" x14ac:dyDescent="0.3">
      <c r="A4461" s="3" t="s">
        <v>29</v>
      </c>
      <c r="B4461" s="7" t="str">
        <f>VLOOKUP(VALUE(A4461), 'DICIONÁRIO UF'!$A:$B, 2, FALSE)</f>
        <v>Goiás</v>
      </c>
      <c r="C4461" s="3">
        <v>48041</v>
      </c>
      <c r="D4461" s="5" t="str">
        <f>VLOOKUP(C4461, 'DICIONÁRIO CNAES'!$A:$B, 2, FALSE)</f>
        <v>Comércio de tecidos, artefatos de tecidos e armarinho</v>
      </c>
      <c r="E4461" s="4">
        <v>6298.9765941699998</v>
      </c>
      <c r="F4461" s="4">
        <v>9742724.9506400004</v>
      </c>
    </row>
    <row r="4462" spans="1:6" x14ac:dyDescent="0.3">
      <c r="A4462" s="3" t="s">
        <v>29</v>
      </c>
      <c r="B4462" s="7" t="str">
        <f>VLOOKUP(VALUE(A4462), 'DICIONÁRIO UF'!$A:$B, 2, FALSE)</f>
        <v>Goiás</v>
      </c>
      <c r="C4462" s="3">
        <v>48042</v>
      </c>
      <c r="D4462" s="5" t="str">
        <f>VLOOKUP(C4462, 'DICIONÁRIO CNAES'!$A:$B, 2, FALSE)</f>
        <v>Comércio de artigos do vestuário, complementos, calçados e artigos de viagem</v>
      </c>
      <c r="E4462" s="4">
        <v>78358.078131739996</v>
      </c>
      <c r="F4462" s="4">
        <v>116938831.1670073</v>
      </c>
    </row>
    <row r="4463" spans="1:6" x14ac:dyDescent="0.3">
      <c r="A4463" s="3" t="s">
        <v>29</v>
      </c>
      <c r="B4463" s="7" t="str">
        <f>VLOOKUP(VALUE(A4463), 'DICIONÁRIO UF'!$A:$B, 2, FALSE)</f>
        <v>Goiás</v>
      </c>
      <c r="C4463" s="3">
        <v>48050</v>
      </c>
      <c r="D4463" s="5" t="str">
        <f>VLOOKUP(C4463, 'DICIONÁRIO CNAES'!$A:$B, 2, FALSE)</f>
        <v>Comércio de madeira, material de construção, ferragens e ferramentas</v>
      </c>
      <c r="E4463" s="4">
        <v>41540.803740269999</v>
      </c>
      <c r="F4463" s="4">
        <v>82562634.354448006</v>
      </c>
    </row>
    <row r="4464" spans="1:6" x14ac:dyDescent="0.3">
      <c r="A4464" s="3" t="s">
        <v>29</v>
      </c>
      <c r="B4464" s="7" t="str">
        <f>VLOOKUP(VALUE(A4464), 'DICIONÁRIO UF'!$A:$B, 2, FALSE)</f>
        <v>Goiás</v>
      </c>
      <c r="C4464" s="3">
        <v>48060</v>
      </c>
      <c r="D4464" s="5" t="str">
        <f>VLOOKUP(C4464, 'DICIONÁRIO CNAES'!$A:$B, 2, FALSE)</f>
        <v>Comércio de combustíveis para veículos automotores</v>
      </c>
      <c r="E4464" s="4">
        <v>21830.567548939998</v>
      </c>
      <c r="F4464" s="4">
        <v>37005998.688079856</v>
      </c>
    </row>
    <row r="4465" spans="1:6" x14ac:dyDescent="0.3">
      <c r="A4465" s="3" t="s">
        <v>29</v>
      </c>
      <c r="B4465" s="7" t="str">
        <f>VLOOKUP(VALUE(A4465), 'DICIONÁRIO UF'!$A:$B, 2, FALSE)</f>
        <v>Goiás</v>
      </c>
      <c r="C4465" s="3">
        <v>48071</v>
      </c>
      <c r="D4465" s="5" t="str">
        <f>VLOOKUP(C4465, 'DICIONÁRIO CNAES'!$A:$B, 2, FALSE)</f>
        <v>Comércio de produtos farmaceuticos, médicos, ortopédicos, odontológicos e de cosméticos e perfumaria</v>
      </c>
      <c r="E4465" s="4">
        <v>52140.949443730002</v>
      </c>
      <c r="F4465" s="4">
        <v>101164316.6525948</v>
      </c>
    </row>
    <row r="4466" spans="1:6" x14ac:dyDescent="0.3">
      <c r="A4466" s="3" t="s">
        <v>29</v>
      </c>
      <c r="B4466" s="7" t="str">
        <f>VLOOKUP(VALUE(A4466), 'DICIONÁRIO UF'!$A:$B, 2, FALSE)</f>
        <v>Goiás</v>
      </c>
      <c r="C4466" s="3">
        <v>48072</v>
      </c>
      <c r="D4466" s="5" t="str">
        <f>VLOOKUP(C4466, 'DICIONÁRIO CNAES'!$A:$B, 2, FALSE)</f>
        <v>Comércio de artigos de escritório e de papelaria; livros, jornais e outras publicações</v>
      </c>
      <c r="E4466" s="4">
        <v>8347.5192260900003</v>
      </c>
      <c r="F4466" s="4">
        <v>16583933.628702</v>
      </c>
    </row>
    <row r="4467" spans="1:6" x14ac:dyDescent="0.3">
      <c r="A4467" s="3" t="s">
        <v>29</v>
      </c>
      <c r="B4467" s="7" t="str">
        <f>VLOOKUP(VALUE(A4467), 'DICIONÁRIO UF'!$A:$B, 2, FALSE)</f>
        <v>Goiás</v>
      </c>
      <c r="C4467" s="3">
        <v>48073</v>
      </c>
      <c r="D4467" s="5" t="str">
        <f>VLOOKUP(C4467, 'DICIONÁRIO CNAES'!$A:$B, 2, FALSE)</f>
        <v>Comércio de eletrodomésticos, móveis e outros artigos de residência</v>
      </c>
      <c r="E4467" s="4">
        <v>37894.782869520001</v>
      </c>
      <c r="F4467" s="4">
        <v>97223787.057573304</v>
      </c>
    </row>
    <row r="4468" spans="1:6" x14ac:dyDescent="0.3">
      <c r="A4468" s="3" t="s">
        <v>29</v>
      </c>
      <c r="B4468" s="7" t="str">
        <f>VLOOKUP(VALUE(A4468), 'DICIONÁRIO UF'!$A:$B, 2, FALSE)</f>
        <v>Goiás</v>
      </c>
      <c r="C4468" s="3">
        <v>48074</v>
      </c>
      <c r="D4468" s="5" t="str">
        <f>VLOOKUP(C4468, 'DICIONÁRIO CNAES'!$A:$B, 2, FALSE)</f>
        <v>Comércio de equipamentos e produtos de tecnologias de informação e comunicação</v>
      </c>
      <c r="E4468" s="4">
        <v>11622.14709266</v>
      </c>
      <c r="F4468" s="4">
        <v>31269360.395682</v>
      </c>
    </row>
    <row r="4469" spans="1:6" x14ac:dyDescent="0.3">
      <c r="A4469" s="3" t="s">
        <v>29</v>
      </c>
      <c r="B4469" s="7" t="str">
        <f>VLOOKUP(VALUE(A4469), 'DICIONÁRIO UF'!$A:$B, 2, FALSE)</f>
        <v>Goiás</v>
      </c>
      <c r="C4469" s="3">
        <v>48075</v>
      </c>
      <c r="D4469" s="5" t="str">
        <f>VLOOKUP(C4469, 'DICIONÁRIO CNAES'!$A:$B, 2, FALSE)</f>
        <v xml:space="preserve">Comércio de máquinas, aparelhos e equipamentos, exceto eletrodomésticos </v>
      </c>
      <c r="E4469" s="4">
        <v>9974.4252120399997</v>
      </c>
      <c r="F4469" s="4">
        <v>34984387.710329004</v>
      </c>
    </row>
    <row r="4470" spans="1:6" x14ac:dyDescent="0.3">
      <c r="A4470" s="3" t="s">
        <v>29</v>
      </c>
      <c r="B4470" s="7" t="str">
        <f>VLOOKUP(VALUE(A4470), 'DICIONÁRIO UF'!$A:$B, 2, FALSE)</f>
        <v>Goiás</v>
      </c>
      <c r="C4470" s="3">
        <v>48076</v>
      </c>
      <c r="D4470" s="5" t="str">
        <f>VLOOKUP(C4470, 'DICIONÁRIO CNAES'!$A:$B, 2, FALSE)</f>
        <v>Comércio de combustíveis sólidos, líquidos e gasosos, exceto para veículos automotores</v>
      </c>
      <c r="E4470" s="4">
        <v>7843.07205196</v>
      </c>
      <c r="F4470" s="4">
        <v>23205864.131609</v>
      </c>
    </row>
    <row r="4471" spans="1:6" x14ac:dyDescent="0.3">
      <c r="A4471" s="3" t="s">
        <v>29</v>
      </c>
      <c r="B4471" s="7" t="str">
        <f>VLOOKUP(VALUE(A4471), 'DICIONÁRIO UF'!$A:$B, 2, FALSE)</f>
        <v>Goiás</v>
      </c>
      <c r="C4471" s="3">
        <v>48077</v>
      </c>
      <c r="D4471" s="5" t="str">
        <f>VLOOKUP(C4471, 'DICIONÁRIO CNAES'!$A:$B, 2, FALSE)</f>
        <v>Comércio de produtos usados</v>
      </c>
      <c r="E4471" s="4">
        <v>1067.2786555299999</v>
      </c>
      <c r="F4471" s="4">
        <v>1091603.3958020001</v>
      </c>
    </row>
    <row r="4472" spans="1:6" x14ac:dyDescent="0.3">
      <c r="A4472" s="3" t="s">
        <v>29</v>
      </c>
      <c r="B4472" s="7" t="str">
        <f>VLOOKUP(VALUE(A4472), 'DICIONÁRIO UF'!$A:$B, 2, FALSE)</f>
        <v>Goiás</v>
      </c>
      <c r="C4472" s="3">
        <v>48078</v>
      </c>
      <c r="D4472" s="5" t="str">
        <f>VLOOKUP(C4472, 'DICIONÁRIO CNAES'!$A:$B, 2, FALSE)</f>
        <v>Comercio de residuos e sucatas</v>
      </c>
      <c r="E4472" s="4">
        <v>13890.46176264</v>
      </c>
      <c r="F4472" s="4">
        <v>16069118.7980446</v>
      </c>
    </row>
    <row r="4473" spans="1:6" x14ac:dyDescent="0.3">
      <c r="A4473" s="3" t="s">
        <v>29</v>
      </c>
      <c r="B4473" s="7" t="str">
        <f>VLOOKUP(VALUE(A4473), 'DICIONÁRIO UF'!$A:$B, 2, FALSE)</f>
        <v>Goiás</v>
      </c>
      <c r="C4473" s="3">
        <v>48079</v>
      </c>
      <c r="D4473" s="5" t="str">
        <f>VLOOKUP(C4473, 'DICIONÁRIO CNAES'!$A:$B, 2, FALSE)</f>
        <v>Comércio de produtos novos não especificados anteriormente</v>
      </c>
      <c r="E4473" s="4">
        <v>51419.947863950001</v>
      </c>
      <c r="F4473" s="4">
        <v>156811110.1041005</v>
      </c>
    </row>
    <row r="4474" spans="1:6" x14ac:dyDescent="0.3">
      <c r="A4474" s="3" t="s">
        <v>29</v>
      </c>
      <c r="B4474" s="7" t="str">
        <f>VLOOKUP(VALUE(A4474), 'DICIONÁRIO UF'!$A:$B, 2, FALSE)</f>
        <v>Goiás</v>
      </c>
      <c r="C4474" s="3">
        <v>48080</v>
      </c>
      <c r="D4474" s="5" t="str">
        <f>VLOOKUP(C4474, 'DICIONÁRIO CNAES'!$A:$B, 2, FALSE)</f>
        <v>Supermercado e hipermercado</v>
      </c>
      <c r="E4474" s="4">
        <v>75561.276839640006</v>
      </c>
      <c r="F4474" s="4">
        <v>132313292.7852978</v>
      </c>
    </row>
    <row r="4475" spans="1:6" x14ac:dyDescent="0.3">
      <c r="A4475" s="3" t="s">
        <v>29</v>
      </c>
      <c r="B4475" s="7" t="str">
        <f>VLOOKUP(VALUE(A4475), 'DICIONÁRIO UF'!$A:$B, 2, FALSE)</f>
        <v>Goiás</v>
      </c>
      <c r="C4475" s="3">
        <v>48090</v>
      </c>
      <c r="D4475" s="5" t="str">
        <f>VLOOKUP(C4475, 'DICIONÁRIO CNAES'!$A:$B, 2, FALSE)</f>
        <v>Lojas de departamento e outros comércios não especializados, sem predominância de produtos alimentícios</v>
      </c>
      <c r="E4475" s="4">
        <v>2332.8136192100001</v>
      </c>
      <c r="F4475" s="4">
        <v>3136921.881513</v>
      </c>
    </row>
    <row r="4476" spans="1:6" x14ac:dyDescent="0.3">
      <c r="A4476" s="3" t="s">
        <v>29</v>
      </c>
      <c r="B4476" s="7" t="str">
        <f>VLOOKUP(VALUE(A4476), 'DICIONÁRIO UF'!$A:$B, 2, FALSE)</f>
        <v>Goiás</v>
      </c>
      <c r="C4476" s="3">
        <v>48100</v>
      </c>
      <c r="D4476" s="5" t="str">
        <f>VLOOKUP(C4476, 'DICIONÁRIO CNAES'!$A:$B, 2, FALSE)</f>
        <v>Comércio ambulante e feiras</v>
      </c>
      <c r="E4476" s="4">
        <v>32431.544626700001</v>
      </c>
      <c r="F4476" s="4">
        <v>42370260.673305497</v>
      </c>
    </row>
    <row r="4477" spans="1:6" x14ac:dyDescent="0.3">
      <c r="A4477" s="3" t="s">
        <v>29</v>
      </c>
      <c r="B4477" s="7" t="str">
        <f>VLOOKUP(VALUE(A4477), 'DICIONÁRIO UF'!$A:$B, 2, FALSE)</f>
        <v>Goiás</v>
      </c>
      <c r="C4477" s="3">
        <v>49010</v>
      </c>
      <c r="D4477" s="5" t="str">
        <f>VLOOKUP(C4477, 'DICIONÁRIO CNAES'!$A:$B, 2, FALSE)</f>
        <v>Transporte ferroviário e metroferroviário</v>
      </c>
      <c r="E4477" s="4">
        <v>4167.8824856299998</v>
      </c>
      <c r="F4477" s="4">
        <v>12151100.135914</v>
      </c>
    </row>
    <row r="4478" spans="1:6" x14ac:dyDescent="0.3">
      <c r="A4478" s="3" t="s">
        <v>29</v>
      </c>
      <c r="B4478" s="7" t="str">
        <f>VLOOKUP(VALUE(A4478), 'DICIONÁRIO UF'!$A:$B, 2, FALSE)</f>
        <v>Goiás</v>
      </c>
      <c r="C4478" s="3">
        <v>49030</v>
      </c>
      <c r="D4478" s="5" t="str">
        <f>VLOOKUP(C4478, 'DICIONÁRIO CNAES'!$A:$B, 2, FALSE)</f>
        <v>Transporte rodoviário de passageiros</v>
      </c>
      <c r="E4478" s="4">
        <v>45260.401760239998</v>
      </c>
      <c r="F4478" s="4">
        <v>93514030.965508968</v>
      </c>
    </row>
    <row r="4479" spans="1:6" x14ac:dyDescent="0.3">
      <c r="A4479" s="3" t="s">
        <v>29</v>
      </c>
      <c r="B4479" s="7" t="str">
        <f>VLOOKUP(VALUE(A4479), 'DICIONÁRIO UF'!$A:$B, 2, FALSE)</f>
        <v>Goiás</v>
      </c>
      <c r="C4479" s="3">
        <v>49040</v>
      </c>
      <c r="D4479" s="5" t="str">
        <f>VLOOKUP(C4479, 'DICIONÁRIO CNAES'!$A:$B, 2, FALSE)</f>
        <v>Transporte rodoviário de carga</v>
      </c>
      <c r="E4479" s="4">
        <v>88645.9357169</v>
      </c>
      <c r="F4479" s="4">
        <v>197491691.22740769</v>
      </c>
    </row>
    <row r="4480" spans="1:6" x14ac:dyDescent="0.3">
      <c r="A4480" s="3" t="s">
        <v>29</v>
      </c>
      <c r="B4480" s="7" t="str">
        <f>VLOOKUP(VALUE(A4480), 'DICIONÁRIO UF'!$A:$B, 2, FALSE)</f>
        <v>Goiás</v>
      </c>
      <c r="C4480" s="3">
        <v>50000</v>
      </c>
      <c r="D4480" s="5" t="str">
        <f>VLOOKUP(C4480, 'DICIONÁRIO CNAES'!$A:$B, 2, FALSE)</f>
        <v>Transporte Aquaviário</v>
      </c>
      <c r="E4480" s="4">
        <v>184.48276139000001</v>
      </c>
      <c r="F4480" s="4">
        <v>202931.03752899999</v>
      </c>
    </row>
    <row r="4481" spans="1:6" x14ac:dyDescent="0.3">
      <c r="A4481" s="3" t="s">
        <v>29</v>
      </c>
      <c r="B4481" s="7" t="str">
        <f>VLOOKUP(VALUE(A4481), 'DICIONÁRIO UF'!$A:$B, 2, FALSE)</f>
        <v>Goiás</v>
      </c>
      <c r="C4481" s="3">
        <v>51000</v>
      </c>
      <c r="D4481" s="5" t="str">
        <f>VLOOKUP(C4481, 'DICIONÁRIO CNAES'!$A:$B, 2, FALSE)</f>
        <v>Transporte Aéreo</v>
      </c>
      <c r="E4481" s="4">
        <v>2609.0755539900001</v>
      </c>
      <c r="F4481" s="4">
        <v>14995028.77473242</v>
      </c>
    </row>
    <row r="4482" spans="1:6" x14ac:dyDescent="0.3">
      <c r="A4482" s="3" t="s">
        <v>29</v>
      </c>
      <c r="B4482" s="7" t="str">
        <f>VLOOKUP(VALUE(A4482), 'DICIONÁRIO UF'!$A:$B, 2, FALSE)</f>
        <v>Goiás</v>
      </c>
      <c r="C4482" s="3">
        <v>52010</v>
      </c>
      <c r="D4482" s="5" t="str">
        <f>VLOOKUP(C4482, 'DICIONÁRIO CNAES'!$A:$B, 2, FALSE)</f>
        <v>Armazenamento, carga e descarga</v>
      </c>
      <c r="E4482" s="4">
        <v>3534.4718956400002</v>
      </c>
      <c r="F4482" s="4">
        <v>5385290.6886649998</v>
      </c>
    </row>
    <row r="4483" spans="1:6" x14ac:dyDescent="0.3">
      <c r="A4483" s="3" t="s">
        <v>29</v>
      </c>
      <c r="B4483" s="7" t="str">
        <f>VLOOKUP(VALUE(A4483), 'DICIONÁRIO UF'!$A:$B, 2, FALSE)</f>
        <v>Goiás</v>
      </c>
      <c r="C4483" s="3">
        <v>52020</v>
      </c>
      <c r="D4483" s="5" t="str">
        <f>VLOOKUP(C4483, 'DICIONÁRIO CNAES'!$A:$B, 2, FALSE)</f>
        <v xml:space="preserve">Atividades auxiliares dos transportes e atividades relacionadas à organização do transporte de carga </v>
      </c>
      <c r="E4483" s="4">
        <v>3691.11685235</v>
      </c>
      <c r="F4483" s="4">
        <v>8744340.2804025002</v>
      </c>
    </row>
    <row r="4484" spans="1:6" x14ac:dyDescent="0.3">
      <c r="A4484" s="3" t="s">
        <v>29</v>
      </c>
      <c r="B4484" s="7" t="str">
        <f>VLOOKUP(VALUE(A4484), 'DICIONÁRIO UF'!$A:$B, 2, FALSE)</f>
        <v>Goiás</v>
      </c>
      <c r="C4484" s="3">
        <v>53001</v>
      </c>
      <c r="D4484" s="5" t="str">
        <f>VLOOKUP(C4484, 'DICIONÁRIO CNAES'!$A:$B, 2, FALSE)</f>
        <v>Atividades de Correio</v>
      </c>
      <c r="E4484" s="4">
        <v>1453.3983376900001</v>
      </c>
      <c r="F4484" s="4">
        <v>5302032.156192</v>
      </c>
    </row>
    <row r="4485" spans="1:6" x14ac:dyDescent="0.3">
      <c r="A4485" s="3" t="s">
        <v>29</v>
      </c>
      <c r="B4485" s="7" t="str">
        <f>VLOOKUP(VALUE(A4485), 'DICIONÁRIO UF'!$A:$B, 2, FALSE)</f>
        <v>Goiás</v>
      </c>
      <c r="C4485" s="3">
        <v>53002</v>
      </c>
      <c r="D4485" s="5" t="str">
        <f>VLOOKUP(C4485, 'DICIONÁRIO CNAES'!$A:$B, 2, FALSE)</f>
        <v>Atividades de malote e de entrega</v>
      </c>
      <c r="E4485" s="4">
        <v>16556.616466160001</v>
      </c>
      <c r="F4485" s="4">
        <v>27074173.719472751</v>
      </c>
    </row>
    <row r="4486" spans="1:6" x14ac:dyDescent="0.3">
      <c r="A4486" s="3" t="s">
        <v>29</v>
      </c>
      <c r="B4486" s="7" t="str">
        <f>VLOOKUP(VALUE(A4486), 'DICIONÁRIO UF'!$A:$B, 2, FALSE)</f>
        <v>Goiás</v>
      </c>
      <c r="C4486" s="3">
        <v>55000</v>
      </c>
      <c r="D4486" s="5" t="str">
        <f>VLOOKUP(C4486, 'DICIONÁRIO CNAES'!$A:$B, 2, FALSE)</f>
        <v>Alojamento</v>
      </c>
      <c r="E4486" s="4">
        <v>17682.914808140002</v>
      </c>
      <c r="F4486" s="4">
        <v>33602142.549986653</v>
      </c>
    </row>
    <row r="4487" spans="1:6" x14ac:dyDescent="0.3">
      <c r="A4487" s="3" t="s">
        <v>29</v>
      </c>
      <c r="B4487" s="7" t="str">
        <f>VLOOKUP(VALUE(A4487), 'DICIONÁRIO UF'!$A:$B, 2, FALSE)</f>
        <v>Goiás</v>
      </c>
      <c r="C4487" s="3">
        <v>56011</v>
      </c>
      <c r="D4487" s="5" t="str">
        <f>VLOOKUP(C4487, 'DICIONÁRIO CNAES'!$A:$B, 2, FALSE)</f>
        <v>Restaurantes e outros estabelecimentos de serviços de alimentação e bebidas</v>
      </c>
      <c r="E4487" s="4">
        <v>133342.29526384</v>
      </c>
      <c r="F4487" s="4">
        <v>205363653.5078139</v>
      </c>
    </row>
    <row r="4488" spans="1:6" x14ac:dyDescent="0.3">
      <c r="A4488" s="3" t="s">
        <v>29</v>
      </c>
      <c r="B4488" s="7" t="str">
        <f>VLOOKUP(VALUE(A4488), 'DICIONÁRIO UF'!$A:$B, 2, FALSE)</f>
        <v>Goiás</v>
      </c>
      <c r="C4488" s="3">
        <v>56012</v>
      </c>
      <c r="D4488" s="5" t="str">
        <f>VLOOKUP(C4488, 'DICIONÁRIO CNAES'!$A:$B, 2, FALSE)</f>
        <v>Serviços de catering, bufê e outros serviços de comida preparada</v>
      </c>
      <c r="E4488" s="4">
        <v>23281.428336059998</v>
      </c>
      <c r="F4488" s="4">
        <v>32593917.630572502</v>
      </c>
    </row>
    <row r="4489" spans="1:6" x14ac:dyDescent="0.3">
      <c r="A4489" s="3" t="s">
        <v>29</v>
      </c>
      <c r="B4489" s="7" t="str">
        <f>VLOOKUP(VALUE(A4489), 'DICIONÁRIO UF'!$A:$B, 2, FALSE)</f>
        <v>Goiás</v>
      </c>
      <c r="C4489" s="3">
        <v>56020</v>
      </c>
      <c r="D4489" s="5" t="str">
        <f>VLOOKUP(C4489, 'DICIONÁRIO CNAES'!$A:$B, 2, FALSE)</f>
        <v>Serviços ambulantes de alimentação</v>
      </c>
      <c r="E4489" s="4">
        <v>6133.45683887</v>
      </c>
      <c r="F4489" s="4">
        <v>8652877.5617625006</v>
      </c>
    </row>
    <row r="4490" spans="1:6" x14ac:dyDescent="0.3">
      <c r="A4490" s="3" t="s">
        <v>29</v>
      </c>
      <c r="B4490" s="7" t="str">
        <f>VLOOKUP(VALUE(A4490), 'DICIONÁRIO UF'!$A:$B, 2, FALSE)</f>
        <v>Goiás</v>
      </c>
      <c r="C4490" s="3">
        <v>58000</v>
      </c>
      <c r="D4490" s="5" t="str">
        <f>VLOOKUP(C4490, 'DICIONÁRIO CNAES'!$A:$B, 2, FALSE)</f>
        <v xml:space="preserve">Edição e Edição integrada à impressão </v>
      </c>
      <c r="E4490" s="4">
        <v>259.06891583999999</v>
      </c>
      <c r="F4490" s="4">
        <v>365028.10241856001</v>
      </c>
    </row>
    <row r="4491" spans="1:6" x14ac:dyDescent="0.3">
      <c r="A4491" s="3" t="s">
        <v>29</v>
      </c>
      <c r="B4491" s="7" t="str">
        <f>VLOOKUP(VALUE(A4491), 'DICIONÁRIO UF'!$A:$B, 2, FALSE)</f>
        <v>Goiás</v>
      </c>
      <c r="C4491" s="3">
        <v>59000</v>
      </c>
      <c r="D4491" s="5" t="str">
        <f>VLOOKUP(C4491, 'DICIONÁRIO CNAES'!$A:$B, 2, FALSE)</f>
        <v>Atividades cinematográficas, produção de vídeos e de programas de televisão, gravação de som e de música</v>
      </c>
      <c r="E4491" s="4">
        <v>959.95474400000012</v>
      </c>
      <c r="F4491" s="4">
        <v>2944164.7332230001</v>
      </c>
    </row>
    <row r="4492" spans="1:6" x14ac:dyDescent="0.3">
      <c r="A4492" s="3" t="s">
        <v>29</v>
      </c>
      <c r="B4492" s="7" t="str">
        <f>VLOOKUP(VALUE(A4492), 'DICIONÁRIO UF'!$A:$B, 2, FALSE)</f>
        <v>Goiás</v>
      </c>
      <c r="C4492" s="3">
        <v>60001</v>
      </c>
      <c r="D4492" s="5" t="str">
        <f>VLOOKUP(C4492, 'DICIONÁRIO CNAES'!$A:$B, 2, FALSE)</f>
        <v>Atividades de rádio</v>
      </c>
      <c r="E4492" s="4">
        <v>1985.93889554</v>
      </c>
      <c r="F4492" s="4">
        <v>5376285.3611740004</v>
      </c>
    </row>
    <row r="4493" spans="1:6" x14ac:dyDescent="0.3">
      <c r="A4493" s="3" t="s">
        <v>29</v>
      </c>
      <c r="B4493" s="7" t="str">
        <f>VLOOKUP(VALUE(A4493), 'DICIONÁRIO UF'!$A:$B, 2, FALSE)</f>
        <v>Goiás</v>
      </c>
      <c r="C4493" s="3">
        <v>60002</v>
      </c>
      <c r="D4493" s="5" t="str">
        <f>VLOOKUP(C4493, 'DICIONÁRIO CNAES'!$A:$B, 2, FALSE)</f>
        <v>Atividades de televisão</v>
      </c>
      <c r="E4493" s="4">
        <v>606.91692223999996</v>
      </c>
      <c r="F4493" s="4">
        <v>2002825.8433920001</v>
      </c>
    </row>
    <row r="4494" spans="1:6" x14ac:dyDescent="0.3">
      <c r="A4494" s="3" t="s">
        <v>29</v>
      </c>
      <c r="B4494" s="7" t="str">
        <f>VLOOKUP(VALUE(A4494), 'DICIONÁRIO UF'!$A:$B, 2, FALSE)</f>
        <v>Goiás</v>
      </c>
      <c r="C4494" s="3">
        <v>61000</v>
      </c>
      <c r="D4494" s="5" t="str">
        <f>VLOOKUP(C4494, 'DICIONÁRIO CNAES'!$A:$B, 2, FALSE)</f>
        <v>Telecomunicações</v>
      </c>
      <c r="E4494" s="4">
        <v>22571.945509019999</v>
      </c>
      <c r="F4494" s="4">
        <v>37587614.645298369</v>
      </c>
    </row>
    <row r="4495" spans="1:6" x14ac:dyDescent="0.3">
      <c r="A4495" s="3" t="s">
        <v>29</v>
      </c>
      <c r="B4495" s="7" t="str">
        <f>VLOOKUP(VALUE(A4495), 'DICIONÁRIO UF'!$A:$B, 2, FALSE)</f>
        <v>Goiás</v>
      </c>
      <c r="C4495" s="3">
        <v>62000</v>
      </c>
      <c r="D4495" s="5" t="str">
        <f>VLOOKUP(C4495, 'DICIONÁRIO CNAES'!$A:$B, 2, FALSE)</f>
        <v>Atividades dos serviços de tecnologia da informação</v>
      </c>
      <c r="E4495" s="4">
        <v>23107.848680359999</v>
      </c>
      <c r="F4495" s="4">
        <v>112846145.1407731</v>
      </c>
    </row>
    <row r="4496" spans="1:6" x14ac:dyDescent="0.3">
      <c r="A4496" s="3" t="s">
        <v>29</v>
      </c>
      <c r="B4496" s="7" t="str">
        <f>VLOOKUP(VALUE(A4496), 'DICIONÁRIO UF'!$A:$B, 2, FALSE)</f>
        <v>Goiás</v>
      </c>
      <c r="C4496" s="3">
        <v>63000</v>
      </c>
      <c r="D4496" s="5" t="str">
        <f>VLOOKUP(C4496, 'DICIONÁRIO CNAES'!$A:$B, 2, FALSE)</f>
        <v>Atividades de prestação de serviços de informação</v>
      </c>
      <c r="E4496" s="4">
        <v>895.88679004000005</v>
      </c>
      <c r="F4496" s="4">
        <v>1605614.7143089999</v>
      </c>
    </row>
    <row r="4497" spans="1:6" x14ac:dyDescent="0.3">
      <c r="A4497" s="3" t="s">
        <v>29</v>
      </c>
      <c r="B4497" s="7" t="str">
        <f>VLOOKUP(VALUE(A4497), 'DICIONÁRIO UF'!$A:$B, 2, FALSE)</f>
        <v>Goiás</v>
      </c>
      <c r="C4497" s="3">
        <v>64000</v>
      </c>
      <c r="D4497" s="5" t="str">
        <f>VLOOKUP(C4497, 'DICIONÁRIO CNAES'!$A:$B, 2, FALSE)</f>
        <v>Serviços financeiros</v>
      </c>
      <c r="E4497" s="4">
        <v>24355.595848559999</v>
      </c>
      <c r="F4497" s="4">
        <v>126687029.030986</v>
      </c>
    </row>
    <row r="4498" spans="1:6" x14ac:dyDescent="0.3">
      <c r="A4498" s="3" t="s">
        <v>29</v>
      </c>
      <c r="B4498" s="7" t="str">
        <f>VLOOKUP(VALUE(A4498), 'DICIONÁRIO UF'!$A:$B, 2, FALSE)</f>
        <v>Goiás</v>
      </c>
      <c r="C4498" s="3">
        <v>65000</v>
      </c>
      <c r="D4498" s="5" t="str">
        <f>VLOOKUP(C4498, 'DICIONÁRIO CNAES'!$A:$B, 2, FALSE)</f>
        <v>Seguros e previdência privada</v>
      </c>
      <c r="E4498" s="4">
        <v>2951.5997106200002</v>
      </c>
      <c r="F4498" s="4">
        <v>11929954.692942001</v>
      </c>
    </row>
    <row r="4499" spans="1:6" x14ac:dyDescent="0.3">
      <c r="A4499" s="3" t="s">
        <v>29</v>
      </c>
      <c r="B4499" s="7" t="str">
        <f>VLOOKUP(VALUE(A4499), 'DICIONÁRIO UF'!$A:$B, 2, FALSE)</f>
        <v>Goiás</v>
      </c>
      <c r="C4499" s="3">
        <v>66001</v>
      </c>
      <c r="D4499" s="5" t="str">
        <f>VLOOKUP(C4499, 'DICIONÁRIO CNAES'!$A:$B, 2, FALSE)</f>
        <v>Atividades auxiliares dos serviços financeiros</v>
      </c>
      <c r="E4499" s="4">
        <v>677.74298366000005</v>
      </c>
      <c r="F4499" s="4">
        <v>1355485.9673200001</v>
      </c>
    </row>
    <row r="4500" spans="1:6" x14ac:dyDescent="0.3">
      <c r="A4500" s="3" t="s">
        <v>29</v>
      </c>
      <c r="B4500" s="7" t="str">
        <f>VLOOKUP(VALUE(A4500), 'DICIONÁRIO UF'!$A:$B, 2, FALSE)</f>
        <v>Goiás</v>
      </c>
      <c r="C4500" s="3">
        <v>66002</v>
      </c>
      <c r="D4500" s="5" t="str">
        <f>VLOOKUP(C4500, 'DICIONÁRIO CNAES'!$A:$B, 2, FALSE)</f>
        <v>Atividades auxiliares dos seguros, da previdência complementar e dos planos de saúde</v>
      </c>
      <c r="E4500" s="4">
        <v>3469.9999017499999</v>
      </c>
      <c r="F4500" s="4">
        <v>22827694.32285</v>
      </c>
    </row>
    <row r="4501" spans="1:6" x14ac:dyDescent="0.3">
      <c r="A4501" s="3" t="s">
        <v>29</v>
      </c>
      <c r="B4501" s="7" t="str">
        <f>VLOOKUP(VALUE(A4501), 'DICIONÁRIO UF'!$A:$B, 2, FALSE)</f>
        <v>Goiás</v>
      </c>
      <c r="C4501" s="3">
        <v>68000</v>
      </c>
      <c r="D4501" s="5" t="str">
        <f>VLOOKUP(C4501, 'DICIONÁRIO CNAES'!$A:$B, 2, FALSE)</f>
        <v>Atividades imobiliárias</v>
      </c>
      <c r="E4501" s="4">
        <v>21165.667125759999</v>
      </c>
      <c r="F4501" s="4">
        <v>88397547.907233</v>
      </c>
    </row>
    <row r="4502" spans="1:6" x14ac:dyDescent="0.3">
      <c r="A4502" s="3" t="s">
        <v>29</v>
      </c>
      <c r="B4502" s="7" t="str">
        <f>VLOOKUP(VALUE(A4502), 'DICIONÁRIO UF'!$A:$B, 2, FALSE)</f>
        <v>Goiás</v>
      </c>
      <c r="C4502" s="3">
        <v>69000</v>
      </c>
      <c r="D4502" s="5" t="str">
        <f>VLOOKUP(C4502, 'DICIONÁRIO CNAES'!$A:$B, 2, FALSE)</f>
        <v xml:space="preserve">Atividades jurídicas, de contabilidade e de auditoria </v>
      </c>
      <c r="E4502" s="4">
        <v>65459.602277439997</v>
      </c>
      <c r="F4502" s="4">
        <v>224460430.00375399</v>
      </c>
    </row>
    <row r="4503" spans="1:6" x14ac:dyDescent="0.3">
      <c r="A4503" s="3" t="s">
        <v>29</v>
      </c>
      <c r="B4503" s="7" t="str">
        <f>VLOOKUP(VALUE(A4503), 'DICIONÁRIO UF'!$A:$B, 2, FALSE)</f>
        <v>Goiás</v>
      </c>
      <c r="C4503" s="3">
        <v>70000</v>
      </c>
      <c r="D4503" s="5" t="str">
        <f>VLOOKUP(C4503, 'DICIONÁRIO CNAES'!$A:$B, 2, FALSE)</f>
        <v>Atividades de consultoria em gestão empresarial</v>
      </c>
      <c r="E4503" s="4">
        <v>2786.8430450300002</v>
      </c>
      <c r="F4503" s="4">
        <v>8778048.0608089995</v>
      </c>
    </row>
    <row r="4504" spans="1:6" x14ac:dyDescent="0.3">
      <c r="A4504" s="3" t="s">
        <v>29</v>
      </c>
      <c r="B4504" s="7" t="str">
        <f>VLOOKUP(VALUE(A4504), 'DICIONÁRIO UF'!$A:$B, 2, FALSE)</f>
        <v>Goiás</v>
      </c>
      <c r="C4504" s="3">
        <v>71000</v>
      </c>
      <c r="D4504" s="5" t="str">
        <f>VLOOKUP(C4504, 'DICIONÁRIO CNAES'!$A:$B, 2, FALSE)</f>
        <v>Serviços de arquitetura e engenharia e atividades técnicas relacionadas; Testes e análises técnicas</v>
      </c>
      <c r="E4504" s="4">
        <v>20560.552476389999</v>
      </c>
      <c r="F4504" s="4">
        <v>78490447.852261946</v>
      </c>
    </row>
    <row r="4505" spans="1:6" x14ac:dyDescent="0.3">
      <c r="A4505" s="3" t="s">
        <v>29</v>
      </c>
      <c r="B4505" s="7" t="str">
        <f>VLOOKUP(VALUE(A4505), 'DICIONÁRIO UF'!$A:$B, 2, FALSE)</f>
        <v>Goiás</v>
      </c>
      <c r="C4505" s="3">
        <v>72000</v>
      </c>
      <c r="D4505" s="5" t="str">
        <f>VLOOKUP(C4505, 'DICIONÁRIO CNAES'!$A:$B, 2, FALSE)</f>
        <v>Pesquisa e desenvolvimento científico</v>
      </c>
      <c r="E4505" s="4">
        <v>107.13805013</v>
      </c>
      <c r="F4505" s="4">
        <v>1874915.8772750001</v>
      </c>
    </row>
    <row r="4506" spans="1:6" x14ac:dyDescent="0.3">
      <c r="A4506" s="3" t="s">
        <v>29</v>
      </c>
      <c r="B4506" s="7" t="str">
        <f>VLOOKUP(VALUE(A4506), 'DICIONÁRIO UF'!$A:$B, 2, FALSE)</f>
        <v>Goiás</v>
      </c>
      <c r="C4506" s="3">
        <v>73010</v>
      </c>
      <c r="D4506" s="5" t="str">
        <f>VLOOKUP(C4506, 'DICIONÁRIO CNAES'!$A:$B, 2, FALSE)</f>
        <v>Publicidade</v>
      </c>
      <c r="E4506" s="4">
        <v>11773.70779244</v>
      </c>
      <c r="F4506" s="4">
        <v>40209423.186270997</v>
      </c>
    </row>
    <row r="4507" spans="1:6" x14ac:dyDescent="0.3">
      <c r="A4507" s="3" t="s">
        <v>29</v>
      </c>
      <c r="B4507" s="7" t="str">
        <f>VLOOKUP(VALUE(A4507), 'DICIONÁRIO UF'!$A:$B, 2, FALSE)</f>
        <v>Goiás</v>
      </c>
      <c r="C4507" s="3">
        <v>74000</v>
      </c>
      <c r="D4507" s="5" t="str">
        <f>VLOOKUP(C4507, 'DICIONÁRIO CNAES'!$A:$B, 2, FALSE)</f>
        <v>Outras atividades profissionais, científicas e técnicas não especificadas anteriormente</v>
      </c>
      <c r="E4507" s="4">
        <v>12395.84755185</v>
      </c>
      <c r="F4507" s="4">
        <v>45196475.430939101</v>
      </c>
    </row>
    <row r="4508" spans="1:6" x14ac:dyDescent="0.3">
      <c r="A4508" s="3" t="s">
        <v>29</v>
      </c>
      <c r="B4508" s="7" t="str">
        <f>VLOOKUP(VALUE(A4508), 'DICIONÁRIO UF'!$A:$B, 2, FALSE)</f>
        <v>Goiás</v>
      </c>
      <c r="C4508" s="3">
        <v>75000</v>
      </c>
      <c r="D4508" s="5" t="str">
        <f>VLOOKUP(C4508, 'DICIONÁRIO CNAES'!$A:$B, 2, FALSE)</f>
        <v>Atividades veterinárias</v>
      </c>
      <c r="E4508" s="4">
        <v>8502.634425780001</v>
      </c>
      <c r="F4508" s="4">
        <v>35418445.907700002</v>
      </c>
    </row>
    <row r="4509" spans="1:6" x14ac:dyDescent="0.3">
      <c r="A4509" s="3" t="s">
        <v>29</v>
      </c>
      <c r="B4509" s="7" t="str">
        <f>VLOOKUP(VALUE(A4509), 'DICIONÁRIO UF'!$A:$B, 2, FALSE)</f>
        <v>Goiás</v>
      </c>
      <c r="C4509" s="3">
        <v>77010</v>
      </c>
      <c r="D4509" s="5" t="str">
        <f>VLOOKUP(C4509, 'DICIONÁRIO CNAES'!$A:$B, 2, FALSE)</f>
        <v>Aluguel de objetos pessoais e domésticos</v>
      </c>
      <c r="E4509" s="4">
        <v>3885.4518121699998</v>
      </c>
      <c r="F4509" s="4">
        <v>6891391.832308</v>
      </c>
    </row>
    <row r="4510" spans="1:6" x14ac:dyDescent="0.3">
      <c r="A4510" s="3" t="s">
        <v>29</v>
      </c>
      <c r="B4510" s="7" t="str">
        <f>VLOOKUP(VALUE(A4510), 'DICIONÁRIO UF'!$A:$B, 2, FALSE)</f>
        <v>Goiás</v>
      </c>
      <c r="C4510" s="3">
        <v>77020</v>
      </c>
      <c r="D4510" s="5" t="str">
        <f>VLOOKUP(C4510, 'DICIONÁRIO CNAES'!$A:$B, 2, FALSE)</f>
        <v>Aluguel de meios de transportes, maquinas e equipamentos sem operador e gestão de ativos intangíveis não financeiros</v>
      </c>
      <c r="E4510" s="4">
        <v>4584.6878937800002</v>
      </c>
      <c r="F4510" s="4">
        <v>23504295.744212002</v>
      </c>
    </row>
    <row r="4511" spans="1:6" x14ac:dyDescent="0.3">
      <c r="A4511" s="3" t="s">
        <v>29</v>
      </c>
      <c r="B4511" s="7" t="str">
        <f>VLOOKUP(VALUE(A4511), 'DICIONÁRIO UF'!$A:$B, 2, FALSE)</f>
        <v>Goiás</v>
      </c>
      <c r="C4511" s="3">
        <v>78000</v>
      </c>
      <c r="D4511" s="5" t="str">
        <f>VLOOKUP(C4511, 'DICIONÁRIO CNAES'!$A:$B, 2, FALSE)</f>
        <v>Seleção, agenciamento e locação de mão-de-obra</v>
      </c>
      <c r="E4511" s="4">
        <v>26239.01450103</v>
      </c>
      <c r="F4511" s="4">
        <v>46868785.370545417</v>
      </c>
    </row>
    <row r="4512" spans="1:6" x14ac:dyDescent="0.3">
      <c r="A4512" s="3" t="s">
        <v>29</v>
      </c>
      <c r="B4512" s="7" t="str">
        <f>VLOOKUP(VALUE(A4512), 'DICIONÁRIO UF'!$A:$B, 2, FALSE)</f>
        <v>Goiás</v>
      </c>
      <c r="C4512" s="3">
        <v>79000</v>
      </c>
      <c r="D4512" s="5" t="str">
        <f>VLOOKUP(C4512, 'DICIONÁRIO CNAES'!$A:$B, 2, FALSE)</f>
        <v>Agências de viagens, operadores turísticos e serviços de reservas</v>
      </c>
      <c r="E4512" s="4">
        <v>2228.47621531</v>
      </c>
      <c r="F4512" s="4">
        <v>6436301.345555</v>
      </c>
    </row>
    <row r="4513" spans="1:6" x14ac:dyDescent="0.3">
      <c r="A4513" s="3" t="s">
        <v>29</v>
      </c>
      <c r="B4513" s="7" t="str">
        <f>VLOOKUP(VALUE(A4513), 'DICIONÁRIO UF'!$A:$B, 2, FALSE)</f>
        <v>Goiás</v>
      </c>
      <c r="C4513" s="3">
        <v>80000</v>
      </c>
      <c r="D4513" s="5" t="str">
        <f>VLOOKUP(C4513, 'DICIONÁRIO CNAES'!$A:$B, 2, FALSE)</f>
        <v>Atividades de vigilância, segurança, transporte de valores e investigação</v>
      </c>
      <c r="E4513" s="4">
        <v>25127.2934049</v>
      </c>
      <c r="F4513" s="4">
        <v>52038370.133861333</v>
      </c>
    </row>
    <row r="4514" spans="1:6" x14ac:dyDescent="0.3">
      <c r="A4514" s="3" t="s">
        <v>29</v>
      </c>
      <c r="B4514" s="7" t="str">
        <f>VLOOKUP(VALUE(A4514), 'DICIONÁRIO UF'!$A:$B, 2, FALSE)</f>
        <v>Goiás</v>
      </c>
      <c r="C4514" s="3">
        <v>81011</v>
      </c>
      <c r="D4514" s="5" t="str">
        <f>VLOOKUP(C4514, 'DICIONÁRIO CNAES'!$A:$B, 2, FALSE)</f>
        <v>Serviços de limpeza e de apoio a edifícios, exceto condomínios prediais</v>
      </c>
      <c r="E4514" s="4">
        <v>35145.956376729999</v>
      </c>
      <c r="F4514" s="4">
        <v>42817052.32414443</v>
      </c>
    </row>
    <row r="4515" spans="1:6" x14ac:dyDescent="0.3">
      <c r="A4515" s="3" t="s">
        <v>29</v>
      </c>
      <c r="B4515" s="7" t="str">
        <f>VLOOKUP(VALUE(A4515), 'DICIONÁRIO UF'!$A:$B, 2, FALSE)</f>
        <v>Goiás</v>
      </c>
      <c r="C4515" s="3">
        <v>81012</v>
      </c>
      <c r="D4515" s="5" t="str">
        <f>VLOOKUP(C4515, 'DICIONÁRIO CNAES'!$A:$B, 2, FALSE)</f>
        <v>Condomínios prediais</v>
      </c>
      <c r="E4515" s="4">
        <v>14237.094732830001</v>
      </c>
      <c r="F4515" s="4">
        <v>23050976.720931418</v>
      </c>
    </row>
    <row r="4516" spans="1:6" x14ac:dyDescent="0.3">
      <c r="A4516" s="3" t="s">
        <v>29</v>
      </c>
      <c r="B4516" s="7" t="str">
        <f>VLOOKUP(VALUE(A4516), 'DICIONÁRIO UF'!$A:$B, 2, FALSE)</f>
        <v>Goiás</v>
      </c>
      <c r="C4516" s="3">
        <v>81020</v>
      </c>
      <c r="D4516" s="5" t="str">
        <f>VLOOKUP(C4516, 'DICIONÁRIO CNAES'!$A:$B, 2, FALSE)</f>
        <v>Atividades paisagísticas</v>
      </c>
      <c r="E4516" s="4">
        <v>4230.77035712</v>
      </c>
      <c r="F4516" s="4">
        <v>9171980.6768574994</v>
      </c>
    </row>
    <row r="4517" spans="1:6" x14ac:dyDescent="0.3">
      <c r="A4517" s="3" t="s">
        <v>29</v>
      </c>
      <c r="B4517" s="7" t="str">
        <f>VLOOKUP(VALUE(A4517), 'DICIONÁRIO UF'!$A:$B, 2, FALSE)</f>
        <v>Goiás</v>
      </c>
      <c r="C4517" s="3">
        <v>82001</v>
      </c>
      <c r="D4517" s="5" t="str">
        <f>VLOOKUP(C4517, 'DICIONÁRIO CNAES'!$A:$B, 2, FALSE)</f>
        <v>Serviços de escritório e apoio administrativo</v>
      </c>
      <c r="E4517" s="4">
        <v>987.80820626000002</v>
      </c>
      <c r="F4517" s="4">
        <v>971652.35749900015</v>
      </c>
    </row>
    <row r="4518" spans="1:6" x14ac:dyDescent="0.3">
      <c r="A4518" s="3" t="s">
        <v>29</v>
      </c>
      <c r="B4518" s="7" t="str">
        <f>VLOOKUP(VALUE(A4518), 'DICIONÁRIO UF'!$A:$B, 2, FALSE)</f>
        <v>Goiás</v>
      </c>
      <c r="C4518" s="3">
        <v>82002</v>
      </c>
      <c r="D4518" s="5" t="str">
        <f>VLOOKUP(C4518, 'DICIONÁRIO CNAES'!$A:$B, 2, FALSE)</f>
        <v>Atividades de teleatendimento</v>
      </c>
      <c r="E4518" s="4">
        <v>9851.7656724600001</v>
      </c>
      <c r="F4518" s="4">
        <v>12031718.004663</v>
      </c>
    </row>
    <row r="4519" spans="1:6" x14ac:dyDescent="0.3">
      <c r="A4519" s="3" t="s">
        <v>29</v>
      </c>
      <c r="B4519" s="7" t="str">
        <f>VLOOKUP(VALUE(A4519), 'DICIONÁRIO UF'!$A:$B, 2, FALSE)</f>
        <v>Goiás</v>
      </c>
      <c r="C4519" s="3">
        <v>82003</v>
      </c>
      <c r="D4519" s="5" t="str">
        <f>VLOOKUP(C4519, 'DICIONÁRIO CNAES'!$A:$B, 2, FALSE)</f>
        <v>Atividades de organização de eventos, exceto culturais e esportivos</v>
      </c>
      <c r="E4519" s="4">
        <v>9271.0812423499992</v>
      </c>
      <c r="F4519" s="4">
        <v>28438525.023684401</v>
      </c>
    </row>
    <row r="4520" spans="1:6" x14ac:dyDescent="0.3">
      <c r="A4520" s="3" t="s">
        <v>29</v>
      </c>
      <c r="B4520" s="7" t="str">
        <f>VLOOKUP(VALUE(A4520), 'DICIONÁRIO UF'!$A:$B, 2, FALSE)</f>
        <v>Goiás</v>
      </c>
      <c r="C4520" s="3">
        <v>82009</v>
      </c>
      <c r="D4520" s="5" t="str">
        <f>VLOOKUP(C4520, 'DICIONÁRIO CNAES'!$A:$B, 2, FALSE)</f>
        <v>Outras atividades de serviços prestados principalmente às empresas</v>
      </c>
      <c r="E4520" s="4">
        <v>13336.77699617</v>
      </c>
      <c r="F4520" s="4">
        <v>30878517.741481282</v>
      </c>
    </row>
    <row r="4521" spans="1:6" x14ac:dyDescent="0.3">
      <c r="A4521" s="3" t="s">
        <v>29</v>
      </c>
      <c r="B4521" s="7" t="str">
        <f>VLOOKUP(VALUE(A4521), 'DICIONÁRIO UF'!$A:$B, 2, FALSE)</f>
        <v>Goiás</v>
      </c>
      <c r="C4521" s="3">
        <v>84011</v>
      </c>
      <c r="D4521" s="5" t="str">
        <f>VLOOKUP(C4521, 'DICIONÁRIO CNAES'!$A:$B, 2, FALSE)</f>
        <v>Administração publica e regulação da política econômica e social - Federal</v>
      </c>
      <c r="E4521" s="4">
        <v>6111.8667101199999</v>
      </c>
      <c r="F4521" s="4">
        <v>44103060.542451501</v>
      </c>
    </row>
    <row r="4522" spans="1:6" x14ac:dyDescent="0.3">
      <c r="A4522" s="3" t="s">
        <v>29</v>
      </c>
      <c r="B4522" s="7" t="str">
        <f>VLOOKUP(VALUE(A4522), 'DICIONÁRIO UF'!$A:$B, 2, FALSE)</f>
        <v>Goiás</v>
      </c>
      <c r="C4522" s="3">
        <v>84012</v>
      </c>
      <c r="D4522" s="5" t="str">
        <f>VLOOKUP(C4522, 'DICIONÁRIO CNAES'!$A:$B, 2, FALSE)</f>
        <v>Administração publica e regulação da política econômica e social - Estadual</v>
      </c>
      <c r="E4522" s="4">
        <v>18624.723434629999</v>
      </c>
      <c r="F4522" s="4">
        <v>104297124.89166041</v>
      </c>
    </row>
    <row r="4523" spans="1:6" x14ac:dyDescent="0.3">
      <c r="A4523" s="3" t="s">
        <v>29</v>
      </c>
      <c r="B4523" s="7" t="str">
        <f>VLOOKUP(VALUE(A4523), 'DICIONÁRIO UF'!$A:$B, 2, FALSE)</f>
        <v>Goiás</v>
      </c>
      <c r="C4523" s="3">
        <v>84013</v>
      </c>
      <c r="D4523" s="5" t="str">
        <f>VLOOKUP(C4523, 'DICIONÁRIO CNAES'!$A:$B, 2, FALSE)</f>
        <v>Administração publica e regulação da política econômica e social - Municipal</v>
      </c>
      <c r="E4523" s="4">
        <v>102926.15850997</v>
      </c>
      <c r="F4523" s="4">
        <v>266513619.50517309</v>
      </c>
    </row>
    <row r="4524" spans="1:6" x14ac:dyDescent="0.3">
      <c r="A4524" s="3" t="s">
        <v>29</v>
      </c>
      <c r="B4524" s="7" t="str">
        <f>VLOOKUP(VALUE(A4524), 'DICIONÁRIO UF'!$A:$B, 2, FALSE)</f>
        <v>Goiás</v>
      </c>
      <c r="C4524" s="3">
        <v>84014</v>
      </c>
      <c r="D4524" s="5" t="str">
        <f>VLOOKUP(C4524, 'DICIONÁRIO CNAES'!$A:$B, 2, FALSE)</f>
        <v>Defesa</v>
      </c>
      <c r="E4524" s="4">
        <v>6981.4313079399999</v>
      </c>
      <c r="F4524" s="4">
        <v>15896590.42349888</v>
      </c>
    </row>
    <row r="4525" spans="1:6" x14ac:dyDescent="0.3">
      <c r="A4525" s="3" t="s">
        <v>29</v>
      </c>
      <c r="B4525" s="7" t="str">
        <f>VLOOKUP(VALUE(A4525), 'DICIONÁRIO UF'!$A:$B, 2, FALSE)</f>
        <v>Goiás</v>
      </c>
      <c r="C4525" s="3">
        <v>84015</v>
      </c>
      <c r="D4525" s="5" t="str">
        <f>VLOOKUP(C4525, 'DICIONÁRIO CNAES'!$A:$B, 2, FALSE)</f>
        <v>Outros serviços coletivos prestados pela administração pública - Federal</v>
      </c>
      <c r="E4525" s="4">
        <v>4524.5592224299999</v>
      </c>
      <c r="F4525" s="4">
        <v>44351104.258170597</v>
      </c>
    </row>
    <row r="4526" spans="1:6" x14ac:dyDescent="0.3">
      <c r="A4526" s="3" t="s">
        <v>29</v>
      </c>
      <c r="B4526" s="7" t="str">
        <f>VLOOKUP(VALUE(A4526), 'DICIONÁRIO UF'!$A:$B, 2, FALSE)</f>
        <v>Goiás</v>
      </c>
      <c r="C4526" s="3">
        <v>84016</v>
      </c>
      <c r="D4526" s="5" t="str">
        <f>VLOOKUP(C4526, 'DICIONÁRIO CNAES'!$A:$B, 2, FALSE)</f>
        <v>Outros serviços coletivos prestados pela administração pública - Estadual</v>
      </c>
      <c r="E4526" s="4">
        <v>37991.45563325</v>
      </c>
      <c r="F4526" s="4">
        <v>292862640.85753959</v>
      </c>
    </row>
    <row r="4527" spans="1:6" x14ac:dyDescent="0.3">
      <c r="A4527" s="3" t="s">
        <v>29</v>
      </c>
      <c r="B4527" s="7" t="str">
        <f>VLOOKUP(VALUE(A4527), 'DICIONÁRIO UF'!$A:$B, 2, FALSE)</f>
        <v>Goiás</v>
      </c>
      <c r="C4527" s="3">
        <v>84017</v>
      </c>
      <c r="D4527" s="5" t="str">
        <f>VLOOKUP(C4527, 'DICIONÁRIO CNAES'!$A:$B, 2, FALSE)</f>
        <v>Outros serviços coletivos prestados pela administração pública - Municipal</v>
      </c>
      <c r="E4527" s="4">
        <v>2828.0023654800002</v>
      </c>
      <c r="F4527" s="4">
        <v>13071672.20379338</v>
      </c>
    </row>
    <row r="4528" spans="1:6" x14ac:dyDescent="0.3">
      <c r="A4528" s="3" t="s">
        <v>29</v>
      </c>
      <c r="B4528" s="7" t="str">
        <f>VLOOKUP(VALUE(A4528), 'DICIONÁRIO UF'!$A:$B, 2, FALSE)</f>
        <v>Goiás</v>
      </c>
      <c r="C4528" s="3">
        <v>84020</v>
      </c>
      <c r="D4528" s="5" t="str">
        <f>VLOOKUP(C4528, 'DICIONÁRIO CNAES'!$A:$B, 2, FALSE)</f>
        <v>Seguridade social obrigatória</v>
      </c>
      <c r="E4528" s="4">
        <v>3083.1165855899999</v>
      </c>
      <c r="F4528" s="4">
        <v>19794317.620147001</v>
      </c>
    </row>
    <row r="4529" spans="1:6" x14ac:dyDescent="0.3">
      <c r="A4529" s="3" t="s">
        <v>29</v>
      </c>
      <c r="B4529" s="7" t="str">
        <f>VLOOKUP(VALUE(A4529), 'DICIONÁRIO UF'!$A:$B, 2, FALSE)</f>
        <v>Goiás</v>
      </c>
      <c r="C4529" s="3">
        <v>85011</v>
      </c>
      <c r="D4529" s="5" t="str">
        <f>VLOOKUP(C4529, 'DICIONÁRIO CNAES'!$A:$B, 2, FALSE)</f>
        <v>Creche</v>
      </c>
      <c r="E4529" s="4">
        <v>14783.667116000001</v>
      </c>
      <c r="F4529" s="4">
        <v>18838378.53169737</v>
      </c>
    </row>
    <row r="4530" spans="1:6" x14ac:dyDescent="0.3">
      <c r="A4530" s="3" t="s">
        <v>29</v>
      </c>
      <c r="B4530" s="7" t="str">
        <f>VLOOKUP(VALUE(A4530), 'DICIONÁRIO UF'!$A:$B, 2, FALSE)</f>
        <v>Goiás</v>
      </c>
      <c r="C4530" s="3">
        <v>85012</v>
      </c>
      <c r="D4530" s="5" t="str">
        <f>VLOOKUP(C4530, 'DICIONÁRIO CNAES'!$A:$B, 2, FALSE)</f>
        <v>Pré-escola e ensino fundamental</v>
      </c>
      <c r="E4530" s="4">
        <v>91553.119320109996</v>
      </c>
      <c r="F4530" s="4">
        <v>266212622.91480169</v>
      </c>
    </row>
    <row r="4531" spans="1:6" x14ac:dyDescent="0.3">
      <c r="A4531" s="3" t="s">
        <v>29</v>
      </c>
      <c r="B4531" s="7" t="str">
        <f>VLOOKUP(VALUE(A4531), 'DICIONÁRIO UF'!$A:$B, 2, FALSE)</f>
        <v>Goiás</v>
      </c>
      <c r="C4531" s="3">
        <v>85013</v>
      </c>
      <c r="D4531" s="5" t="str">
        <f>VLOOKUP(C4531, 'DICIONÁRIO CNAES'!$A:$B, 2, FALSE)</f>
        <v>Ensino médio</v>
      </c>
      <c r="E4531" s="4">
        <v>29995.911178409999</v>
      </c>
      <c r="F4531" s="4">
        <v>113199817.4021019</v>
      </c>
    </row>
    <row r="4532" spans="1:6" x14ac:dyDescent="0.3">
      <c r="A4532" s="3" t="s">
        <v>29</v>
      </c>
      <c r="B4532" s="7" t="str">
        <f>VLOOKUP(VALUE(A4532), 'DICIONÁRIO UF'!$A:$B, 2, FALSE)</f>
        <v>Goiás</v>
      </c>
      <c r="C4532" s="3">
        <v>85014</v>
      </c>
      <c r="D4532" s="5" t="str">
        <f>VLOOKUP(C4532, 'DICIONÁRIO CNAES'!$A:$B, 2, FALSE)</f>
        <v>Educação superior</v>
      </c>
      <c r="E4532" s="4">
        <v>13864.270805849999</v>
      </c>
      <c r="F4532" s="4">
        <v>59223200.37564455</v>
      </c>
    </row>
    <row r="4533" spans="1:6" x14ac:dyDescent="0.3">
      <c r="A4533" s="3" t="s">
        <v>29</v>
      </c>
      <c r="B4533" s="7" t="str">
        <f>VLOOKUP(VALUE(A4533), 'DICIONÁRIO UF'!$A:$B, 2, FALSE)</f>
        <v>Goiás</v>
      </c>
      <c r="C4533" s="3">
        <v>85021</v>
      </c>
      <c r="D4533" s="5" t="str">
        <f>VLOOKUP(C4533, 'DICIONÁRIO CNAES'!$A:$B, 2, FALSE)</f>
        <v>Serviços auxiliares à educação</v>
      </c>
      <c r="E4533" s="4">
        <v>276.72078527999997</v>
      </c>
      <c r="F4533" s="4">
        <v>152196.431904</v>
      </c>
    </row>
    <row r="4534" spans="1:6" x14ac:dyDescent="0.3">
      <c r="A4534" s="3" t="s">
        <v>29</v>
      </c>
      <c r="B4534" s="7" t="str">
        <f>VLOOKUP(VALUE(A4534), 'DICIONÁRIO UF'!$A:$B, 2, FALSE)</f>
        <v>Goiás</v>
      </c>
      <c r="C4534" s="3">
        <v>85029</v>
      </c>
      <c r="D4534" s="5" t="str">
        <f>VLOOKUP(C4534, 'DICIONÁRIO CNAES'!$A:$B, 2, FALSE)</f>
        <v>Outras atividades de ensino</v>
      </c>
      <c r="E4534" s="4">
        <v>22653.161698079999</v>
      </c>
      <c r="F4534" s="4">
        <v>38071805.270438358</v>
      </c>
    </row>
    <row r="4535" spans="1:6" x14ac:dyDescent="0.3">
      <c r="A4535" s="3" t="s">
        <v>29</v>
      </c>
      <c r="B4535" s="7" t="str">
        <f>VLOOKUP(VALUE(A4535), 'DICIONÁRIO UF'!$A:$B, 2, FALSE)</f>
        <v>Goiás</v>
      </c>
      <c r="C4535" s="3">
        <v>86001</v>
      </c>
      <c r="D4535" s="5" t="str">
        <f>VLOOKUP(C4535, 'DICIONÁRIO CNAES'!$A:$B, 2, FALSE)</f>
        <v>Atividades de atendimento hospitalar</v>
      </c>
      <c r="E4535" s="4">
        <v>73707.406096320003</v>
      </c>
      <c r="F4535" s="4">
        <v>283651324.11003608</v>
      </c>
    </row>
    <row r="4536" spans="1:6" x14ac:dyDescent="0.3">
      <c r="A4536" s="3" t="s">
        <v>29</v>
      </c>
      <c r="B4536" s="7" t="str">
        <f>VLOOKUP(VALUE(A4536), 'DICIONÁRIO UF'!$A:$B, 2, FALSE)</f>
        <v>Goiás</v>
      </c>
      <c r="C4536" s="3">
        <v>86002</v>
      </c>
      <c r="D4536" s="5" t="str">
        <f>VLOOKUP(C4536, 'DICIONÁRIO CNAES'!$A:$B, 2, FALSE)</f>
        <v>Atividades de atenção ambulatorial executadas por médicos e odontólogos</v>
      </c>
      <c r="E4536" s="4">
        <v>80161.736418660003</v>
      </c>
      <c r="F4536" s="4">
        <v>242092134.65716031</v>
      </c>
    </row>
    <row r="4537" spans="1:6" x14ac:dyDescent="0.3">
      <c r="A4537" s="3" t="s">
        <v>29</v>
      </c>
      <c r="B4537" s="7" t="str">
        <f>VLOOKUP(VALUE(A4537), 'DICIONÁRIO UF'!$A:$B, 2, FALSE)</f>
        <v>Goiás</v>
      </c>
      <c r="C4537" s="3">
        <v>86003</v>
      </c>
      <c r="D4537" s="5" t="str">
        <f>VLOOKUP(C4537, 'DICIONÁRIO CNAES'!$A:$B, 2, FALSE)</f>
        <v>Atividades de serviços de complementação diagnóstica e terapêutica</v>
      </c>
      <c r="E4537" s="4">
        <v>13034.57081797</v>
      </c>
      <c r="F4537" s="4">
        <v>37176867.721530251</v>
      </c>
    </row>
    <row r="4538" spans="1:6" x14ac:dyDescent="0.3">
      <c r="A4538" s="3" t="s">
        <v>29</v>
      </c>
      <c r="B4538" s="7" t="str">
        <f>VLOOKUP(VALUE(A4538), 'DICIONÁRIO UF'!$A:$B, 2, FALSE)</f>
        <v>Goiás</v>
      </c>
      <c r="C4538" s="3">
        <v>86004</v>
      </c>
      <c r="D4538" s="5" t="str">
        <f>VLOOKUP(C4538, 'DICIONÁRIO CNAES'!$A:$B, 2, FALSE)</f>
        <v>Atividades de profissionais da área de saúde, exceto médicos e odontólogos</v>
      </c>
      <c r="E4538" s="4">
        <v>19738.330883390001</v>
      </c>
      <c r="F4538" s="4">
        <v>62574968.769296497</v>
      </c>
    </row>
    <row r="4539" spans="1:6" x14ac:dyDescent="0.3">
      <c r="A4539" s="3" t="s">
        <v>29</v>
      </c>
      <c r="B4539" s="7" t="str">
        <f>VLOOKUP(VALUE(A4539), 'DICIONÁRIO UF'!$A:$B, 2, FALSE)</f>
        <v>Goiás</v>
      </c>
      <c r="C4539" s="3">
        <v>86009</v>
      </c>
      <c r="D4539" s="5" t="str">
        <f>VLOOKUP(C4539, 'DICIONÁRIO CNAES'!$A:$B, 2, FALSE)</f>
        <v>Atividades de atenção à saúde humana não especificadas anteriormente</v>
      </c>
      <c r="E4539" s="4">
        <v>4887.7073922099999</v>
      </c>
      <c r="F4539" s="4">
        <v>10345752.352074999</v>
      </c>
    </row>
    <row r="4540" spans="1:6" x14ac:dyDescent="0.3">
      <c r="A4540" s="3" t="s">
        <v>29</v>
      </c>
      <c r="B4540" s="7" t="str">
        <f>VLOOKUP(VALUE(A4540), 'DICIONÁRIO UF'!$A:$B, 2, FALSE)</f>
        <v>Goiás</v>
      </c>
      <c r="C4540" s="3">
        <v>87000</v>
      </c>
      <c r="D4540" s="5" t="str">
        <f>VLOOKUP(C4540, 'DICIONÁRIO CNAES'!$A:$B, 2, FALSE)</f>
        <v>Atividades de assistência à saude humana integradas com assistencia social, inclusive prestadas em residencias</v>
      </c>
      <c r="E4540" s="4">
        <v>5180.3174999900002</v>
      </c>
      <c r="F4540" s="4">
        <v>13608721.679225</v>
      </c>
    </row>
    <row r="4541" spans="1:6" x14ac:dyDescent="0.3">
      <c r="A4541" s="3" t="s">
        <v>29</v>
      </c>
      <c r="B4541" s="7" t="str">
        <f>VLOOKUP(VALUE(A4541), 'DICIONÁRIO UF'!$A:$B, 2, FALSE)</f>
        <v>Goiás</v>
      </c>
      <c r="C4541" s="3">
        <v>88000</v>
      </c>
      <c r="D4541" s="5" t="str">
        <f>VLOOKUP(C4541, 'DICIONÁRIO CNAES'!$A:$B, 2, FALSE)</f>
        <v>Serviços de assistência social sem alojamento</v>
      </c>
      <c r="E4541" s="4">
        <v>3517.4728941399999</v>
      </c>
      <c r="F4541" s="4">
        <v>9669597.1598159987</v>
      </c>
    </row>
    <row r="4542" spans="1:6" x14ac:dyDescent="0.3">
      <c r="A4542" s="3" t="s">
        <v>29</v>
      </c>
      <c r="B4542" s="7" t="str">
        <f>VLOOKUP(VALUE(A4542), 'DICIONÁRIO UF'!$A:$B, 2, FALSE)</f>
        <v>Goiás</v>
      </c>
      <c r="C4542" s="3">
        <v>90000</v>
      </c>
      <c r="D4542" s="5" t="str">
        <f>VLOOKUP(C4542, 'DICIONÁRIO CNAES'!$A:$B, 2, FALSE)</f>
        <v>Atividades artísticas, criativas e de espetáculos</v>
      </c>
      <c r="E4542" s="4">
        <v>3963.59367075</v>
      </c>
      <c r="F4542" s="4">
        <v>8454543.6753000002</v>
      </c>
    </row>
    <row r="4543" spans="1:6" x14ac:dyDescent="0.3">
      <c r="A4543" s="3" t="s">
        <v>29</v>
      </c>
      <c r="B4543" s="7" t="str">
        <f>VLOOKUP(VALUE(A4543), 'DICIONÁRIO UF'!$A:$B, 2, FALSE)</f>
        <v>Goiás</v>
      </c>
      <c r="C4543" s="3">
        <v>93011</v>
      </c>
      <c r="D4543" s="5" t="str">
        <f>VLOOKUP(C4543, 'DICIONÁRIO CNAES'!$A:$B, 2, FALSE)</f>
        <v>Atividades esportivas</v>
      </c>
      <c r="E4543" s="4">
        <v>3677.6022569000002</v>
      </c>
      <c r="F4543" s="4">
        <v>6168683.6087100003</v>
      </c>
    </row>
    <row r="4544" spans="1:6" x14ac:dyDescent="0.3">
      <c r="A4544" s="3" t="s">
        <v>29</v>
      </c>
      <c r="B4544" s="7" t="str">
        <f>VLOOKUP(VALUE(A4544), 'DICIONÁRIO UF'!$A:$B, 2, FALSE)</f>
        <v>Goiás</v>
      </c>
      <c r="C4544" s="3">
        <v>93012</v>
      </c>
      <c r="D4544" s="5" t="str">
        <f>VLOOKUP(C4544, 'DICIONÁRIO CNAES'!$A:$B, 2, FALSE)</f>
        <v>Atividades de condicionamento físico</v>
      </c>
      <c r="E4544" s="4">
        <v>13628.668514000001</v>
      </c>
      <c r="F4544" s="4">
        <v>23046249.7503235</v>
      </c>
    </row>
    <row r="4545" spans="1:6" x14ac:dyDescent="0.3">
      <c r="A4545" s="3" t="s">
        <v>29</v>
      </c>
      <c r="B4545" s="7" t="str">
        <f>VLOOKUP(VALUE(A4545), 'DICIONÁRIO UF'!$A:$B, 2, FALSE)</f>
        <v>Goiás</v>
      </c>
      <c r="C4545" s="3">
        <v>93020</v>
      </c>
      <c r="D4545" s="5" t="str">
        <f>VLOOKUP(C4545, 'DICIONÁRIO CNAES'!$A:$B, 2, FALSE)</f>
        <v>Atividades de recreação e lazer</v>
      </c>
      <c r="E4545" s="4">
        <v>479.6081327</v>
      </c>
      <c r="F4545" s="4">
        <v>1582706.83791</v>
      </c>
    </row>
    <row r="4546" spans="1:6" x14ac:dyDescent="0.3">
      <c r="A4546" s="3" t="s">
        <v>29</v>
      </c>
      <c r="B4546" s="7" t="str">
        <f>VLOOKUP(VALUE(A4546), 'DICIONÁRIO UF'!$A:$B, 2, FALSE)</f>
        <v>Goiás</v>
      </c>
      <c r="C4546" s="3">
        <v>94010</v>
      </c>
      <c r="D4546" s="5" t="str">
        <f>VLOOKUP(C4546, 'DICIONÁRIO CNAES'!$A:$B, 2, FALSE)</f>
        <v>Atividades de organizações associativas patronais, empresariais e profissionais</v>
      </c>
      <c r="E4546" s="4">
        <v>983.19929422999996</v>
      </c>
      <c r="F4546" s="4">
        <v>2161017.5352480002</v>
      </c>
    </row>
    <row r="4547" spans="1:6" x14ac:dyDescent="0.3">
      <c r="A4547" s="3" t="s">
        <v>29</v>
      </c>
      <c r="B4547" s="7" t="str">
        <f>VLOOKUP(VALUE(A4547), 'DICIONÁRIO UF'!$A:$B, 2, FALSE)</f>
        <v>Goiás</v>
      </c>
      <c r="C4547" s="3">
        <v>94020</v>
      </c>
      <c r="D4547" s="5" t="str">
        <f>VLOOKUP(C4547, 'DICIONÁRIO CNAES'!$A:$B, 2, FALSE)</f>
        <v>Atividades de organizações sindicais</v>
      </c>
      <c r="E4547" s="4">
        <v>911.91433430000006</v>
      </c>
      <c r="F4547" s="4">
        <v>1388250.3345275</v>
      </c>
    </row>
    <row r="4548" spans="1:6" x14ac:dyDescent="0.3">
      <c r="A4548" s="3" t="s">
        <v>29</v>
      </c>
      <c r="B4548" s="7" t="str">
        <f>VLOOKUP(VALUE(A4548), 'DICIONÁRIO UF'!$A:$B, 2, FALSE)</f>
        <v>Goiás</v>
      </c>
      <c r="C4548" s="3">
        <v>94091</v>
      </c>
      <c r="D4548" s="5" t="str">
        <f>VLOOKUP(C4548, 'DICIONÁRIO CNAES'!$A:$B, 2, FALSE)</f>
        <v>Atividades de organizações religiosas e filosóficas</v>
      </c>
      <c r="E4548" s="4">
        <v>10610.270024269999</v>
      </c>
      <c r="F4548" s="4">
        <v>21403808.297114238</v>
      </c>
    </row>
    <row r="4549" spans="1:6" x14ac:dyDescent="0.3">
      <c r="A4549" s="3" t="s">
        <v>29</v>
      </c>
      <c r="B4549" s="7" t="str">
        <f>VLOOKUP(VALUE(A4549), 'DICIONÁRIO UF'!$A:$B, 2, FALSE)</f>
        <v>Goiás</v>
      </c>
      <c r="C4549" s="3">
        <v>94099</v>
      </c>
      <c r="D4549" s="5" t="str">
        <f>VLOOKUP(C4549, 'DICIONÁRIO CNAES'!$A:$B, 2, FALSE)</f>
        <v xml:space="preserve">Outras atividades associativas não especificadas anteriormente </v>
      </c>
      <c r="E4549" s="4">
        <v>758.48248640999998</v>
      </c>
      <c r="F4549" s="4">
        <v>1516964.97282</v>
      </c>
    </row>
    <row r="4550" spans="1:6" x14ac:dyDescent="0.3">
      <c r="A4550" s="3" t="s">
        <v>29</v>
      </c>
      <c r="B4550" s="7" t="str">
        <f>VLOOKUP(VALUE(A4550), 'DICIONÁRIO UF'!$A:$B, 2, FALSE)</f>
        <v>Goiás</v>
      </c>
      <c r="C4550" s="3">
        <v>95010</v>
      </c>
      <c r="D4550" s="5" t="str">
        <f>VLOOKUP(C4550, 'DICIONÁRIO CNAES'!$A:$B, 2, FALSE)</f>
        <v>Reparação e manutenção de equipamentos de informática e comunicação</v>
      </c>
      <c r="E4550" s="4">
        <v>3926.9851291999998</v>
      </c>
      <c r="F4550" s="4">
        <v>7935044.2170480005</v>
      </c>
    </row>
    <row r="4551" spans="1:6" x14ac:dyDescent="0.3">
      <c r="A4551" s="3" t="s">
        <v>29</v>
      </c>
      <c r="B4551" s="7" t="str">
        <f>VLOOKUP(VALUE(A4551), 'DICIONÁRIO UF'!$A:$B, 2, FALSE)</f>
        <v>Goiás</v>
      </c>
      <c r="C4551" s="3">
        <v>95030</v>
      </c>
      <c r="D4551" s="5" t="str">
        <f>VLOOKUP(C4551, 'DICIONÁRIO CNAES'!$A:$B, 2, FALSE)</f>
        <v>Reparação e manutenção de objetos e equipamentos pessoais e domésticos</v>
      </c>
      <c r="E4551" s="4">
        <v>21906.633577870001</v>
      </c>
      <c r="F4551" s="4">
        <v>38607591.6016405</v>
      </c>
    </row>
    <row r="4552" spans="1:6" x14ac:dyDescent="0.3">
      <c r="A4552" s="3" t="s">
        <v>29</v>
      </c>
      <c r="B4552" s="7" t="str">
        <f>VLOOKUP(VALUE(A4552), 'DICIONÁRIO UF'!$A:$B, 2, FALSE)</f>
        <v>Goiás</v>
      </c>
      <c r="C4552" s="3">
        <v>96010</v>
      </c>
      <c r="D4552" s="5" t="str">
        <f>VLOOKUP(C4552, 'DICIONÁRIO CNAES'!$A:$B, 2, FALSE)</f>
        <v>Lavanderias, tinturarias e toalheiros</v>
      </c>
      <c r="E4552" s="4">
        <v>5853.7310264500002</v>
      </c>
      <c r="F4552" s="4">
        <v>7121251.4388635</v>
      </c>
    </row>
    <row r="4553" spans="1:6" x14ac:dyDescent="0.3">
      <c r="A4553" s="3" t="s">
        <v>29</v>
      </c>
      <c r="B4553" s="7" t="str">
        <f>VLOOKUP(VALUE(A4553), 'DICIONÁRIO UF'!$A:$B, 2, FALSE)</f>
        <v>Goiás</v>
      </c>
      <c r="C4553" s="3">
        <v>96020</v>
      </c>
      <c r="D4553" s="5" t="str">
        <f>VLOOKUP(C4553, 'DICIONÁRIO CNAES'!$A:$B, 2, FALSE)</f>
        <v>Cabeleireiros e outras atividades de tratamento de beleza</v>
      </c>
      <c r="E4553" s="4">
        <v>83148.479355770003</v>
      </c>
      <c r="F4553" s="4">
        <v>149815742.11802971</v>
      </c>
    </row>
    <row r="4554" spans="1:6" x14ac:dyDescent="0.3">
      <c r="A4554" s="3" t="s">
        <v>29</v>
      </c>
      <c r="B4554" s="7" t="str">
        <f>VLOOKUP(VALUE(A4554), 'DICIONÁRIO UF'!$A:$B, 2, FALSE)</f>
        <v>Goiás</v>
      </c>
      <c r="C4554" s="3">
        <v>96030</v>
      </c>
      <c r="D4554" s="5" t="str">
        <f>VLOOKUP(C4554, 'DICIONÁRIO CNAES'!$A:$B, 2, FALSE)</f>
        <v xml:space="preserve">Atividades funerárias e serviços relacionados </v>
      </c>
      <c r="E4554" s="4">
        <v>2363.5999352099998</v>
      </c>
      <c r="F4554" s="4">
        <v>5448165.7294049999</v>
      </c>
    </row>
    <row r="4555" spans="1:6" x14ac:dyDescent="0.3">
      <c r="A4555" s="3" t="s">
        <v>29</v>
      </c>
      <c r="B4555" s="7" t="str">
        <f>VLOOKUP(VALUE(A4555), 'DICIONÁRIO UF'!$A:$B, 2, FALSE)</f>
        <v>Goiás</v>
      </c>
      <c r="C4555" s="3">
        <v>96090</v>
      </c>
      <c r="D4555" s="5" t="str">
        <f>VLOOKUP(C4555, 'DICIONÁRIO CNAES'!$A:$B, 2, FALSE)</f>
        <v>Outras atividades de serviços pessoais</v>
      </c>
      <c r="E4555" s="4">
        <v>16418.186451639998</v>
      </c>
      <c r="F4555" s="4">
        <v>30191843.425384998</v>
      </c>
    </row>
    <row r="4556" spans="1:6" x14ac:dyDescent="0.3">
      <c r="A4556" s="3" t="s">
        <v>29</v>
      </c>
      <c r="B4556" s="7" t="str">
        <f>VLOOKUP(VALUE(A4556), 'DICIONÁRIO UF'!$A:$B, 2, FALSE)</f>
        <v>Goiás</v>
      </c>
      <c r="C4556" s="3">
        <v>97000</v>
      </c>
      <c r="D4556" s="5" t="str">
        <f>VLOOKUP(C4556, 'DICIONÁRIO CNAES'!$A:$B, 2, FALSE)</f>
        <v>Serviços domésticos</v>
      </c>
      <c r="E4556" s="4">
        <v>246538.28045264</v>
      </c>
      <c r="F4556" s="4">
        <v>242888379.47525951</v>
      </c>
    </row>
    <row r="4557" spans="1:6" x14ac:dyDescent="0.3">
      <c r="A4557" s="3" t="s">
        <v>30</v>
      </c>
      <c r="B4557" s="7" t="str">
        <f>VLOOKUP(VALUE(A4557), 'DICIONÁRIO UF'!$A:$B, 2, FALSE)</f>
        <v>Distrito Federal</v>
      </c>
      <c r="C4557" s="3">
        <v>1102</v>
      </c>
      <c r="D4557" s="5" t="str">
        <f>VLOOKUP(C4557, 'DICIONÁRIO CNAES'!$A:$B, 2, FALSE)</f>
        <v>Cultivo de milho</v>
      </c>
      <c r="E4557" s="4">
        <v>2213.3419520000002</v>
      </c>
      <c r="F4557" s="4">
        <v>2790134.6159509001</v>
      </c>
    </row>
    <row r="4558" spans="1:6" x14ac:dyDescent="0.3">
      <c r="A4558" s="3" t="s">
        <v>30</v>
      </c>
      <c r="B4558" s="7" t="str">
        <f>VLOOKUP(VALUE(A4558), 'DICIONÁRIO UF'!$A:$B, 2, FALSE)</f>
        <v>Distrito Federal</v>
      </c>
      <c r="C4558" s="3">
        <v>1107</v>
      </c>
      <c r="D4558" s="5" t="str">
        <f>VLOOKUP(C4558, 'DICIONÁRIO CNAES'!$A:$B, 2, FALSE)</f>
        <v>Cultivo de soja</v>
      </c>
      <c r="E4558" s="4">
        <v>2363.90632822</v>
      </c>
      <c r="F4558" s="4">
        <v>9897663.3609529994</v>
      </c>
    </row>
    <row r="4559" spans="1:6" x14ac:dyDescent="0.3">
      <c r="A4559" s="3" t="s">
        <v>30</v>
      </c>
      <c r="B4559" s="7" t="str">
        <f>VLOOKUP(VALUE(A4559), 'DICIONÁRIO UF'!$A:$B, 2, FALSE)</f>
        <v>Distrito Federal</v>
      </c>
      <c r="C4559" s="3">
        <v>1108</v>
      </c>
      <c r="D4559" s="5" t="str">
        <f>VLOOKUP(C4559, 'DICIONÁRIO CNAES'!$A:$B, 2, FALSE)</f>
        <v>Cultivo de mandioca</v>
      </c>
      <c r="E4559" s="4">
        <v>295.76947228</v>
      </c>
      <c r="F4559" s="4">
        <v>115350.0941892</v>
      </c>
    </row>
    <row r="4560" spans="1:6" x14ac:dyDescent="0.3">
      <c r="A4560" s="3" t="s">
        <v>30</v>
      </c>
      <c r="B4560" s="7" t="str">
        <f>VLOOKUP(VALUE(A4560), 'DICIONÁRIO UF'!$A:$B, 2, FALSE)</f>
        <v>Distrito Federal</v>
      </c>
      <c r="C4560" s="3">
        <v>1109</v>
      </c>
      <c r="D4560" s="5" t="str">
        <f>VLOOKUP(C4560, 'DICIONÁRIO CNAES'!$A:$B, 2, FALSE)</f>
        <v>Cultivo de outras lavouras temporárias não especificadas anteriormente</v>
      </c>
      <c r="E4560" s="4">
        <v>879.81395487000009</v>
      </c>
      <c r="F4560" s="4">
        <v>3344667.2100300002</v>
      </c>
    </row>
    <row r="4561" spans="1:6" x14ac:dyDescent="0.3">
      <c r="A4561" s="3" t="s">
        <v>30</v>
      </c>
      <c r="B4561" s="7" t="str">
        <f>VLOOKUP(VALUE(A4561), 'DICIONÁRIO UF'!$A:$B, 2, FALSE)</f>
        <v>Distrito Federal</v>
      </c>
      <c r="C4561" s="3">
        <v>1110</v>
      </c>
      <c r="D4561" s="5" t="str">
        <f>VLOOKUP(C4561, 'DICIONÁRIO CNAES'!$A:$B, 2, FALSE)</f>
        <v>Horticultura</v>
      </c>
      <c r="E4561" s="4">
        <v>11962.60118992</v>
      </c>
      <c r="F4561" s="4">
        <v>33382293.235363498</v>
      </c>
    </row>
    <row r="4562" spans="1:6" x14ac:dyDescent="0.3">
      <c r="A4562" s="3" t="s">
        <v>30</v>
      </c>
      <c r="B4562" s="7" t="str">
        <f>VLOOKUP(VALUE(A4562), 'DICIONÁRIO UF'!$A:$B, 2, FALSE)</f>
        <v>Distrito Federal</v>
      </c>
      <c r="C4562" s="3">
        <v>1111</v>
      </c>
      <c r="D4562" s="5" t="str">
        <f>VLOOKUP(C4562, 'DICIONÁRIO CNAES'!$A:$B, 2, FALSE)</f>
        <v>Cultivo de flores e plantas ornamentais</v>
      </c>
      <c r="E4562" s="4">
        <v>169.48269851000001</v>
      </c>
      <c r="F4562" s="4">
        <v>423706.74627499998</v>
      </c>
    </row>
    <row r="4563" spans="1:6" x14ac:dyDescent="0.3">
      <c r="A4563" s="3" t="s">
        <v>30</v>
      </c>
      <c r="B4563" s="7" t="str">
        <f>VLOOKUP(VALUE(A4563), 'DICIONÁRIO UF'!$A:$B, 2, FALSE)</f>
        <v>Distrito Federal</v>
      </c>
      <c r="C4563" s="3">
        <v>1117</v>
      </c>
      <c r="D4563" s="5" t="str">
        <f>VLOOKUP(C4563, 'DICIONÁRIO CNAES'!$A:$B, 2, FALSE)</f>
        <v>Cultivo de outras plantas e frutas de lavoura permanente não especificadas anteriormente</v>
      </c>
      <c r="E4563" s="4">
        <v>491.29620446000001</v>
      </c>
      <c r="F4563" s="4">
        <v>393036.96356800001</v>
      </c>
    </row>
    <row r="4564" spans="1:6" x14ac:dyDescent="0.3">
      <c r="A4564" s="3" t="s">
        <v>30</v>
      </c>
      <c r="B4564" s="7" t="str">
        <f>VLOOKUP(VALUE(A4564), 'DICIONÁRIO UF'!$A:$B, 2, FALSE)</f>
        <v>Distrito Federal</v>
      </c>
      <c r="C4564" s="3">
        <v>1118</v>
      </c>
      <c r="D4564" s="5" t="str">
        <f>VLOOKUP(C4564, 'DICIONÁRIO CNAES'!$A:$B, 2, FALSE)</f>
        <v>Produção de sementes e mudas certificadas</v>
      </c>
      <c r="E4564" s="4">
        <v>208.67231649999999</v>
      </c>
      <c r="F4564" s="4">
        <v>730353.10774999997</v>
      </c>
    </row>
    <row r="4565" spans="1:6" x14ac:dyDescent="0.3">
      <c r="A4565" s="3" t="s">
        <v>30</v>
      </c>
      <c r="B4565" s="7" t="str">
        <f>VLOOKUP(VALUE(A4565), 'DICIONÁRIO UF'!$A:$B, 2, FALSE)</f>
        <v>Distrito Federal</v>
      </c>
      <c r="C4565" s="3">
        <v>1201</v>
      </c>
      <c r="D4565" s="5" t="str">
        <f>VLOOKUP(C4565, 'DICIONÁRIO CNAES'!$A:$B, 2, FALSE)</f>
        <v>Criação de bovinos</v>
      </c>
      <c r="E4565" s="4">
        <v>1617.0708180700001</v>
      </c>
      <c r="F4565" s="4">
        <v>1692431.919129</v>
      </c>
    </row>
    <row r="4566" spans="1:6" x14ac:dyDescent="0.3">
      <c r="A4566" s="3" t="s">
        <v>30</v>
      </c>
      <c r="B4566" s="7" t="str">
        <f>VLOOKUP(VALUE(A4566), 'DICIONÁRIO UF'!$A:$B, 2, FALSE)</f>
        <v>Distrito Federal</v>
      </c>
      <c r="C4566" s="3">
        <v>1202</v>
      </c>
      <c r="D4566" s="5" t="str">
        <f>VLOOKUP(C4566, 'DICIONÁRIO CNAES'!$A:$B, 2, FALSE)</f>
        <v>Criação de outros animais de grande porte não especificados anteriormente</v>
      </c>
      <c r="E4566" s="4">
        <v>174.79199767</v>
      </c>
      <c r="F4566" s="4">
        <v>454459.19394199998</v>
      </c>
    </row>
    <row r="4567" spans="1:6" x14ac:dyDescent="0.3">
      <c r="A4567" s="3" t="s">
        <v>30</v>
      </c>
      <c r="B4567" s="7" t="str">
        <f>VLOOKUP(VALUE(A4567), 'DICIONÁRIO UF'!$A:$B, 2, FALSE)</f>
        <v>Distrito Federal</v>
      </c>
      <c r="C4567" s="3">
        <v>1203</v>
      </c>
      <c r="D4567" s="5" t="str">
        <f>VLOOKUP(C4567, 'DICIONÁRIO CNAES'!$A:$B, 2, FALSE)</f>
        <v>Criação de caprinos e ovinos</v>
      </c>
      <c r="E4567" s="4">
        <v>88.801140899999993</v>
      </c>
      <c r="F4567" s="4">
        <v>168722.16771000001</v>
      </c>
    </row>
    <row r="4568" spans="1:6" x14ac:dyDescent="0.3">
      <c r="A4568" s="3" t="s">
        <v>30</v>
      </c>
      <c r="B4568" s="7" t="str">
        <f>VLOOKUP(VALUE(A4568), 'DICIONÁRIO UF'!$A:$B, 2, FALSE)</f>
        <v>Distrito Federal</v>
      </c>
      <c r="C4568" s="3">
        <v>1204</v>
      </c>
      <c r="D4568" s="5" t="str">
        <f>VLOOKUP(C4568, 'DICIONÁRIO CNAES'!$A:$B, 2, FALSE)</f>
        <v>Criação de suínos</v>
      </c>
      <c r="E4568" s="4">
        <v>421.94873202999997</v>
      </c>
      <c r="F4568" s="4">
        <v>1140618.7110329999</v>
      </c>
    </row>
    <row r="4569" spans="1:6" x14ac:dyDescent="0.3">
      <c r="A4569" s="3" t="s">
        <v>30</v>
      </c>
      <c r="B4569" s="7" t="str">
        <f>VLOOKUP(VALUE(A4569), 'DICIONÁRIO UF'!$A:$B, 2, FALSE)</f>
        <v>Distrito Federal</v>
      </c>
      <c r="C4569" s="3">
        <v>1205</v>
      </c>
      <c r="D4569" s="5" t="str">
        <f>VLOOKUP(C4569, 'DICIONÁRIO CNAES'!$A:$B, 2, FALSE)</f>
        <v>Criação de aves</v>
      </c>
      <c r="E4569" s="4">
        <v>4702.7381496999997</v>
      </c>
      <c r="F4569" s="4">
        <v>12339713.3934744</v>
      </c>
    </row>
    <row r="4570" spans="1:6" x14ac:dyDescent="0.3">
      <c r="A4570" s="3" t="s">
        <v>30</v>
      </c>
      <c r="B4570" s="7" t="str">
        <f>VLOOKUP(VALUE(A4570), 'DICIONÁRIO UF'!$A:$B, 2, FALSE)</f>
        <v>Distrito Federal</v>
      </c>
      <c r="C4570" s="3">
        <v>1206</v>
      </c>
      <c r="D4570" s="5" t="str">
        <f>VLOOKUP(C4570, 'DICIONÁRIO CNAES'!$A:$B, 2, FALSE)</f>
        <v>Apicultura</v>
      </c>
      <c r="E4570" s="4">
        <v>371.65885958000001</v>
      </c>
      <c r="F4570" s="4">
        <v>594654.17532799998</v>
      </c>
    </row>
    <row r="4571" spans="1:6" x14ac:dyDescent="0.3">
      <c r="A4571" s="3" t="s">
        <v>30</v>
      </c>
      <c r="B4571" s="7" t="str">
        <f>VLOOKUP(VALUE(A4571), 'DICIONÁRIO UF'!$A:$B, 2, FALSE)</f>
        <v>Distrito Federal</v>
      </c>
      <c r="C4571" s="3">
        <v>1401</v>
      </c>
      <c r="D4571" s="5" t="str">
        <f>VLOOKUP(C4571, 'DICIONÁRIO CNAES'!$A:$B, 2, FALSE)</f>
        <v>Atividades de apoio à agricultura e pós-colheita</v>
      </c>
      <c r="E4571" s="4">
        <v>1019.6175005699999</v>
      </c>
      <c r="F4571" s="4">
        <v>4904116.6110450001</v>
      </c>
    </row>
    <row r="4572" spans="1:6" x14ac:dyDescent="0.3">
      <c r="A4572" s="3" t="s">
        <v>30</v>
      </c>
      <c r="B4572" s="7" t="str">
        <f>VLOOKUP(VALUE(A4572), 'DICIONÁRIO UF'!$A:$B, 2, FALSE)</f>
        <v>Distrito Federal</v>
      </c>
      <c r="C4572" s="3">
        <v>1402</v>
      </c>
      <c r="D4572" s="5" t="str">
        <f>VLOOKUP(C4572, 'DICIONÁRIO CNAES'!$A:$B, 2, FALSE)</f>
        <v xml:space="preserve">Atividades de apoio à pecuária </v>
      </c>
      <c r="E4572" s="4">
        <v>430.79155172999998</v>
      </c>
      <c r="F4572" s="4">
        <v>692135.73251600005</v>
      </c>
    </row>
    <row r="4573" spans="1:6" x14ac:dyDescent="0.3">
      <c r="A4573" s="3" t="s">
        <v>30</v>
      </c>
      <c r="B4573" s="7" t="str">
        <f>VLOOKUP(VALUE(A4573), 'DICIONÁRIO UF'!$A:$B, 2, FALSE)</f>
        <v>Distrito Federal</v>
      </c>
      <c r="C4573" s="3">
        <v>1999</v>
      </c>
      <c r="D4573" s="5" t="str">
        <f>VLOOKUP(C4573, 'DICIONÁRIO CNAES'!$A:$B, 2, FALSE)</f>
        <v>Agropecuária</v>
      </c>
      <c r="E4573" s="4">
        <v>94.995779959999993</v>
      </c>
      <c r="F4573" s="4">
        <v>550975.52376799996</v>
      </c>
    </row>
    <row r="4574" spans="1:6" x14ac:dyDescent="0.3">
      <c r="A4574" s="3" t="s">
        <v>30</v>
      </c>
      <c r="B4574" s="7" t="str">
        <f>VLOOKUP(VALUE(A4574), 'DICIONÁRIO UF'!$A:$B, 2, FALSE)</f>
        <v>Distrito Federal</v>
      </c>
      <c r="C4574" s="3">
        <v>2000</v>
      </c>
      <c r="D4574" s="5" t="str">
        <f>VLOOKUP(C4574, 'DICIONÁRIO CNAES'!$A:$B, 2, FALSE)</f>
        <v xml:space="preserve">Produção florestal </v>
      </c>
      <c r="E4574" s="4">
        <v>483.76556721999998</v>
      </c>
      <c r="F4574" s="4">
        <v>532142.12394199998</v>
      </c>
    </row>
    <row r="4575" spans="1:6" x14ac:dyDescent="0.3">
      <c r="A4575" s="3" t="s">
        <v>30</v>
      </c>
      <c r="B4575" s="7" t="str">
        <f>VLOOKUP(VALUE(A4575), 'DICIONÁRIO UF'!$A:$B, 2, FALSE)</f>
        <v>Distrito Federal</v>
      </c>
      <c r="C4575" s="3">
        <v>10010</v>
      </c>
      <c r="D4575" s="5" t="str">
        <f>VLOOKUP(C4575, 'DICIONÁRIO CNAES'!$A:$B, 2, FALSE)</f>
        <v xml:space="preserve">Abate e fabricação de produtos de carne e pescado </v>
      </c>
      <c r="E4575" s="4">
        <v>443.37045489000002</v>
      </c>
      <c r="F4575" s="4">
        <v>798947.34870500001</v>
      </c>
    </row>
    <row r="4576" spans="1:6" x14ac:dyDescent="0.3">
      <c r="A4576" s="3" t="s">
        <v>30</v>
      </c>
      <c r="B4576" s="7" t="str">
        <f>VLOOKUP(VALUE(A4576), 'DICIONÁRIO UF'!$A:$B, 2, FALSE)</f>
        <v>Distrito Federal</v>
      </c>
      <c r="C4576" s="3">
        <v>10030</v>
      </c>
      <c r="D4576" s="5" t="str">
        <f>VLOOKUP(C4576, 'DICIONÁRIO CNAES'!$A:$B, 2, FALSE)</f>
        <v>Laticínios</v>
      </c>
      <c r="E4576" s="4">
        <v>1171.0939172200001</v>
      </c>
      <c r="F4576" s="4">
        <v>256117.14205028</v>
      </c>
    </row>
    <row r="4577" spans="1:6" x14ac:dyDescent="0.3">
      <c r="A4577" s="3" t="s">
        <v>30</v>
      </c>
      <c r="B4577" s="7" t="str">
        <f>VLOOKUP(VALUE(A4577), 'DICIONÁRIO UF'!$A:$B, 2, FALSE)</f>
        <v>Distrito Federal</v>
      </c>
      <c r="C4577" s="3">
        <v>10091</v>
      </c>
      <c r="D4577" s="5" t="str">
        <f>VLOOKUP(C4577, 'DICIONÁRIO CNAES'!$A:$B, 2, FALSE)</f>
        <v>Moagem, fabricação de produtos amiláceos e de alimentos para animais</v>
      </c>
      <c r="E4577" s="4">
        <v>1539.71194612</v>
      </c>
      <c r="F4577" s="4">
        <v>2722176.072954</v>
      </c>
    </row>
    <row r="4578" spans="1:6" x14ac:dyDescent="0.3">
      <c r="A4578" s="3" t="s">
        <v>30</v>
      </c>
      <c r="B4578" s="7" t="str">
        <f>VLOOKUP(VALUE(A4578), 'DICIONÁRIO UF'!$A:$B, 2, FALSE)</f>
        <v>Distrito Federal</v>
      </c>
      <c r="C4578" s="3">
        <v>10099</v>
      </c>
      <c r="D4578" s="5" t="str">
        <f>VLOOKUP(C4578, 'DICIONÁRIO CNAES'!$A:$B, 2, FALSE)</f>
        <v>Fabricação de outros produtos alimentícios</v>
      </c>
      <c r="E4578" s="4">
        <v>917.58496316000003</v>
      </c>
      <c r="F4578" s="4">
        <v>610286.62029200001</v>
      </c>
    </row>
    <row r="4579" spans="1:6" x14ac:dyDescent="0.3">
      <c r="A4579" s="3" t="s">
        <v>30</v>
      </c>
      <c r="B4579" s="7" t="str">
        <f>VLOOKUP(VALUE(A4579), 'DICIONÁRIO UF'!$A:$B, 2, FALSE)</f>
        <v>Distrito Federal</v>
      </c>
      <c r="C4579" s="3">
        <v>11000</v>
      </c>
      <c r="D4579" s="5" t="str">
        <f>VLOOKUP(C4579, 'DICIONÁRIO CNAES'!$A:$B, 2, FALSE)</f>
        <v>Fabricação de bebidas</v>
      </c>
      <c r="E4579" s="4">
        <v>90.222773149999995</v>
      </c>
      <c r="F4579" s="4">
        <v>135334.159725</v>
      </c>
    </row>
    <row r="4580" spans="1:6" x14ac:dyDescent="0.3">
      <c r="A4580" s="3" t="s">
        <v>30</v>
      </c>
      <c r="B4580" s="7" t="str">
        <f>VLOOKUP(VALUE(A4580), 'DICIONÁRIO UF'!$A:$B, 2, FALSE)</f>
        <v>Distrito Federal</v>
      </c>
      <c r="C4580" s="3">
        <v>13002</v>
      </c>
      <c r="D4580" s="5" t="str">
        <f>VLOOKUP(C4580, 'DICIONÁRIO CNAES'!$A:$B, 2, FALSE)</f>
        <v>Fabricação de artefatos têxteis, exceto vestuário</v>
      </c>
      <c r="E4580" s="4">
        <v>5967.8909412900002</v>
      </c>
      <c r="F4580" s="4">
        <v>5276559.30284415</v>
      </c>
    </row>
    <row r="4581" spans="1:6" x14ac:dyDescent="0.3">
      <c r="A4581" s="3" t="s">
        <v>30</v>
      </c>
      <c r="B4581" s="7" t="str">
        <f>VLOOKUP(VALUE(A4581), 'DICIONÁRIO UF'!$A:$B, 2, FALSE)</f>
        <v>Distrito Federal</v>
      </c>
      <c r="C4581" s="3">
        <v>14001</v>
      </c>
      <c r="D4581" s="5" t="str">
        <f>VLOOKUP(C4581, 'DICIONÁRIO CNAES'!$A:$B, 2, FALSE)</f>
        <v>Confecção de artigos do vestuário e acessórios, exceto sob medida</v>
      </c>
      <c r="E4581" s="4">
        <v>3484.50789635</v>
      </c>
      <c r="F4581" s="4">
        <v>6611752.0416631503</v>
      </c>
    </row>
    <row r="4582" spans="1:6" x14ac:dyDescent="0.3">
      <c r="A4582" s="3" t="s">
        <v>30</v>
      </c>
      <c r="B4582" s="7" t="str">
        <f>VLOOKUP(VALUE(A4582), 'DICIONÁRIO UF'!$A:$B, 2, FALSE)</f>
        <v>Distrito Federal</v>
      </c>
      <c r="C4582" s="3">
        <v>14002</v>
      </c>
      <c r="D4582" s="5" t="str">
        <f>VLOOKUP(C4582, 'DICIONÁRIO CNAES'!$A:$B, 2, FALSE)</f>
        <v>Confecção, sob medida, de artigos do vestuário</v>
      </c>
      <c r="E4582" s="4">
        <v>6065.2423637499996</v>
      </c>
      <c r="F4582" s="4">
        <v>4670985.2061620001</v>
      </c>
    </row>
    <row r="4583" spans="1:6" x14ac:dyDescent="0.3">
      <c r="A4583" s="3" t="s">
        <v>30</v>
      </c>
      <c r="B4583" s="7" t="str">
        <f>VLOOKUP(VALUE(A4583), 'DICIONÁRIO UF'!$A:$B, 2, FALSE)</f>
        <v>Distrito Federal</v>
      </c>
      <c r="C4583" s="3">
        <v>16002</v>
      </c>
      <c r="D4583" s="5" t="str">
        <f>VLOOKUP(C4583, 'DICIONÁRIO CNAES'!$A:$B, 2, FALSE)</f>
        <v>Fabricação de produtos de madeira, cortiça e material trançado, exceto móveis</v>
      </c>
      <c r="E4583" s="4">
        <v>2634.0344823999999</v>
      </c>
      <c r="F4583" s="4">
        <v>3709074.4012540001</v>
      </c>
    </row>
    <row r="4584" spans="1:6" x14ac:dyDescent="0.3">
      <c r="A4584" s="3" t="s">
        <v>30</v>
      </c>
      <c r="B4584" s="7" t="str">
        <f>VLOOKUP(VALUE(A4584), 'DICIONÁRIO UF'!$A:$B, 2, FALSE)</f>
        <v>Distrito Federal</v>
      </c>
      <c r="C4584" s="3">
        <v>18000</v>
      </c>
      <c r="D4584" s="5" t="str">
        <f>VLOOKUP(C4584, 'DICIONÁRIO CNAES'!$A:$B, 2, FALSE)</f>
        <v>Impressão e reprodução de gravações</v>
      </c>
      <c r="E4584" s="4">
        <v>2494.7233677700001</v>
      </c>
      <c r="F4584" s="4">
        <v>3831233.9232057999</v>
      </c>
    </row>
    <row r="4585" spans="1:6" x14ac:dyDescent="0.3">
      <c r="A4585" s="3" t="s">
        <v>30</v>
      </c>
      <c r="B4585" s="7" t="str">
        <f>VLOOKUP(VALUE(A4585), 'DICIONÁRIO UF'!$A:$B, 2, FALSE)</f>
        <v>Distrito Federal</v>
      </c>
      <c r="C4585" s="3">
        <v>21000</v>
      </c>
      <c r="D4585" s="5" t="str">
        <f>VLOOKUP(C4585, 'DICIONÁRIO CNAES'!$A:$B, 2, FALSE)</f>
        <v>Fabricação de produtos farmoquimicos e farmacêuticos</v>
      </c>
      <c r="E4585" s="4">
        <v>1038.8159473000001</v>
      </c>
      <c r="F4585" s="4">
        <v>3985687.1092035002</v>
      </c>
    </row>
    <row r="4586" spans="1:6" x14ac:dyDescent="0.3">
      <c r="A4586" s="3" t="s">
        <v>30</v>
      </c>
      <c r="B4586" s="7" t="str">
        <f>VLOOKUP(VALUE(A4586), 'DICIONÁRIO UF'!$A:$B, 2, FALSE)</f>
        <v>Distrito Federal</v>
      </c>
      <c r="C4586" s="3">
        <v>22020</v>
      </c>
      <c r="D4586" s="5" t="str">
        <f>VLOOKUP(C4586, 'DICIONÁRIO CNAES'!$A:$B, 2, FALSE)</f>
        <v>Fabricação de produtos de material plástico</v>
      </c>
      <c r="E4586" s="4">
        <v>310.05877987999997</v>
      </c>
      <c r="F4586" s="4">
        <v>46508.816981999997</v>
      </c>
    </row>
    <row r="4587" spans="1:6" x14ac:dyDescent="0.3">
      <c r="A4587" s="3" t="s">
        <v>30</v>
      </c>
      <c r="B4587" s="7" t="str">
        <f>VLOOKUP(VALUE(A4587), 'DICIONÁRIO UF'!$A:$B, 2, FALSE)</f>
        <v>Distrito Federal</v>
      </c>
      <c r="C4587" s="3">
        <v>23010</v>
      </c>
      <c r="D4587" s="5" t="str">
        <f>VLOOKUP(C4587, 'DICIONÁRIO CNAES'!$A:$B, 2, FALSE)</f>
        <v>Fabricação de vidro e produtos de vidro</v>
      </c>
      <c r="E4587" s="4">
        <v>872.48316736000004</v>
      </c>
      <c r="F4587" s="4">
        <v>1308724.75104</v>
      </c>
    </row>
    <row r="4588" spans="1:6" x14ac:dyDescent="0.3">
      <c r="A4588" s="3" t="s">
        <v>30</v>
      </c>
      <c r="B4588" s="7" t="str">
        <f>VLOOKUP(VALUE(A4588), 'DICIONÁRIO UF'!$A:$B, 2, FALSE)</f>
        <v>Distrito Federal</v>
      </c>
      <c r="C4588" s="3">
        <v>23091</v>
      </c>
      <c r="D4588" s="5" t="str">
        <f>VLOOKUP(C4588, 'DICIONÁRIO CNAES'!$A:$B, 2, FALSE)</f>
        <v>Fabricação de produtos cerâmicos</v>
      </c>
      <c r="E4588" s="4">
        <v>271.46771260999998</v>
      </c>
      <c r="F4588" s="4">
        <v>298614.483871</v>
      </c>
    </row>
    <row r="4589" spans="1:6" x14ac:dyDescent="0.3">
      <c r="A4589" s="3" t="s">
        <v>30</v>
      </c>
      <c r="B4589" s="7" t="str">
        <f>VLOOKUP(VALUE(A4589), 'DICIONÁRIO UF'!$A:$B, 2, FALSE)</f>
        <v>Distrito Federal</v>
      </c>
      <c r="C4589" s="3">
        <v>23099</v>
      </c>
      <c r="D4589" s="5" t="str">
        <f>VLOOKUP(C4589, 'DICIONÁRIO CNAES'!$A:$B, 2, FALSE)</f>
        <v>Fabricação de outros produtos de minerais não-metálicos não especificados anteriormente</v>
      </c>
      <c r="E4589" s="4">
        <v>986.42298448999998</v>
      </c>
      <c r="F4589" s="4">
        <v>1920159.8530339999</v>
      </c>
    </row>
    <row r="4590" spans="1:6" x14ac:dyDescent="0.3">
      <c r="A4590" s="3" t="s">
        <v>30</v>
      </c>
      <c r="B4590" s="7" t="str">
        <f>VLOOKUP(VALUE(A4590), 'DICIONÁRIO UF'!$A:$B, 2, FALSE)</f>
        <v>Distrito Federal</v>
      </c>
      <c r="C4590" s="3">
        <v>24001</v>
      </c>
      <c r="D4590" s="5" t="str">
        <f>VLOOKUP(C4590, 'DICIONÁRIO CNAES'!$A:$B, 2, FALSE)</f>
        <v>Fabricação de produtos siderúrgicos</v>
      </c>
      <c r="E4590" s="4">
        <v>1289.6836496799999</v>
      </c>
      <c r="F4590" s="4">
        <v>1547620.379616</v>
      </c>
    </row>
    <row r="4591" spans="1:6" x14ac:dyDescent="0.3">
      <c r="A4591" s="3" t="s">
        <v>30</v>
      </c>
      <c r="B4591" s="7" t="str">
        <f>VLOOKUP(VALUE(A4591), 'DICIONÁRIO UF'!$A:$B, 2, FALSE)</f>
        <v>Distrito Federal</v>
      </c>
      <c r="C4591" s="3">
        <v>25001</v>
      </c>
      <c r="D4591" s="5" t="str">
        <f>VLOOKUP(C4591, 'DICIONÁRIO CNAES'!$A:$B, 2, FALSE)</f>
        <v>Fabricação de produtos de metal, exceto máquinas e equipamentos</v>
      </c>
      <c r="E4591" s="4">
        <v>4475.3296550900004</v>
      </c>
      <c r="F4591" s="4">
        <v>8196396.7880530003</v>
      </c>
    </row>
    <row r="4592" spans="1:6" x14ac:dyDescent="0.3">
      <c r="A4592" s="3" t="s">
        <v>30</v>
      </c>
      <c r="B4592" s="7" t="str">
        <f>VLOOKUP(VALUE(A4592), 'DICIONÁRIO UF'!$A:$B, 2, FALSE)</f>
        <v>Distrito Federal</v>
      </c>
      <c r="C4592" s="3">
        <v>28000</v>
      </c>
      <c r="D4592" s="5" t="str">
        <f>VLOOKUP(C4592, 'DICIONÁRIO CNAES'!$A:$B, 2, FALSE)</f>
        <v>Fabricação de máquinas e equipamentos</v>
      </c>
      <c r="E4592" s="4">
        <v>442.56515645000002</v>
      </c>
      <c r="F4592" s="4">
        <v>1770260.6258</v>
      </c>
    </row>
    <row r="4593" spans="1:6" x14ac:dyDescent="0.3">
      <c r="A4593" s="3" t="s">
        <v>30</v>
      </c>
      <c r="B4593" s="7" t="str">
        <f>VLOOKUP(VALUE(A4593), 'DICIONÁRIO UF'!$A:$B, 2, FALSE)</f>
        <v>Distrito Federal</v>
      </c>
      <c r="C4593" s="3">
        <v>31000</v>
      </c>
      <c r="D4593" s="5" t="str">
        <f>VLOOKUP(C4593, 'DICIONÁRIO CNAES'!$A:$B, 2, FALSE)</f>
        <v>Fabricação de móveis</v>
      </c>
      <c r="E4593" s="4">
        <v>7592.2501429800004</v>
      </c>
      <c r="F4593" s="4">
        <v>13641458.070662601</v>
      </c>
    </row>
    <row r="4594" spans="1:6" x14ac:dyDescent="0.3">
      <c r="A4594" s="3" t="s">
        <v>30</v>
      </c>
      <c r="B4594" s="7" t="str">
        <f>VLOOKUP(VALUE(A4594), 'DICIONÁRIO UF'!$A:$B, 2, FALSE)</f>
        <v>Distrito Federal</v>
      </c>
      <c r="C4594" s="3">
        <v>32001</v>
      </c>
      <c r="D4594" s="5" t="str">
        <f>VLOOKUP(C4594, 'DICIONÁRIO CNAES'!$A:$B, 2, FALSE)</f>
        <v>Fabricação de artigos de joalheria, bijuteria e semelhantes</v>
      </c>
      <c r="E4594" s="4">
        <v>350.75180442999999</v>
      </c>
      <c r="F4594" s="4">
        <v>7015036.0885999994</v>
      </c>
    </row>
    <row r="4595" spans="1:6" x14ac:dyDescent="0.3">
      <c r="A4595" s="3" t="s">
        <v>30</v>
      </c>
      <c r="B4595" s="7" t="str">
        <f>VLOOKUP(VALUE(A4595), 'DICIONÁRIO UF'!$A:$B, 2, FALSE)</f>
        <v>Distrito Federal</v>
      </c>
      <c r="C4595" s="3">
        <v>32003</v>
      </c>
      <c r="D4595" s="5" t="str">
        <f>VLOOKUP(C4595, 'DICIONÁRIO CNAES'!$A:$B, 2, FALSE)</f>
        <v>Fabricação de artefatos para pesca e esporte e de brinquedos e jogos recreativos</v>
      </c>
      <c r="E4595" s="4">
        <v>223.93339660999999</v>
      </c>
      <c r="F4595" s="4">
        <v>9069302.562704999</v>
      </c>
    </row>
    <row r="4596" spans="1:6" x14ac:dyDescent="0.3">
      <c r="A4596" s="3" t="s">
        <v>30</v>
      </c>
      <c r="B4596" s="7" t="str">
        <f>VLOOKUP(VALUE(A4596), 'DICIONÁRIO UF'!$A:$B, 2, FALSE)</f>
        <v>Distrito Federal</v>
      </c>
      <c r="C4596" s="3">
        <v>32009</v>
      </c>
      <c r="D4596" s="5" t="str">
        <f>VLOOKUP(C4596, 'DICIONÁRIO CNAES'!$A:$B, 2, FALSE)</f>
        <v>Fabricação de produtos diversos</v>
      </c>
      <c r="E4596" s="4">
        <v>1071.8699833000001</v>
      </c>
      <c r="F4596" s="4">
        <v>1629144.171268</v>
      </c>
    </row>
    <row r="4597" spans="1:6" x14ac:dyDescent="0.3">
      <c r="A4597" s="3" t="s">
        <v>30</v>
      </c>
      <c r="B4597" s="7" t="str">
        <f>VLOOKUP(VALUE(A4597), 'DICIONÁRIO UF'!$A:$B, 2, FALSE)</f>
        <v>Distrito Federal</v>
      </c>
      <c r="C4597" s="3">
        <v>33001</v>
      </c>
      <c r="D4597" s="5" t="str">
        <f>VLOOKUP(C4597, 'DICIONÁRIO CNAES'!$A:$B, 2, FALSE)</f>
        <v>Manutenção e reparação de máquinas e equipamentos</v>
      </c>
      <c r="E4597" s="4">
        <v>551.36621828</v>
      </c>
      <c r="F4597" s="4">
        <v>1323278.9238720001</v>
      </c>
    </row>
    <row r="4598" spans="1:6" x14ac:dyDescent="0.3">
      <c r="A4598" s="3" t="s">
        <v>30</v>
      </c>
      <c r="B4598" s="7" t="str">
        <f>VLOOKUP(VALUE(A4598), 'DICIONÁRIO UF'!$A:$B, 2, FALSE)</f>
        <v>Distrito Federal</v>
      </c>
      <c r="C4598" s="3">
        <v>33002</v>
      </c>
      <c r="D4598" s="5" t="str">
        <f>VLOOKUP(C4598, 'DICIONÁRIO CNAES'!$A:$B, 2, FALSE)</f>
        <v>Instalação de máquinas e equipamentos</v>
      </c>
      <c r="E4598" s="4">
        <v>604.96477733999996</v>
      </c>
      <c r="F4598" s="4">
        <v>1316216.2114899999</v>
      </c>
    </row>
    <row r="4599" spans="1:6" x14ac:dyDescent="0.3">
      <c r="A4599" s="3" t="s">
        <v>30</v>
      </c>
      <c r="B4599" s="7" t="str">
        <f>VLOOKUP(VALUE(A4599), 'DICIONÁRIO UF'!$A:$B, 2, FALSE)</f>
        <v>Distrito Federal</v>
      </c>
      <c r="C4599" s="3">
        <v>35010</v>
      </c>
      <c r="D4599" s="5" t="str">
        <f>VLOOKUP(C4599, 'DICIONÁRIO CNAES'!$A:$B, 2, FALSE)</f>
        <v>Geração, transmissão e distribuição de energia elétrica</v>
      </c>
      <c r="E4599" s="4">
        <v>2300.1973463499999</v>
      </c>
      <c r="F4599" s="4">
        <v>14414535.9373475</v>
      </c>
    </row>
    <row r="4600" spans="1:6" x14ac:dyDescent="0.3">
      <c r="A4600" s="3" t="s">
        <v>30</v>
      </c>
      <c r="B4600" s="7" t="str">
        <f>VLOOKUP(VALUE(A4600), 'DICIONÁRIO UF'!$A:$B, 2, FALSE)</f>
        <v>Distrito Federal</v>
      </c>
      <c r="C4600" s="3">
        <v>35021</v>
      </c>
      <c r="D4600" s="5" t="str">
        <f>VLOOKUP(C4600, 'DICIONÁRIO CNAES'!$A:$B, 2, FALSE)</f>
        <v>Produção e distribuição de combustíveis gasosos por redes urbanas</v>
      </c>
      <c r="E4600" s="4">
        <v>571.46745629999998</v>
      </c>
      <c r="F4600" s="4">
        <v>857201.18444999994</v>
      </c>
    </row>
    <row r="4601" spans="1:6" x14ac:dyDescent="0.3">
      <c r="A4601" s="3" t="s">
        <v>30</v>
      </c>
      <c r="B4601" s="7" t="str">
        <f>VLOOKUP(VALUE(A4601), 'DICIONÁRIO UF'!$A:$B, 2, FALSE)</f>
        <v>Distrito Federal</v>
      </c>
      <c r="C4601" s="3">
        <v>36000</v>
      </c>
      <c r="D4601" s="5" t="str">
        <f>VLOOKUP(C4601, 'DICIONÁRIO CNAES'!$A:$B, 2, FALSE)</f>
        <v>Captação, tratamento e distribuição de água</v>
      </c>
      <c r="E4601" s="4">
        <v>773.20130518999997</v>
      </c>
      <c r="F4601" s="4">
        <v>9147307.9999230001</v>
      </c>
    </row>
    <row r="4602" spans="1:6" x14ac:dyDescent="0.3">
      <c r="A4602" s="3" t="s">
        <v>30</v>
      </c>
      <c r="B4602" s="7" t="str">
        <f>VLOOKUP(VALUE(A4602), 'DICIONÁRIO UF'!$A:$B, 2, FALSE)</f>
        <v>Distrito Federal</v>
      </c>
      <c r="C4602" s="3">
        <v>38000</v>
      </c>
      <c r="D4602" s="5" t="str">
        <f>VLOOKUP(C4602, 'DICIONÁRIO CNAES'!$A:$B, 2, FALSE)</f>
        <v>Coleta, tratamento e disposição de resíduos; recuperação de materiais</v>
      </c>
      <c r="E4602" s="4">
        <v>4897.5593126699996</v>
      </c>
      <c r="F4602" s="4">
        <v>12439107.834491501</v>
      </c>
    </row>
    <row r="4603" spans="1:6" x14ac:dyDescent="0.3">
      <c r="A4603" s="3" t="s">
        <v>30</v>
      </c>
      <c r="B4603" s="7" t="str">
        <f>VLOOKUP(VALUE(A4603), 'DICIONÁRIO UF'!$A:$B, 2, FALSE)</f>
        <v>Distrito Federal</v>
      </c>
      <c r="C4603" s="3">
        <v>41000</v>
      </c>
      <c r="D4603" s="5" t="str">
        <f>VLOOKUP(C4603, 'DICIONÁRIO CNAES'!$A:$B, 2, FALSE)</f>
        <v>Construção de edifícios</v>
      </c>
      <c r="E4603" s="4">
        <v>56339.105831339999</v>
      </c>
      <c r="F4603" s="4">
        <v>119984262.7976075</v>
      </c>
    </row>
    <row r="4604" spans="1:6" x14ac:dyDescent="0.3">
      <c r="A4604" s="3" t="s">
        <v>30</v>
      </c>
      <c r="B4604" s="7" t="str">
        <f>VLOOKUP(VALUE(A4604), 'DICIONÁRIO UF'!$A:$B, 2, FALSE)</f>
        <v>Distrito Federal</v>
      </c>
      <c r="C4604" s="3">
        <v>42000</v>
      </c>
      <c r="D4604" s="5" t="str">
        <f>VLOOKUP(C4604, 'DICIONÁRIO CNAES'!$A:$B, 2, FALSE)</f>
        <v>Construção de obras de infra-estrutura</v>
      </c>
      <c r="E4604" s="4">
        <v>4671.6866172800001</v>
      </c>
      <c r="F4604" s="4">
        <v>12506049.919436799</v>
      </c>
    </row>
    <row r="4605" spans="1:6" x14ac:dyDescent="0.3">
      <c r="A4605" s="3" t="s">
        <v>30</v>
      </c>
      <c r="B4605" s="7" t="str">
        <f>VLOOKUP(VALUE(A4605), 'DICIONÁRIO UF'!$A:$B, 2, FALSE)</f>
        <v>Distrito Federal</v>
      </c>
      <c r="C4605" s="3">
        <v>43000</v>
      </c>
      <c r="D4605" s="5" t="str">
        <f>VLOOKUP(C4605, 'DICIONÁRIO CNAES'!$A:$B, 2, FALSE)</f>
        <v>Serviços especializados para construção</v>
      </c>
      <c r="E4605" s="4">
        <v>23008.042616530001</v>
      </c>
      <c r="F4605" s="4">
        <v>51889517.189256169</v>
      </c>
    </row>
    <row r="4606" spans="1:6" x14ac:dyDescent="0.3">
      <c r="A4606" s="3" t="s">
        <v>30</v>
      </c>
      <c r="B4606" s="7" t="str">
        <f>VLOOKUP(VALUE(A4606), 'DICIONÁRIO UF'!$A:$B, 2, FALSE)</f>
        <v>Distrito Federal</v>
      </c>
      <c r="C4606" s="3">
        <v>45010</v>
      </c>
      <c r="D4606" s="5" t="str">
        <f>VLOOKUP(C4606, 'DICIONÁRIO CNAES'!$A:$B, 2, FALSE)</f>
        <v>Comércio de veículos automotores</v>
      </c>
      <c r="E4606" s="4">
        <v>10807.941136130001</v>
      </c>
      <c r="F4606" s="4">
        <v>26797289.33060424</v>
      </c>
    </row>
    <row r="4607" spans="1:6" x14ac:dyDescent="0.3">
      <c r="A4607" s="3" t="s">
        <v>30</v>
      </c>
      <c r="B4607" s="7" t="str">
        <f>VLOOKUP(VALUE(A4607), 'DICIONÁRIO UF'!$A:$B, 2, FALSE)</f>
        <v>Distrito Federal</v>
      </c>
      <c r="C4607" s="3">
        <v>45020</v>
      </c>
      <c r="D4607" s="5" t="str">
        <f>VLOOKUP(C4607, 'DICIONÁRIO CNAES'!$A:$B, 2, FALSE)</f>
        <v>Manutenção e reparação de veículos automotores</v>
      </c>
      <c r="E4607" s="4">
        <v>19086.53580437</v>
      </c>
      <c r="F4607" s="4">
        <v>46667994.344503053</v>
      </c>
    </row>
    <row r="4608" spans="1:6" x14ac:dyDescent="0.3">
      <c r="A4608" s="3" t="s">
        <v>30</v>
      </c>
      <c r="B4608" s="7" t="str">
        <f>VLOOKUP(VALUE(A4608), 'DICIONÁRIO UF'!$A:$B, 2, FALSE)</f>
        <v>Distrito Federal</v>
      </c>
      <c r="C4608" s="3">
        <v>45030</v>
      </c>
      <c r="D4608" s="5" t="str">
        <f>VLOOKUP(C4608, 'DICIONÁRIO CNAES'!$A:$B, 2, FALSE)</f>
        <v>Comércio de peças e acessórios para veículos automotores</v>
      </c>
      <c r="E4608" s="4">
        <v>5606.1120323699997</v>
      </c>
      <c r="F4608" s="4">
        <v>23743646.885063998</v>
      </c>
    </row>
    <row r="4609" spans="1:6" x14ac:dyDescent="0.3">
      <c r="A4609" s="3" t="s">
        <v>30</v>
      </c>
      <c r="B4609" s="7" t="str">
        <f>VLOOKUP(VALUE(A4609), 'DICIONÁRIO UF'!$A:$B, 2, FALSE)</f>
        <v>Distrito Federal</v>
      </c>
      <c r="C4609" s="3">
        <v>45040</v>
      </c>
      <c r="D4609" s="5" t="str">
        <f>VLOOKUP(C4609, 'DICIONÁRIO CNAES'!$A:$B, 2, FALSE)</f>
        <v>Comércio, manutenção e reparação de motocicletas, peças e acessórios</v>
      </c>
      <c r="E4609" s="4">
        <v>894.57621577999998</v>
      </c>
      <c r="F4609" s="4">
        <v>2360840.704895</v>
      </c>
    </row>
    <row r="4610" spans="1:6" x14ac:dyDescent="0.3">
      <c r="A4610" s="3" t="s">
        <v>30</v>
      </c>
      <c r="B4610" s="7" t="str">
        <f>VLOOKUP(VALUE(A4610), 'DICIONÁRIO UF'!$A:$B, 2, FALSE)</f>
        <v>Distrito Federal</v>
      </c>
      <c r="C4610" s="3">
        <v>48010</v>
      </c>
      <c r="D4610" s="5" t="str">
        <f>VLOOKUP(C4610, 'DICIONÁRIO CNAES'!$A:$B, 2, FALSE)</f>
        <v>Representantes comerciais e agentes do comércio, exceto de veículos automotores e motocicletas</v>
      </c>
      <c r="E4610" s="4">
        <v>534.90635583999995</v>
      </c>
      <c r="F4610" s="4">
        <v>588396.99142399989</v>
      </c>
    </row>
    <row r="4611" spans="1:6" x14ac:dyDescent="0.3">
      <c r="A4611" s="3" t="s">
        <v>30</v>
      </c>
      <c r="B4611" s="7" t="str">
        <f>VLOOKUP(VALUE(A4611), 'DICIONÁRIO UF'!$A:$B, 2, FALSE)</f>
        <v>Distrito Federal</v>
      </c>
      <c r="C4611" s="3">
        <v>48020</v>
      </c>
      <c r="D4611" s="5" t="str">
        <f>VLOOKUP(C4611, 'DICIONÁRIO CNAES'!$A:$B, 2, FALSE)</f>
        <v>Comércio de matérias-primas agrícolas e animais vivos</v>
      </c>
      <c r="E4611" s="4">
        <v>548.74532355000008</v>
      </c>
      <c r="F4611" s="4">
        <v>1303224.5180250001</v>
      </c>
    </row>
    <row r="4612" spans="1:6" x14ac:dyDescent="0.3">
      <c r="A4612" s="3" t="s">
        <v>30</v>
      </c>
      <c r="B4612" s="7" t="str">
        <f>VLOOKUP(VALUE(A4612), 'DICIONÁRIO UF'!$A:$B, 2, FALSE)</f>
        <v>Distrito Federal</v>
      </c>
      <c r="C4612" s="3">
        <v>48030</v>
      </c>
      <c r="D4612" s="5" t="str">
        <f>VLOOKUP(C4612, 'DICIONÁRIO CNAES'!$A:$B, 2, FALSE)</f>
        <v>Comércio de produtos alimentícios, bebidas e fumo</v>
      </c>
      <c r="E4612" s="4">
        <v>42342.76057246</v>
      </c>
      <c r="F4612" s="4">
        <v>100361752.2454911</v>
      </c>
    </row>
    <row r="4613" spans="1:6" x14ac:dyDescent="0.3">
      <c r="A4613" s="3" t="s">
        <v>30</v>
      </c>
      <c r="B4613" s="7" t="str">
        <f>VLOOKUP(VALUE(A4613), 'DICIONÁRIO UF'!$A:$B, 2, FALSE)</f>
        <v>Distrito Federal</v>
      </c>
      <c r="C4613" s="3">
        <v>48041</v>
      </c>
      <c r="D4613" s="5" t="str">
        <f>VLOOKUP(C4613, 'DICIONÁRIO CNAES'!$A:$B, 2, FALSE)</f>
        <v>Comércio de tecidos, artefatos de tecidos e armarinho</v>
      </c>
      <c r="E4613" s="4">
        <v>1552.90484124</v>
      </c>
      <c r="F4613" s="4">
        <v>4374169.4950479995</v>
      </c>
    </row>
    <row r="4614" spans="1:6" x14ac:dyDescent="0.3">
      <c r="A4614" s="3" t="s">
        <v>30</v>
      </c>
      <c r="B4614" s="7" t="str">
        <f>VLOOKUP(VALUE(A4614), 'DICIONÁRIO UF'!$A:$B, 2, FALSE)</f>
        <v>Distrito Federal</v>
      </c>
      <c r="C4614" s="3">
        <v>48042</v>
      </c>
      <c r="D4614" s="5" t="str">
        <f>VLOOKUP(C4614, 'DICIONÁRIO CNAES'!$A:$B, 2, FALSE)</f>
        <v>Comércio de artigos do vestuário, complementos, calçados e artigos de viagem</v>
      </c>
      <c r="E4614" s="4">
        <v>25376.376625780002</v>
      </c>
      <c r="F4614" s="4">
        <v>45638217.825219199</v>
      </c>
    </row>
    <row r="4615" spans="1:6" x14ac:dyDescent="0.3">
      <c r="A4615" s="3" t="s">
        <v>30</v>
      </c>
      <c r="B4615" s="7" t="str">
        <f>VLOOKUP(VALUE(A4615), 'DICIONÁRIO UF'!$A:$B, 2, FALSE)</f>
        <v>Distrito Federal</v>
      </c>
      <c r="C4615" s="3">
        <v>48050</v>
      </c>
      <c r="D4615" s="5" t="str">
        <f>VLOOKUP(C4615, 'DICIONÁRIO CNAES'!$A:$B, 2, FALSE)</f>
        <v>Comércio de madeira, material de construção, ferragens e ferramentas</v>
      </c>
      <c r="E4615" s="4">
        <v>13244.33761805</v>
      </c>
      <c r="F4615" s="4">
        <v>36044891.436451703</v>
      </c>
    </row>
    <row r="4616" spans="1:6" x14ac:dyDescent="0.3">
      <c r="A4616" s="3" t="s">
        <v>30</v>
      </c>
      <c r="B4616" s="7" t="str">
        <f>VLOOKUP(VALUE(A4616), 'DICIONÁRIO UF'!$A:$B, 2, FALSE)</f>
        <v>Distrito Federal</v>
      </c>
      <c r="C4616" s="3">
        <v>48060</v>
      </c>
      <c r="D4616" s="5" t="str">
        <f>VLOOKUP(C4616, 'DICIONÁRIO CNAES'!$A:$B, 2, FALSE)</f>
        <v>Comércio de combustíveis para veículos automotores</v>
      </c>
      <c r="E4616" s="4">
        <v>4701.7132275499998</v>
      </c>
      <c r="F4616" s="4">
        <v>9149251.0184819996</v>
      </c>
    </row>
    <row r="4617" spans="1:6" x14ac:dyDescent="0.3">
      <c r="A4617" s="3" t="s">
        <v>30</v>
      </c>
      <c r="B4617" s="7" t="str">
        <f>VLOOKUP(VALUE(A4617), 'DICIONÁRIO UF'!$A:$B, 2, FALSE)</f>
        <v>Distrito Federal</v>
      </c>
      <c r="C4617" s="3">
        <v>48071</v>
      </c>
      <c r="D4617" s="5" t="str">
        <f>VLOOKUP(C4617, 'DICIONÁRIO CNAES'!$A:$B, 2, FALSE)</f>
        <v>Comércio de produtos farmaceuticos, médicos, ortopédicos, odontológicos e de cosméticos e perfumaria</v>
      </c>
      <c r="E4617" s="4">
        <v>25030.70559989</v>
      </c>
      <c r="F4617" s="4">
        <v>45067318.058833249</v>
      </c>
    </row>
    <row r="4618" spans="1:6" x14ac:dyDescent="0.3">
      <c r="A4618" s="3" t="s">
        <v>30</v>
      </c>
      <c r="B4618" s="7" t="str">
        <f>VLOOKUP(VALUE(A4618), 'DICIONÁRIO UF'!$A:$B, 2, FALSE)</f>
        <v>Distrito Federal</v>
      </c>
      <c r="C4618" s="3">
        <v>48072</v>
      </c>
      <c r="D4618" s="5" t="str">
        <f>VLOOKUP(C4618, 'DICIONÁRIO CNAES'!$A:$B, 2, FALSE)</f>
        <v>Comércio de artigos de escritório e de papelaria; livros, jornais e outras publicações</v>
      </c>
      <c r="E4618" s="4">
        <v>3417.9356367199998</v>
      </c>
      <c r="F4618" s="4">
        <v>8342310.2421670007</v>
      </c>
    </row>
    <row r="4619" spans="1:6" x14ac:dyDescent="0.3">
      <c r="A4619" s="3" t="s">
        <v>30</v>
      </c>
      <c r="B4619" s="7" t="str">
        <f>VLOOKUP(VALUE(A4619), 'DICIONÁRIO UF'!$A:$B, 2, FALSE)</f>
        <v>Distrito Federal</v>
      </c>
      <c r="C4619" s="3">
        <v>48073</v>
      </c>
      <c r="D4619" s="5" t="str">
        <f>VLOOKUP(C4619, 'DICIONÁRIO CNAES'!$A:$B, 2, FALSE)</f>
        <v>Comércio de eletrodomésticos, móveis e outros artigos de residência</v>
      </c>
      <c r="E4619" s="4">
        <v>9859.1177899800005</v>
      </c>
      <c r="F4619" s="4">
        <v>35582724.27052746</v>
      </c>
    </row>
    <row r="4620" spans="1:6" x14ac:dyDescent="0.3">
      <c r="A4620" s="3" t="s">
        <v>30</v>
      </c>
      <c r="B4620" s="7" t="str">
        <f>VLOOKUP(VALUE(A4620), 'DICIONÁRIO UF'!$A:$B, 2, FALSE)</f>
        <v>Distrito Federal</v>
      </c>
      <c r="C4620" s="3">
        <v>48074</v>
      </c>
      <c r="D4620" s="5" t="str">
        <f>VLOOKUP(C4620, 'DICIONÁRIO CNAES'!$A:$B, 2, FALSE)</f>
        <v>Comércio de equipamentos e produtos de tecnologias de informação e comunicação</v>
      </c>
      <c r="E4620" s="4">
        <v>2711.2749945199998</v>
      </c>
      <c r="F4620" s="4">
        <v>4580816.8547740001</v>
      </c>
    </row>
    <row r="4621" spans="1:6" x14ac:dyDescent="0.3">
      <c r="A4621" s="3" t="s">
        <v>30</v>
      </c>
      <c r="B4621" s="7" t="str">
        <f>VLOOKUP(VALUE(A4621), 'DICIONÁRIO UF'!$A:$B, 2, FALSE)</f>
        <v>Distrito Federal</v>
      </c>
      <c r="C4621" s="3">
        <v>48075</v>
      </c>
      <c r="D4621" s="5" t="str">
        <f>VLOOKUP(C4621, 'DICIONÁRIO CNAES'!$A:$B, 2, FALSE)</f>
        <v xml:space="preserve">Comércio de máquinas, aparelhos e equipamentos, exceto eletrodomésticos </v>
      </c>
      <c r="E4621" s="4">
        <v>1130.7832541099999</v>
      </c>
      <c r="F4621" s="4">
        <v>2343586.4247599998</v>
      </c>
    </row>
    <row r="4622" spans="1:6" x14ac:dyDescent="0.3">
      <c r="A4622" s="3" t="s">
        <v>30</v>
      </c>
      <c r="B4622" s="7" t="str">
        <f>VLOOKUP(VALUE(A4622), 'DICIONÁRIO UF'!$A:$B, 2, FALSE)</f>
        <v>Distrito Federal</v>
      </c>
      <c r="C4622" s="3">
        <v>48076</v>
      </c>
      <c r="D4622" s="5" t="str">
        <f>VLOOKUP(C4622, 'DICIONÁRIO CNAES'!$A:$B, 2, FALSE)</f>
        <v>Comércio de combustíveis sólidos, líquidos e gasosos, exceto para veículos automotores</v>
      </c>
      <c r="E4622" s="4">
        <v>268.34192293000001</v>
      </c>
      <c r="F4622" s="4">
        <v>536683.84586</v>
      </c>
    </row>
    <row r="4623" spans="1:6" x14ac:dyDescent="0.3">
      <c r="A4623" s="3" t="s">
        <v>30</v>
      </c>
      <c r="B4623" s="7" t="str">
        <f>VLOOKUP(VALUE(A4623), 'DICIONÁRIO UF'!$A:$B, 2, FALSE)</f>
        <v>Distrito Federal</v>
      </c>
      <c r="C4623" s="3">
        <v>48077</v>
      </c>
      <c r="D4623" s="5" t="str">
        <f>VLOOKUP(C4623, 'DICIONÁRIO CNAES'!$A:$B, 2, FALSE)</f>
        <v>Comércio de produtos usados</v>
      </c>
      <c r="E4623" s="4">
        <v>599.16721827000003</v>
      </c>
      <c r="F4623" s="4">
        <v>611060.45665750001</v>
      </c>
    </row>
    <row r="4624" spans="1:6" x14ac:dyDescent="0.3">
      <c r="A4624" s="3" t="s">
        <v>30</v>
      </c>
      <c r="B4624" s="7" t="str">
        <f>VLOOKUP(VALUE(A4624), 'DICIONÁRIO UF'!$A:$B, 2, FALSE)</f>
        <v>Distrito Federal</v>
      </c>
      <c r="C4624" s="3">
        <v>48078</v>
      </c>
      <c r="D4624" s="5" t="str">
        <f>VLOOKUP(C4624, 'DICIONÁRIO CNAES'!$A:$B, 2, FALSE)</f>
        <v>Comercio de residuos e sucatas</v>
      </c>
      <c r="E4624" s="4">
        <v>4958.94210234</v>
      </c>
      <c r="F4624" s="4">
        <v>3650477.6538231</v>
      </c>
    </row>
    <row r="4625" spans="1:6" x14ac:dyDescent="0.3">
      <c r="A4625" s="3" t="s">
        <v>30</v>
      </c>
      <c r="B4625" s="7" t="str">
        <f>VLOOKUP(VALUE(A4625), 'DICIONÁRIO UF'!$A:$B, 2, FALSE)</f>
        <v>Distrito Federal</v>
      </c>
      <c r="C4625" s="3">
        <v>48079</v>
      </c>
      <c r="D4625" s="5" t="str">
        <f>VLOOKUP(C4625, 'DICIONÁRIO CNAES'!$A:$B, 2, FALSE)</f>
        <v>Comércio de produtos novos não especificados anteriormente</v>
      </c>
      <c r="E4625" s="4">
        <v>28591.746660820001</v>
      </c>
      <c r="F4625" s="4">
        <v>105652774.44830871</v>
      </c>
    </row>
    <row r="4626" spans="1:6" x14ac:dyDescent="0.3">
      <c r="A4626" s="3" t="s">
        <v>30</v>
      </c>
      <c r="B4626" s="7" t="str">
        <f>VLOOKUP(VALUE(A4626), 'DICIONÁRIO UF'!$A:$B, 2, FALSE)</f>
        <v>Distrito Federal</v>
      </c>
      <c r="C4626" s="3">
        <v>48080</v>
      </c>
      <c r="D4626" s="5" t="str">
        <f>VLOOKUP(C4626, 'DICIONÁRIO CNAES'!$A:$B, 2, FALSE)</f>
        <v>Supermercado e hipermercado</v>
      </c>
      <c r="E4626" s="4">
        <v>32497.345312230002</v>
      </c>
      <c r="F4626" s="4">
        <v>47470371.49237553</v>
      </c>
    </row>
    <row r="4627" spans="1:6" x14ac:dyDescent="0.3">
      <c r="A4627" s="3" t="s">
        <v>30</v>
      </c>
      <c r="B4627" s="7" t="str">
        <f>VLOOKUP(VALUE(A4627), 'DICIONÁRIO UF'!$A:$B, 2, FALSE)</f>
        <v>Distrito Federal</v>
      </c>
      <c r="C4627" s="3">
        <v>48090</v>
      </c>
      <c r="D4627" s="5" t="str">
        <f>VLOOKUP(C4627, 'DICIONÁRIO CNAES'!$A:$B, 2, FALSE)</f>
        <v>Lojas de departamento e outros comércios não especializados, sem predominância de produtos alimentícios</v>
      </c>
      <c r="E4627" s="4">
        <v>1366.61185357</v>
      </c>
      <c r="F4627" s="4">
        <v>3660344.4351110002</v>
      </c>
    </row>
    <row r="4628" spans="1:6" x14ac:dyDescent="0.3">
      <c r="A4628" s="3" t="s">
        <v>30</v>
      </c>
      <c r="B4628" s="7" t="str">
        <f>VLOOKUP(VALUE(A4628), 'DICIONÁRIO UF'!$A:$B, 2, FALSE)</f>
        <v>Distrito Federal</v>
      </c>
      <c r="C4628" s="3">
        <v>48100</v>
      </c>
      <c r="D4628" s="5" t="str">
        <f>VLOOKUP(C4628, 'DICIONÁRIO CNAES'!$A:$B, 2, FALSE)</f>
        <v>Comércio ambulante e feiras</v>
      </c>
      <c r="E4628" s="4">
        <v>6559.16317325</v>
      </c>
      <c r="F4628" s="4">
        <v>8530055.0263209995</v>
      </c>
    </row>
    <row r="4629" spans="1:6" x14ac:dyDescent="0.3">
      <c r="A4629" s="3" t="s">
        <v>30</v>
      </c>
      <c r="B4629" s="7" t="str">
        <f>VLOOKUP(VALUE(A4629), 'DICIONÁRIO UF'!$A:$B, 2, FALSE)</f>
        <v>Distrito Federal</v>
      </c>
      <c r="C4629" s="3">
        <v>49010</v>
      </c>
      <c r="D4629" s="5" t="str">
        <f>VLOOKUP(C4629, 'DICIONÁRIO CNAES'!$A:$B, 2, FALSE)</f>
        <v>Transporte ferroviário e metroferroviário</v>
      </c>
      <c r="E4629" s="4">
        <v>1265.4501429100001</v>
      </c>
      <c r="F4629" s="4">
        <v>16711343.443870001</v>
      </c>
    </row>
    <row r="4630" spans="1:6" x14ac:dyDescent="0.3">
      <c r="A4630" s="3" t="s">
        <v>30</v>
      </c>
      <c r="B4630" s="7" t="str">
        <f>VLOOKUP(VALUE(A4630), 'DICIONÁRIO UF'!$A:$B, 2, FALSE)</f>
        <v>Distrito Federal</v>
      </c>
      <c r="C4630" s="3">
        <v>49030</v>
      </c>
      <c r="D4630" s="5" t="str">
        <f>VLOOKUP(C4630, 'DICIONÁRIO CNAES'!$A:$B, 2, FALSE)</f>
        <v>Transporte rodoviário de passageiros</v>
      </c>
      <c r="E4630" s="4">
        <v>27321.547731089999</v>
      </c>
      <c r="F4630" s="4">
        <v>68490617.907551095</v>
      </c>
    </row>
    <row r="4631" spans="1:6" x14ac:dyDescent="0.3">
      <c r="A4631" s="3" t="s">
        <v>30</v>
      </c>
      <c r="B4631" s="7" t="str">
        <f>VLOOKUP(VALUE(A4631), 'DICIONÁRIO UF'!$A:$B, 2, FALSE)</f>
        <v>Distrito Federal</v>
      </c>
      <c r="C4631" s="3">
        <v>49040</v>
      </c>
      <c r="D4631" s="5" t="str">
        <f>VLOOKUP(C4631, 'DICIONÁRIO CNAES'!$A:$B, 2, FALSE)</f>
        <v>Transporte rodoviário de carga</v>
      </c>
      <c r="E4631" s="4">
        <v>10620.658228390001</v>
      </c>
      <c r="F4631" s="4">
        <v>21635653.467446201</v>
      </c>
    </row>
    <row r="4632" spans="1:6" x14ac:dyDescent="0.3">
      <c r="A4632" s="3" t="s">
        <v>30</v>
      </c>
      <c r="B4632" s="7" t="str">
        <f>VLOOKUP(VALUE(A4632), 'DICIONÁRIO UF'!$A:$B, 2, FALSE)</f>
        <v>Distrito Federal</v>
      </c>
      <c r="C4632" s="3">
        <v>51000</v>
      </c>
      <c r="D4632" s="5" t="str">
        <f>VLOOKUP(C4632, 'DICIONÁRIO CNAES'!$A:$B, 2, FALSE)</f>
        <v>Transporte Aéreo</v>
      </c>
      <c r="E4632" s="4">
        <v>1966.6518729300001</v>
      </c>
      <c r="F4632" s="4">
        <v>2485753.5044934</v>
      </c>
    </row>
    <row r="4633" spans="1:6" x14ac:dyDescent="0.3">
      <c r="A4633" s="3" t="s">
        <v>30</v>
      </c>
      <c r="B4633" s="7" t="str">
        <f>VLOOKUP(VALUE(A4633), 'DICIONÁRIO UF'!$A:$B, 2, FALSE)</f>
        <v>Distrito Federal</v>
      </c>
      <c r="C4633" s="3">
        <v>52020</v>
      </c>
      <c r="D4633" s="5" t="str">
        <f>VLOOKUP(C4633, 'DICIONÁRIO CNAES'!$A:$B, 2, FALSE)</f>
        <v xml:space="preserve">Atividades auxiliares dos transportes e atividades relacionadas à organização do transporte de carga </v>
      </c>
      <c r="E4633" s="4">
        <v>5391.0568801999998</v>
      </c>
      <c r="F4633" s="4">
        <v>22026934.462903</v>
      </c>
    </row>
    <row r="4634" spans="1:6" x14ac:dyDescent="0.3">
      <c r="A4634" s="3" t="s">
        <v>30</v>
      </c>
      <c r="B4634" s="7" t="str">
        <f>VLOOKUP(VALUE(A4634), 'DICIONÁRIO UF'!$A:$B, 2, FALSE)</f>
        <v>Distrito Federal</v>
      </c>
      <c r="C4634" s="3">
        <v>53001</v>
      </c>
      <c r="D4634" s="5" t="str">
        <f>VLOOKUP(C4634, 'DICIONÁRIO CNAES'!$A:$B, 2, FALSE)</f>
        <v>Atividades de Correio</v>
      </c>
      <c r="E4634" s="4">
        <v>2506.8127430599998</v>
      </c>
      <c r="F4634" s="4">
        <v>10686784.158704</v>
      </c>
    </row>
    <row r="4635" spans="1:6" x14ac:dyDescent="0.3">
      <c r="A4635" s="3" t="s">
        <v>30</v>
      </c>
      <c r="B4635" s="7" t="str">
        <f>VLOOKUP(VALUE(A4635), 'DICIONÁRIO UF'!$A:$B, 2, FALSE)</f>
        <v>Distrito Federal</v>
      </c>
      <c r="C4635" s="3">
        <v>53002</v>
      </c>
      <c r="D4635" s="5" t="str">
        <f>VLOOKUP(C4635, 'DICIONÁRIO CNAES'!$A:$B, 2, FALSE)</f>
        <v>Atividades de malote e de entrega</v>
      </c>
      <c r="E4635" s="4">
        <v>6992.2481462200003</v>
      </c>
      <c r="F4635" s="4">
        <v>9955814.3412539996</v>
      </c>
    </row>
    <row r="4636" spans="1:6" x14ac:dyDescent="0.3">
      <c r="A4636" s="3" t="s">
        <v>30</v>
      </c>
      <c r="B4636" s="7" t="str">
        <f>VLOOKUP(VALUE(A4636), 'DICIONÁRIO UF'!$A:$B, 2, FALSE)</f>
        <v>Distrito Federal</v>
      </c>
      <c r="C4636" s="3">
        <v>55000</v>
      </c>
      <c r="D4636" s="5" t="str">
        <f>VLOOKUP(C4636, 'DICIONÁRIO CNAES'!$A:$B, 2, FALSE)</f>
        <v>Alojamento</v>
      </c>
      <c r="E4636" s="4">
        <v>3776.0929358100002</v>
      </c>
      <c r="F4636" s="4">
        <v>4347084.9368940014</v>
      </c>
    </row>
    <row r="4637" spans="1:6" x14ac:dyDescent="0.3">
      <c r="A4637" s="3" t="s">
        <v>30</v>
      </c>
      <c r="B4637" s="7" t="str">
        <f>VLOOKUP(VALUE(A4637), 'DICIONÁRIO UF'!$A:$B, 2, FALSE)</f>
        <v>Distrito Federal</v>
      </c>
      <c r="C4637" s="3">
        <v>56011</v>
      </c>
      <c r="D4637" s="5" t="str">
        <f>VLOOKUP(C4637, 'DICIONÁRIO CNAES'!$A:$B, 2, FALSE)</f>
        <v>Restaurantes e outros estabelecimentos de serviços de alimentação e bebidas</v>
      </c>
      <c r="E4637" s="4">
        <v>47294.222828810001</v>
      </c>
      <c r="F4637" s="4">
        <v>93287390.140626788</v>
      </c>
    </row>
    <row r="4638" spans="1:6" x14ac:dyDescent="0.3">
      <c r="A4638" s="3" t="s">
        <v>30</v>
      </c>
      <c r="B4638" s="7" t="str">
        <f>VLOOKUP(VALUE(A4638), 'DICIONÁRIO UF'!$A:$B, 2, FALSE)</f>
        <v>Distrito Federal</v>
      </c>
      <c r="C4638" s="3">
        <v>56012</v>
      </c>
      <c r="D4638" s="5" t="str">
        <f>VLOOKUP(C4638, 'DICIONÁRIO CNAES'!$A:$B, 2, FALSE)</f>
        <v>Serviços de catering, bufê e outros serviços de comida preparada</v>
      </c>
      <c r="E4638" s="4">
        <v>12370.365137070001</v>
      </c>
      <c r="F4638" s="4">
        <v>25113406.165226601</v>
      </c>
    </row>
    <row r="4639" spans="1:6" x14ac:dyDescent="0.3">
      <c r="A4639" s="3" t="s">
        <v>30</v>
      </c>
      <c r="B4639" s="7" t="str">
        <f>VLOOKUP(VALUE(A4639), 'DICIONÁRIO UF'!$A:$B, 2, FALSE)</f>
        <v>Distrito Federal</v>
      </c>
      <c r="C4639" s="3">
        <v>56020</v>
      </c>
      <c r="D4639" s="5" t="str">
        <f>VLOOKUP(C4639, 'DICIONÁRIO CNAES'!$A:$B, 2, FALSE)</f>
        <v>Serviços ambulantes de alimentação</v>
      </c>
      <c r="E4639" s="4">
        <v>3754.2133925600001</v>
      </c>
      <c r="F4639" s="4">
        <v>8906086.9960270002</v>
      </c>
    </row>
    <row r="4640" spans="1:6" x14ac:dyDescent="0.3">
      <c r="A4640" s="3" t="s">
        <v>30</v>
      </c>
      <c r="B4640" s="7" t="str">
        <f>VLOOKUP(VALUE(A4640), 'DICIONÁRIO UF'!$A:$B, 2, FALSE)</f>
        <v>Distrito Federal</v>
      </c>
      <c r="C4640" s="3">
        <v>58000</v>
      </c>
      <c r="D4640" s="5" t="str">
        <f>VLOOKUP(C4640, 'DICIONÁRIO CNAES'!$A:$B, 2, FALSE)</f>
        <v xml:space="preserve">Edição e Edição integrada à impressão </v>
      </c>
      <c r="E4640" s="4">
        <v>1414.52480704</v>
      </c>
      <c r="F4640" s="4">
        <v>5882404.1157246996</v>
      </c>
    </row>
    <row r="4641" spans="1:6" x14ac:dyDescent="0.3">
      <c r="A4641" s="3" t="s">
        <v>30</v>
      </c>
      <c r="B4641" s="7" t="str">
        <f>VLOOKUP(VALUE(A4641), 'DICIONÁRIO UF'!$A:$B, 2, FALSE)</f>
        <v>Distrito Federal</v>
      </c>
      <c r="C4641" s="3">
        <v>59000</v>
      </c>
      <c r="D4641" s="5" t="str">
        <f>VLOOKUP(C4641, 'DICIONÁRIO CNAES'!$A:$B, 2, FALSE)</f>
        <v>Atividades cinematográficas, produção de vídeos e de programas de televisão, gravação de som e de música</v>
      </c>
      <c r="E4641" s="4">
        <v>1371.8620058500001</v>
      </c>
      <c r="F4641" s="4">
        <v>6129864.1082959985</v>
      </c>
    </row>
    <row r="4642" spans="1:6" x14ac:dyDescent="0.3">
      <c r="A4642" s="3" t="s">
        <v>30</v>
      </c>
      <c r="B4642" s="7" t="str">
        <f>VLOOKUP(VALUE(A4642), 'DICIONÁRIO UF'!$A:$B, 2, FALSE)</f>
        <v>Distrito Federal</v>
      </c>
      <c r="C4642" s="3">
        <v>60001</v>
      </c>
      <c r="D4642" s="5" t="str">
        <f>VLOOKUP(C4642, 'DICIONÁRIO CNAES'!$A:$B, 2, FALSE)</f>
        <v>Atividades de rádio</v>
      </c>
      <c r="E4642" s="4">
        <v>680.73799373999998</v>
      </c>
      <c r="F4642" s="4">
        <v>3403689.9687000001</v>
      </c>
    </row>
    <row r="4643" spans="1:6" x14ac:dyDescent="0.3">
      <c r="A4643" s="3" t="s">
        <v>30</v>
      </c>
      <c r="B4643" s="7" t="str">
        <f>VLOOKUP(VALUE(A4643), 'DICIONÁRIO UF'!$A:$B, 2, FALSE)</f>
        <v>Distrito Federal</v>
      </c>
      <c r="C4643" s="3">
        <v>60002</v>
      </c>
      <c r="D4643" s="5" t="str">
        <f>VLOOKUP(C4643, 'DICIONÁRIO CNAES'!$A:$B, 2, FALSE)</f>
        <v>Atividades de televisão</v>
      </c>
      <c r="E4643" s="4">
        <v>2908.0938357700002</v>
      </c>
      <c r="F4643" s="4">
        <v>16493398.797103001</v>
      </c>
    </row>
    <row r="4644" spans="1:6" x14ac:dyDescent="0.3">
      <c r="A4644" s="3" t="s">
        <v>30</v>
      </c>
      <c r="B4644" s="7" t="str">
        <f>VLOOKUP(VALUE(A4644), 'DICIONÁRIO UF'!$A:$B, 2, FALSE)</f>
        <v>Distrito Federal</v>
      </c>
      <c r="C4644" s="3">
        <v>61000</v>
      </c>
      <c r="D4644" s="5" t="str">
        <f>VLOOKUP(C4644, 'DICIONÁRIO CNAES'!$A:$B, 2, FALSE)</f>
        <v>Telecomunicações</v>
      </c>
      <c r="E4644" s="4">
        <v>4579.1433562700004</v>
      </c>
      <c r="F4644" s="4">
        <v>19113772.334831242</v>
      </c>
    </row>
    <row r="4645" spans="1:6" x14ac:dyDescent="0.3">
      <c r="A4645" s="3" t="s">
        <v>30</v>
      </c>
      <c r="B4645" s="7" t="str">
        <f>VLOOKUP(VALUE(A4645), 'DICIONÁRIO UF'!$A:$B, 2, FALSE)</f>
        <v>Distrito Federal</v>
      </c>
      <c r="C4645" s="3">
        <v>62000</v>
      </c>
      <c r="D4645" s="5" t="str">
        <f>VLOOKUP(C4645, 'DICIONÁRIO CNAES'!$A:$B, 2, FALSE)</f>
        <v>Atividades dos serviços de tecnologia da informação</v>
      </c>
      <c r="E4645" s="4">
        <v>24039.32257231</v>
      </c>
      <c r="F4645" s="4">
        <v>166980484.23854801</v>
      </c>
    </row>
    <row r="4646" spans="1:6" x14ac:dyDescent="0.3">
      <c r="A4646" s="3" t="s">
        <v>30</v>
      </c>
      <c r="B4646" s="7" t="str">
        <f>VLOOKUP(VALUE(A4646), 'DICIONÁRIO UF'!$A:$B, 2, FALSE)</f>
        <v>Distrito Federal</v>
      </c>
      <c r="C4646" s="3">
        <v>63000</v>
      </c>
      <c r="D4646" s="5" t="str">
        <f>VLOOKUP(C4646, 'DICIONÁRIO CNAES'!$A:$B, 2, FALSE)</f>
        <v>Atividades de prestação de serviços de informação</v>
      </c>
      <c r="E4646" s="4">
        <v>1426.3712994499999</v>
      </c>
      <c r="F4646" s="4">
        <v>3642260.526178</v>
      </c>
    </row>
    <row r="4647" spans="1:6" x14ac:dyDescent="0.3">
      <c r="A4647" s="3" t="s">
        <v>30</v>
      </c>
      <c r="B4647" s="7" t="str">
        <f>VLOOKUP(VALUE(A4647), 'DICIONÁRIO UF'!$A:$B, 2, FALSE)</f>
        <v>Distrito Federal</v>
      </c>
      <c r="C4647" s="3">
        <v>64000</v>
      </c>
      <c r="D4647" s="5" t="str">
        <f>VLOOKUP(C4647, 'DICIONÁRIO CNAES'!$A:$B, 2, FALSE)</f>
        <v>Serviços financeiros</v>
      </c>
      <c r="E4647" s="4">
        <v>46877.634073610003</v>
      </c>
      <c r="F4647" s="4">
        <v>469715307.67084903</v>
      </c>
    </row>
    <row r="4648" spans="1:6" x14ac:dyDescent="0.3">
      <c r="A4648" s="3" t="s">
        <v>30</v>
      </c>
      <c r="B4648" s="7" t="str">
        <f>VLOOKUP(VALUE(A4648), 'DICIONÁRIO UF'!$A:$B, 2, FALSE)</f>
        <v>Distrito Federal</v>
      </c>
      <c r="C4648" s="3">
        <v>65000</v>
      </c>
      <c r="D4648" s="5" t="str">
        <f>VLOOKUP(C4648, 'DICIONÁRIO CNAES'!$A:$B, 2, FALSE)</f>
        <v>Seguros e previdência privada</v>
      </c>
      <c r="E4648" s="4">
        <v>3361.4332910799999</v>
      </c>
      <c r="F4648" s="4">
        <v>20603613.407026902</v>
      </c>
    </row>
    <row r="4649" spans="1:6" x14ac:dyDescent="0.3">
      <c r="A4649" s="3" t="s">
        <v>30</v>
      </c>
      <c r="B4649" s="7" t="str">
        <f>VLOOKUP(VALUE(A4649), 'DICIONÁRIO UF'!$A:$B, 2, FALSE)</f>
        <v>Distrito Federal</v>
      </c>
      <c r="C4649" s="3">
        <v>66001</v>
      </c>
      <c r="D4649" s="5" t="str">
        <f>VLOOKUP(C4649, 'DICIONÁRIO CNAES'!$A:$B, 2, FALSE)</f>
        <v>Atividades auxiliares dos serviços financeiros</v>
      </c>
      <c r="E4649" s="4">
        <v>2537.2085621000001</v>
      </c>
      <c r="F4649" s="4">
        <v>5720828.710035</v>
      </c>
    </row>
    <row r="4650" spans="1:6" x14ac:dyDescent="0.3">
      <c r="A4650" s="3" t="s">
        <v>30</v>
      </c>
      <c r="B4650" s="7" t="str">
        <f>VLOOKUP(VALUE(A4650), 'DICIONÁRIO UF'!$A:$B, 2, FALSE)</f>
        <v>Distrito Federal</v>
      </c>
      <c r="C4650" s="3">
        <v>66002</v>
      </c>
      <c r="D4650" s="5" t="str">
        <f>VLOOKUP(C4650, 'DICIONÁRIO CNAES'!$A:$B, 2, FALSE)</f>
        <v>Atividades auxiliares dos seguros, da previdência complementar e dos planos de saúde</v>
      </c>
      <c r="E4650" s="4">
        <v>3399.0776369</v>
      </c>
      <c r="F4650" s="4">
        <v>16874522.860818408</v>
      </c>
    </row>
    <row r="4651" spans="1:6" x14ac:dyDescent="0.3">
      <c r="A4651" s="3" t="s">
        <v>30</v>
      </c>
      <c r="B4651" s="7" t="str">
        <f>VLOOKUP(VALUE(A4651), 'DICIONÁRIO UF'!$A:$B, 2, FALSE)</f>
        <v>Distrito Federal</v>
      </c>
      <c r="C4651" s="3">
        <v>68000</v>
      </c>
      <c r="D4651" s="5" t="str">
        <f>VLOOKUP(C4651, 'DICIONÁRIO CNAES'!$A:$B, 2, FALSE)</f>
        <v>Atividades imobiliárias</v>
      </c>
      <c r="E4651" s="4">
        <v>15744.956276929999</v>
      </c>
      <c r="F4651" s="4">
        <v>59103060.831855498</v>
      </c>
    </row>
    <row r="4652" spans="1:6" x14ac:dyDescent="0.3">
      <c r="A4652" s="3" t="s">
        <v>30</v>
      </c>
      <c r="B4652" s="7" t="str">
        <f>VLOOKUP(VALUE(A4652), 'DICIONÁRIO UF'!$A:$B, 2, FALSE)</f>
        <v>Distrito Federal</v>
      </c>
      <c r="C4652" s="3">
        <v>69000</v>
      </c>
      <c r="D4652" s="5" t="str">
        <f>VLOOKUP(C4652, 'DICIONÁRIO CNAES'!$A:$B, 2, FALSE)</f>
        <v xml:space="preserve">Atividades jurídicas, de contabilidade e de auditoria </v>
      </c>
      <c r="E4652" s="4">
        <v>29120.04735398</v>
      </c>
      <c r="F4652" s="4">
        <v>155490412.29906949</v>
      </c>
    </row>
    <row r="4653" spans="1:6" x14ac:dyDescent="0.3">
      <c r="A4653" s="3" t="s">
        <v>30</v>
      </c>
      <c r="B4653" s="7" t="str">
        <f>VLOOKUP(VALUE(A4653), 'DICIONÁRIO UF'!$A:$B, 2, FALSE)</f>
        <v>Distrito Federal</v>
      </c>
      <c r="C4653" s="3">
        <v>70000</v>
      </c>
      <c r="D4653" s="5" t="str">
        <f>VLOOKUP(C4653, 'DICIONÁRIO CNAES'!$A:$B, 2, FALSE)</f>
        <v>Atividades de consultoria em gestão empresarial</v>
      </c>
      <c r="E4653" s="4">
        <v>5339.3328787500004</v>
      </c>
      <c r="F4653" s="4">
        <v>27361475.611039512</v>
      </c>
    </row>
    <row r="4654" spans="1:6" x14ac:dyDescent="0.3">
      <c r="A4654" s="3" t="s">
        <v>30</v>
      </c>
      <c r="B4654" s="7" t="str">
        <f>VLOOKUP(VALUE(A4654), 'DICIONÁRIO UF'!$A:$B, 2, FALSE)</f>
        <v>Distrito Federal</v>
      </c>
      <c r="C4654" s="3">
        <v>71000</v>
      </c>
      <c r="D4654" s="5" t="str">
        <f>VLOOKUP(C4654, 'DICIONÁRIO CNAES'!$A:$B, 2, FALSE)</f>
        <v>Serviços de arquitetura e engenharia e atividades técnicas relacionadas; Testes e análises técnicas</v>
      </c>
      <c r="E4654" s="4">
        <v>12925.702656310001</v>
      </c>
      <c r="F4654" s="4">
        <v>63980261.751444049</v>
      </c>
    </row>
    <row r="4655" spans="1:6" x14ac:dyDescent="0.3">
      <c r="A4655" s="3" t="s">
        <v>30</v>
      </c>
      <c r="B4655" s="7" t="str">
        <f>VLOOKUP(VALUE(A4655), 'DICIONÁRIO UF'!$A:$B, 2, FALSE)</f>
        <v>Distrito Federal</v>
      </c>
      <c r="C4655" s="3">
        <v>72000</v>
      </c>
      <c r="D4655" s="5" t="str">
        <f>VLOOKUP(C4655, 'DICIONÁRIO CNAES'!$A:$B, 2, FALSE)</f>
        <v>Pesquisa e desenvolvimento científico</v>
      </c>
      <c r="E4655" s="4">
        <v>1321.03247216</v>
      </c>
      <c r="F4655" s="4">
        <v>13738731.00438484</v>
      </c>
    </row>
    <row r="4656" spans="1:6" x14ac:dyDescent="0.3">
      <c r="A4656" s="3" t="s">
        <v>30</v>
      </c>
      <c r="B4656" s="7" t="str">
        <f>VLOOKUP(VALUE(A4656), 'DICIONÁRIO UF'!$A:$B, 2, FALSE)</f>
        <v>Distrito Federal</v>
      </c>
      <c r="C4656" s="3">
        <v>73010</v>
      </c>
      <c r="D4656" s="5" t="str">
        <f>VLOOKUP(C4656, 'DICIONÁRIO CNAES'!$A:$B, 2, FALSE)</f>
        <v>Publicidade</v>
      </c>
      <c r="E4656" s="4">
        <v>10853.48044336</v>
      </c>
      <c r="F4656" s="4">
        <v>39063168.302053504</v>
      </c>
    </row>
    <row r="4657" spans="1:6" x14ac:dyDescent="0.3">
      <c r="A4657" s="3" t="s">
        <v>30</v>
      </c>
      <c r="B4657" s="7" t="str">
        <f>VLOOKUP(VALUE(A4657), 'DICIONÁRIO UF'!$A:$B, 2, FALSE)</f>
        <v>Distrito Federal</v>
      </c>
      <c r="C4657" s="3">
        <v>74000</v>
      </c>
      <c r="D4657" s="5" t="str">
        <f>VLOOKUP(C4657, 'DICIONÁRIO CNAES'!$A:$B, 2, FALSE)</f>
        <v>Outras atividades profissionais, científicas e técnicas não especificadas anteriormente</v>
      </c>
      <c r="E4657" s="4">
        <v>7649.5424203299999</v>
      </c>
      <c r="F4657" s="4">
        <v>21881144.981109001</v>
      </c>
    </row>
    <row r="4658" spans="1:6" x14ac:dyDescent="0.3">
      <c r="A4658" s="3" t="s">
        <v>30</v>
      </c>
      <c r="B4658" s="7" t="str">
        <f>VLOOKUP(VALUE(A4658), 'DICIONÁRIO UF'!$A:$B, 2, FALSE)</f>
        <v>Distrito Federal</v>
      </c>
      <c r="C4658" s="3">
        <v>75000</v>
      </c>
      <c r="D4658" s="5" t="str">
        <f>VLOOKUP(C4658, 'DICIONÁRIO CNAES'!$A:$B, 2, FALSE)</f>
        <v>Atividades veterinárias</v>
      </c>
      <c r="E4658" s="4">
        <v>3494.8288151400002</v>
      </c>
      <c r="F4658" s="4">
        <v>27251290.309980001</v>
      </c>
    </row>
    <row r="4659" spans="1:6" x14ac:dyDescent="0.3">
      <c r="A4659" s="3" t="s">
        <v>30</v>
      </c>
      <c r="B4659" s="7" t="str">
        <f>VLOOKUP(VALUE(A4659), 'DICIONÁRIO UF'!$A:$B, 2, FALSE)</f>
        <v>Distrito Federal</v>
      </c>
      <c r="C4659" s="3">
        <v>77010</v>
      </c>
      <c r="D4659" s="5" t="str">
        <f>VLOOKUP(C4659, 'DICIONÁRIO CNAES'!$A:$B, 2, FALSE)</f>
        <v>Aluguel de objetos pessoais e domésticos</v>
      </c>
      <c r="E4659" s="4">
        <v>319.49122715999999</v>
      </c>
      <c r="F4659" s="4">
        <v>210864.20992560001</v>
      </c>
    </row>
    <row r="4660" spans="1:6" x14ac:dyDescent="0.3">
      <c r="A4660" s="3" t="s">
        <v>30</v>
      </c>
      <c r="B4660" s="7" t="str">
        <f>VLOOKUP(VALUE(A4660), 'DICIONÁRIO UF'!$A:$B, 2, FALSE)</f>
        <v>Distrito Federal</v>
      </c>
      <c r="C4660" s="3">
        <v>77020</v>
      </c>
      <c r="D4660" s="5" t="str">
        <f>VLOOKUP(C4660, 'DICIONÁRIO CNAES'!$A:$B, 2, FALSE)</f>
        <v>Aluguel de meios de transportes, maquinas e equipamentos sem operador e gestão de ativos intangíveis não financeiros</v>
      </c>
      <c r="E4660" s="4">
        <v>1006.49276393</v>
      </c>
      <c r="F4660" s="4">
        <v>2218020.0923520001</v>
      </c>
    </row>
    <row r="4661" spans="1:6" x14ac:dyDescent="0.3">
      <c r="A4661" s="3" t="s">
        <v>30</v>
      </c>
      <c r="B4661" s="7" t="str">
        <f>VLOOKUP(VALUE(A4661), 'DICIONÁRIO UF'!$A:$B, 2, FALSE)</f>
        <v>Distrito Federal</v>
      </c>
      <c r="C4661" s="3">
        <v>78000</v>
      </c>
      <c r="D4661" s="5" t="str">
        <f>VLOOKUP(C4661, 'DICIONÁRIO CNAES'!$A:$B, 2, FALSE)</f>
        <v>Seleção, agenciamento e locação de mão-de-obra</v>
      </c>
      <c r="E4661" s="4">
        <v>69810.749250149995</v>
      </c>
      <c r="F4661" s="4">
        <v>150966503.5201281</v>
      </c>
    </row>
    <row r="4662" spans="1:6" x14ac:dyDescent="0.3">
      <c r="A4662" s="3" t="s">
        <v>30</v>
      </c>
      <c r="B4662" s="7" t="str">
        <f>VLOOKUP(VALUE(A4662), 'DICIONÁRIO UF'!$A:$B, 2, FALSE)</f>
        <v>Distrito Federal</v>
      </c>
      <c r="C4662" s="3">
        <v>79000</v>
      </c>
      <c r="D4662" s="5" t="str">
        <f>VLOOKUP(C4662, 'DICIONÁRIO CNAES'!$A:$B, 2, FALSE)</f>
        <v>Agências de viagens, operadores turísticos e serviços de reservas</v>
      </c>
      <c r="E4662" s="4">
        <v>1198.5350904899999</v>
      </c>
      <c r="F4662" s="4">
        <v>2053757.5493610001</v>
      </c>
    </row>
    <row r="4663" spans="1:6" x14ac:dyDescent="0.3">
      <c r="A4663" s="3" t="s">
        <v>30</v>
      </c>
      <c r="B4663" s="7" t="str">
        <f>VLOOKUP(VALUE(A4663), 'DICIONÁRIO UF'!$A:$B, 2, FALSE)</f>
        <v>Distrito Federal</v>
      </c>
      <c r="C4663" s="3">
        <v>80000</v>
      </c>
      <c r="D4663" s="5" t="str">
        <f>VLOOKUP(C4663, 'DICIONÁRIO CNAES'!$A:$B, 2, FALSE)</f>
        <v>Atividades de vigilância, segurança, transporte de valores e investigação</v>
      </c>
      <c r="E4663" s="4">
        <v>24148.337632549999</v>
      </c>
      <c r="F4663" s="4">
        <v>56952976.209422842</v>
      </c>
    </row>
    <row r="4664" spans="1:6" x14ac:dyDescent="0.3">
      <c r="A4664" s="3" t="s">
        <v>30</v>
      </c>
      <c r="B4664" s="7" t="str">
        <f>VLOOKUP(VALUE(A4664), 'DICIONÁRIO UF'!$A:$B, 2, FALSE)</f>
        <v>Distrito Federal</v>
      </c>
      <c r="C4664" s="3">
        <v>81011</v>
      </c>
      <c r="D4664" s="5" t="str">
        <f>VLOOKUP(C4664, 'DICIONÁRIO CNAES'!$A:$B, 2, FALSE)</f>
        <v>Serviços de limpeza e de apoio a edifícios, exceto condomínios prediais</v>
      </c>
      <c r="E4664" s="4">
        <v>22656.395555070001</v>
      </c>
      <c r="F4664" s="4">
        <v>33939519.832951881</v>
      </c>
    </row>
    <row r="4665" spans="1:6" x14ac:dyDescent="0.3">
      <c r="A4665" s="3" t="s">
        <v>30</v>
      </c>
      <c r="B4665" s="7" t="str">
        <f>VLOOKUP(VALUE(A4665), 'DICIONÁRIO UF'!$A:$B, 2, FALSE)</f>
        <v>Distrito Federal</v>
      </c>
      <c r="C4665" s="3">
        <v>81012</v>
      </c>
      <c r="D4665" s="5" t="str">
        <f>VLOOKUP(C4665, 'DICIONÁRIO CNAES'!$A:$B, 2, FALSE)</f>
        <v>Condomínios prediais</v>
      </c>
      <c r="E4665" s="4">
        <v>11812.235201109999</v>
      </c>
      <c r="F4665" s="4">
        <v>17908284.800045721</v>
      </c>
    </row>
    <row r="4666" spans="1:6" x14ac:dyDescent="0.3">
      <c r="A4666" s="3" t="s">
        <v>30</v>
      </c>
      <c r="B4666" s="7" t="str">
        <f>VLOOKUP(VALUE(A4666), 'DICIONÁRIO UF'!$A:$B, 2, FALSE)</f>
        <v>Distrito Federal</v>
      </c>
      <c r="C4666" s="3">
        <v>81020</v>
      </c>
      <c r="D4666" s="5" t="str">
        <f>VLOOKUP(C4666, 'DICIONÁRIO CNAES'!$A:$B, 2, FALSE)</f>
        <v>Atividades paisagísticas</v>
      </c>
      <c r="E4666" s="4">
        <v>2046.62661136</v>
      </c>
      <c r="F4666" s="4">
        <v>3508328.5269789998</v>
      </c>
    </row>
    <row r="4667" spans="1:6" x14ac:dyDescent="0.3">
      <c r="A4667" s="3" t="s">
        <v>30</v>
      </c>
      <c r="B4667" s="7" t="str">
        <f>VLOOKUP(VALUE(A4667), 'DICIONÁRIO UF'!$A:$B, 2, FALSE)</f>
        <v>Distrito Federal</v>
      </c>
      <c r="C4667" s="3">
        <v>82001</v>
      </c>
      <c r="D4667" s="5" t="str">
        <f>VLOOKUP(C4667, 'DICIONÁRIO CNAES'!$A:$B, 2, FALSE)</f>
        <v>Serviços de escritório e apoio administrativo</v>
      </c>
      <c r="E4667" s="4">
        <v>605.49214010000003</v>
      </c>
      <c r="F4667" s="4">
        <v>669594.91871599993</v>
      </c>
    </row>
    <row r="4668" spans="1:6" x14ac:dyDescent="0.3">
      <c r="A4668" s="3" t="s">
        <v>30</v>
      </c>
      <c r="B4668" s="7" t="str">
        <f>VLOOKUP(VALUE(A4668), 'DICIONÁRIO UF'!$A:$B, 2, FALSE)</f>
        <v>Distrito Federal</v>
      </c>
      <c r="C4668" s="3">
        <v>82002</v>
      </c>
      <c r="D4668" s="5" t="str">
        <f>VLOOKUP(C4668, 'DICIONÁRIO CNAES'!$A:$B, 2, FALSE)</f>
        <v>Atividades de teleatendimento</v>
      </c>
      <c r="E4668" s="4">
        <v>4528.2794084200004</v>
      </c>
      <c r="F4668" s="4">
        <v>5706092.7393424585</v>
      </c>
    </row>
    <row r="4669" spans="1:6" x14ac:dyDescent="0.3">
      <c r="A4669" s="3" t="s">
        <v>30</v>
      </c>
      <c r="B4669" s="7" t="str">
        <f>VLOOKUP(VALUE(A4669), 'DICIONÁRIO UF'!$A:$B, 2, FALSE)</f>
        <v>Distrito Federal</v>
      </c>
      <c r="C4669" s="3">
        <v>82003</v>
      </c>
      <c r="D4669" s="5" t="str">
        <f>VLOOKUP(C4669, 'DICIONÁRIO CNAES'!$A:$B, 2, FALSE)</f>
        <v>Atividades de organização de eventos, exceto culturais e esportivos</v>
      </c>
      <c r="E4669" s="4">
        <v>820.7577857</v>
      </c>
      <c r="F4669" s="4">
        <v>668022.39676300006</v>
      </c>
    </row>
    <row r="4670" spans="1:6" x14ac:dyDescent="0.3">
      <c r="A4670" s="3" t="s">
        <v>30</v>
      </c>
      <c r="B4670" s="7" t="str">
        <f>VLOOKUP(VALUE(A4670), 'DICIONÁRIO UF'!$A:$B, 2, FALSE)</f>
        <v>Distrito Federal</v>
      </c>
      <c r="C4670" s="3">
        <v>82009</v>
      </c>
      <c r="D4670" s="5" t="str">
        <f>VLOOKUP(C4670, 'DICIONÁRIO CNAES'!$A:$B, 2, FALSE)</f>
        <v>Outras atividades de serviços prestados principalmente às empresas</v>
      </c>
      <c r="E4670" s="4">
        <v>2394.4695505200002</v>
      </c>
      <c r="F4670" s="4">
        <v>3404876.960461</v>
      </c>
    </row>
    <row r="4671" spans="1:6" x14ac:dyDescent="0.3">
      <c r="A4671" s="3" t="s">
        <v>30</v>
      </c>
      <c r="B4671" s="7" t="str">
        <f>VLOOKUP(VALUE(A4671), 'DICIONÁRIO UF'!$A:$B, 2, FALSE)</f>
        <v>Distrito Federal</v>
      </c>
      <c r="C4671" s="3">
        <v>84011</v>
      </c>
      <c r="D4671" s="5" t="str">
        <f>VLOOKUP(C4671, 'DICIONÁRIO CNAES'!$A:$B, 2, FALSE)</f>
        <v>Administração publica e regulação da política econômica e social - Federal</v>
      </c>
      <c r="E4671" s="4">
        <v>61264.827833399999</v>
      </c>
      <c r="F4671" s="4">
        <v>759996088.86860061</v>
      </c>
    </row>
    <row r="4672" spans="1:6" x14ac:dyDescent="0.3">
      <c r="A4672" s="3" t="s">
        <v>30</v>
      </c>
      <c r="B4672" s="7" t="str">
        <f>VLOOKUP(VALUE(A4672), 'DICIONÁRIO UF'!$A:$B, 2, FALSE)</f>
        <v>Distrito Federal</v>
      </c>
      <c r="C4672" s="3">
        <v>84012</v>
      </c>
      <c r="D4672" s="5" t="str">
        <f>VLOOKUP(C4672, 'DICIONÁRIO CNAES'!$A:$B, 2, FALSE)</f>
        <v>Administração publica e regulação da política econômica e social - Estadual</v>
      </c>
      <c r="E4672" s="4">
        <v>35150.217956690001</v>
      </c>
      <c r="F4672" s="4">
        <v>289569149.23599261</v>
      </c>
    </row>
    <row r="4673" spans="1:6" x14ac:dyDescent="0.3">
      <c r="A4673" s="3" t="s">
        <v>30</v>
      </c>
      <c r="B4673" s="7" t="str">
        <f>VLOOKUP(VALUE(A4673), 'DICIONÁRIO UF'!$A:$B, 2, FALSE)</f>
        <v>Distrito Federal</v>
      </c>
      <c r="C4673" s="3">
        <v>84013</v>
      </c>
      <c r="D4673" s="5" t="str">
        <f>VLOOKUP(C4673, 'DICIONÁRIO CNAES'!$A:$B, 2, FALSE)</f>
        <v>Administração publica e regulação da política econômica e social - Municipal</v>
      </c>
      <c r="E4673" s="4">
        <v>1100.6147315400001</v>
      </c>
      <c r="F4673" s="4">
        <v>2615969.3574086502</v>
      </c>
    </row>
    <row r="4674" spans="1:6" x14ac:dyDescent="0.3">
      <c r="A4674" s="3" t="s">
        <v>30</v>
      </c>
      <c r="B4674" s="7" t="str">
        <f>VLOOKUP(VALUE(A4674), 'DICIONÁRIO UF'!$A:$B, 2, FALSE)</f>
        <v>Distrito Federal</v>
      </c>
      <c r="C4674" s="3">
        <v>84014</v>
      </c>
      <c r="D4674" s="5" t="str">
        <f>VLOOKUP(C4674, 'DICIONÁRIO CNAES'!$A:$B, 2, FALSE)</f>
        <v>Defesa</v>
      </c>
      <c r="E4674" s="4">
        <v>31600.555757139999</v>
      </c>
      <c r="F4674" s="4">
        <v>235443002.23842499</v>
      </c>
    </row>
    <row r="4675" spans="1:6" x14ac:dyDescent="0.3">
      <c r="A4675" s="3" t="s">
        <v>30</v>
      </c>
      <c r="B4675" s="7" t="str">
        <f>VLOOKUP(VALUE(A4675), 'DICIONÁRIO UF'!$A:$B, 2, FALSE)</f>
        <v>Distrito Federal</v>
      </c>
      <c r="C4675" s="3">
        <v>84015</v>
      </c>
      <c r="D4675" s="5" t="str">
        <f>VLOOKUP(C4675, 'DICIONÁRIO CNAES'!$A:$B, 2, FALSE)</f>
        <v>Outros serviços coletivos prestados pela administração pública - Federal</v>
      </c>
      <c r="E4675" s="4">
        <v>16672.35561119</v>
      </c>
      <c r="F4675" s="4">
        <v>196747853.42549971</v>
      </c>
    </row>
    <row r="4676" spans="1:6" x14ac:dyDescent="0.3">
      <c r="A4676" s="3" t="s">
        <v>30</v>
      </c>
      <c r="B4676" s="7" t="str">
        <f>VLOOKUP(VALUE(A4676), 'DICIONÁRIO UF'!$A:$B, 2, FALSE)</f>
        <v>Distrito Federal</v>
      </c>
      <c r="C4676" s="3">
        <v>84016</v>
      </c>
      <c r="D4676" s="5" t="str">
        <f>VLOOKUP(C4676, 'DICIONÁRIO CNAES'!$A:$B, 2, FALSE)</f>
        <v>Outros serviços coletivos prestados pela administração pública - Estadual</v>
      </c>
      <c r="E4676" s="4">
        <v>40306.374152520002</v>
      </c>
      <c r="F4676" s="4">
        <v>400322358.39508712</v>
      </c>
    </row>
    <row r="4677" spans="1:6" x14ac:dyDescent="0.3">
      <c r="A4677" s="3" t="s">
        <v>30</v>
      </c>
      <c r="B4677" s="7" t="str">
        <f>VLOOKUP(VALUE(A4677), 'DICIONÁRIO UF'!$A:$B, 2, FALSE)</f>
        <v>Distrito Federal</v>
      </c>
      <c r="C4677" s="3">
        <v>84020</v>
      </c>
      <c r="D4677" s="5" t="str">
        <f>VLOOKUP(C4677, 'DICIONÁRIO CNAES'!$A:$B, 2, FALSE)</f>
        <v>Seguridade social obrigatória</v>
      </c>
      <c r="E4677" s="4">
        <v>2400.8075688700001</v>
      </c>
      <c r="F4677" s="4">
        <v>19314161.074788999</v>
      </c>
    </row>
    <row r="4678" spans="1:6" x14ac:dyDescent="0.3">
      <c r="A4678" s="3" t="s">
        <v>30</v>
      </c>
      <c r="B4678" s="7" t="str">
        <f>VLOOKUP(VALUE(A4678), 'DICIONÁRIO UF'!$A:$B, 2, FALSE)</f>
        <v>Distrito Federal</v>
      </c>
      <c r="C4678" s="3">
        <v>85011</v>
      </c>
      <c r="D4678" s="5" t="str">
        <f>VLOOKUP(C4678, 'DICIONÁRIO CNAES'!$A:$B, 2, FALSE)</f>
        <v>Creche</v>
      </c>
      <c r="E4678" s="4">
        <v>7122.35236523</v>
      </c>
      <c r="F4678" s="4">
        <v>10466685.89468189</v>
      </c>
    </row>
    <row r="4679" spans="1:6" x14ac:dyDescent="0.3">
      <c r="A4679" s="3" t="s">
        <v>30</v>
      </c>
      <c r="B4679" s="7" t="str">
        <f>VLOOKUP(VALUE(A4679), 'DICIONÁRIO UF'!$A:$B, 2, FALSE)</f>
        <v>Distrito Federal</v>
      </c>
      <c r="C4679" s="3">
        <v>85012</v>
      </c>
      <c r="D4679" s="5" t="str">
        <f>VLOOKUP(C4679, 'DICIONÁRIO CNAES'!$A:$B, 2, FALSE)</f>
        <v>Pré-escola e ensino fundamental</v>
      </c>
      <c r="E4679" s="4">
        <v>47834.223327150001</v>
      </c>
      <c r="F4679" s="4">
        <v>201863056.38030371</v>
      </c>
    </row>
    <row r="4680" spans="1:6" x14ac:dyDescent="0.3">
      <c r="A4680" s="3" t="s">
        <v>30</v>
      </c>
      <c r="B4680" s="7" t="str">
        <f>VLOOKUP(VALUE(A4680), 'DICIONÁRIO UF'!$A:$B, 2, FALSE)</f>
        <v>Distrito Federal</v>
      </c>
      <c r="C4680" s="3">
        <v>85013</v>
      </c>
      <c r="D4680" s="5" t="str">
        <f>VLOOKUP(C4680, 'DICIONÁRIO CNAES'!$A:$B, 2, FALSE)</f>
        <v>Ensino médio</v>
      </c>
      <c r="E4680" s="4">
        <v>18502.191004339998</v>
      </c>
      <c r="F4680" s="4">
        <v>93115090.834206402</v>
      </c>
    </row>
    <row r="4681" spans="1:6" x14ac:dyDescent="0.3">
      <c r="A4681" s="3" t="s">
        <v>30</v>
      </c>
      <c r="B4681" s="7" t="str">
        <f>VLOOKUP(VALUE(A4681), 'DICIONÁRIO UF'!$A:$B, 2, FALSE)</f>
        <v>Distrito Federal</v>
      </c>
      <c r="C4681" s="3">
        <v>85014</v>
      </c>
      <c r="D4681" s="5" t="str">
        <f>VLOOKUP(C4681, 'DICIONÁRIO CNAES'!$A:$B, 2, FALSE)</f>
        <v>Educação superior</v>
      </c>
      <c r="E4681" s="4">
        <v>21459.346117870002</v>
      </c>
      <c r="F4681" s="4">
        <v>130860305.048664</v>
      </c>
    </row>
    <row r="4682" spans="1:6" x14ac:dyDescent="0.3">
      <c r="A4682" s="3" t="s">
        <v>30</v>
      </c>
      <c r="B4682" s="7" t="str">
        <f>VLOOKUP(VALUE(A4682), 'DICIONÁRIO UF'!$A:$B, 2, FALSE)</f>
        <v>Distrito Federal</v>
      </c>
      <c r="C4682" s="3">
        <v>85029</v>
      </c>
      <c r="D4682" s="5" t="str">
        <f>VLOOKUP(C4682, 'DICIONÁRIO CNAES'!$A:$B, 2, FALSE)</f>
        <v>Outras atividades de ensino</v>
      </c>
      <c r="E4682" s="4">
        <v>12812.404207080001</v>
      </c>
      <c r="F4682" s="4">
        <v>54540593.664906152</v>
      </c>
    </row>
    <row r="4683" spans="1:6" x14ac:dyDescent="0.3">
      <c r="A4683" s="3" t="s">
        <v>30</v>
      </c>
      <c r="B4683" s="7" t="str">
        <f>VLOOKUP(VALUE(A4683), 'DICIONÁRIO UF'!$A:$B, 2, FALSE)</f>
        <v>Distrito Federal</v>
      </c>
      <c r="C4683" s="3">
        <v>86001</v>
      </c>
      <c r="D4683" s="5" t="str">
        <f>VLOOKUP(C4683, 'DICIONÁRIO CNAES'!$A:$B, 2, FALSE)</f>
        <v>Atividades de atendimento hospitalar</v>
      </c>
      <c r="E4683" s="4">
        <v>42326.089947469998</v>
      </c>
      <c r="F4683" s="4">
        <v>263394347.86865631</v>
      </c>
    </row>
    <row r="4684" spans="1:6" x14ac:dyDescent="0.3">
      <c r="A4684" s="3" t="s">
        <v>30</v>
      </c>
      <c r="B4684" s="7" t="str">
        <f>VLOOKUP(VALUE(A4684), 'DICIONÁRIO UF'!$A:$B, 2, FALSE)</f>
        <v>Distrito Federal</v>
      </c>
      <c r="C4684" s="3">
        <v>86002</v>
      </c>
      <c r="D4684" s="5" t="str">
        <f>VLOOKUP(C4684, 'DICIONÁRIO CNAES'!$A:$B, 2, FALSE)</f>
        <v>Atividades de atenção ambulatorial executadas por médicos e odontólogos</v>
      </c>
      <c r="E4684" s="4">
        <v>31362.24277488</v>
      </c>
      <c r="F4684" s="4">
        <v>201605847.72084191</v>
      </c>
    </row>
    <row r="4685" spans="1:6" x14ac:dyDescent="0.3">
      <c r="A4685" s="3" t="s">
        <v>30</v>
      </c>
      <c r="B4685" s="7" t="str">
        <f>VLOOKUP(VALUE(A4685), 'DICIONÁRIO UF'!$A:$B, 2, FALSE)</f>
        <v>Distrito Federal</v>
      </c>
      <c r="C4685" s="3">
        <v>86003</v>
      </c>
      <c r="D4685" s="5" t="str">
        <f>VLOOKUP(C4685, 'DICIONÁRIO CNAES'!$A:$B, 2, FALSE)</f>
        <v>Atividades de serviços de complementação diagnóstica e terapêutica</v>
      </c>
      <c r="E4685" s="4">
        <v>5122.1046439500014</v>
      </c>
      <c r="F4685" s="4">
        <v>12673639.88560386</v>
      </c>
    </row>
    <row r="4686" spans="1:6" x14ac:dyDescent="0.3">
      <c r="A4686" s="3" t="s">
        <v>30</v>
      </c>
      <c r="B4686" s="7" t="str">
        <f>VLOOKUP(VALUE(A4686), 'DICIONÁRIO UF'!$A:$B, 2, FALSE)</f>
        <v>Distrito Federal</v>
      </c>
      <c r="C4686" s="3">
        <v>86004</v>
      </c>
      <c r="D4686" s="5" t="str">
        <f>VLOOKUP(C4686, 'DICIONÁRIO CNAES'!$A:$B, 2, FALSE)</f>
        <v>Atividades de profissionais da área de saúde, exceto médicos e odontólogos</v>
      </c>
      <c r="E4686" s="4">
        <v>11423.053544230001</v>
      </c>
      <c r="F4686" s="4">
        <v>36212008.216940001</v>
      </c>
    </row>
    <row r="4687" spans="1:6" x14ac:dyDescent="0.3">
      <c r="A4687" s="3" t="s">
        <v>30</v>
      </c>
      <c r="B4687" s="7" t="str">
        <f>VLOOKUP(VALUE(A4687), 'DICIONÁRIO UF'!$A:$B, 2, FALSE)</f>
        <v>Distrito Federal</v>
      </c>
      <c r="C4687" s="3">
        <v>86009</v>
      </c>
      <c r="D4687" s="5" t="str">
        <f>VLOOKUP(C4687, 'DICIONÁRIO CNAES'!$A:$B, 2, FALSE)</f>
        <v>Atividades de atenção à saúde humana não especificadas anteriormente</v>
      </c>
      <c r="E4687" s="4">
        <v>651.56996240000001</v>
      </c>
      <c r="F4687" s="4">
        <v>1548462.8130960001</v>
      </c>
    </row>
    <row r="4688" spans="1:6" x14ac:dyDescent="0.3">
      <c r="A4688" s="3" t="s">
        <v>30</v>
      </c>
      <c r="B4688" s="7" t="str">
        <f>VLOOKUP(VALUE(A4688), 'DICIONÁRIO UF'!$A:$B, 2, FALSE)</f>
        <v>Distrito Federal</v>
      </c>
      <c r="C4688" s="3">
        <v>87000</v>
      </c>
      <c r="D4688" s="5" t="str">
        <f>VLOOKUP(C4688, 'DICIONÁRIO CNAES'!$A:$B, 2, FALSE)</f>
        <v>Atividades de assistência à saude humana integradas com assistencia social, inclusive prestadas em residencias</v>
      </c>
      <c r="E4688" s="4">
        <v>2494.9622316599998</v>
      </c>
      <c r="F4688" s="4">
        <v>6819068.3246520199</v>
      </c>
    </row>
    <row r="4689" spans="1:6" x14ac:dyDescent="0.3">
      <c r="A4689" s="3" t="s">
        <v>30</v>
      </c>
      <c r="B4689" s="7" t="str">
        <f>VLOOKUP(VALUE(A4689), 'DICIONÁRIO UF'!$A:$B, 2, FALSE)</f>
        <v>Distrito Federal</v>
      </c>
      <c r="C4689" s="3">
        <v>88000</v>
      </c>
      <c r="D4689" s="5" t="str">
        <f>VLOOKUP(C4689, 'DICIONÁRIO CNAES'!$A:$B, 2, FALSE)</f>
        <v>Serviços de assistência social sem alojamento</v>
      </c>
      <c r="E4689" s="4">
        <v>241.76499104000001</v>
      </c>
      <c r="F4689" s="4">
        <v>314294.48835200001</v>
      </c>
    </row>
    <row r="4690" spans="1:6" x14ac:dyDescent="0.3">
      <c r="A4690" s="3" t="s">
        <v>30</v>
      </c>
      <c r="B4690" s="7" t="str">
        <f>VLOOKUP(VALUE(A4690), 'DICIONÁRIO UF'!$A:$B, 2, FALSE)</f>
        <v>Distrito Federal</v>
      </c>
      <c r="C4690" s="3">
        <v>90000</v>
      </c>
      <c r="D4690" s="5" t="str">
        <f>VLOOKUP(C4690, 'DICIONÁRIO CNAES'!$A:$B, 2, FALSE)</f>
        <v>Atividades artísticas, criativas e de espetáculos</v>
      </c>
      <c r="E4690" s="4">
        <v>4464.4237315999999</v>
      </c>
      <c r="F4690" s="4">
        <v>21904280.688077401</v>
      </c>
    </row>
    <row r="4691" spans="1:6" x14ac:dyDescent="0.3">
      <c r="A4691" s="3" t="s">
        <v>30</v>
      </c>
      <c r="B4691" s="7" t="str">
        <f>VLOOKUP(VALUE(A4691), 'DICIONÁRIO UF'!$A:$B, 2, FALSE)</f>
        <v>Distrito Federal</v>
      </c>
      <c r="C4691" s="3">
        <v>91000</v>
      </c>
      <c r="D4691" s="5" t="str">
        <f>VLOOKUP(C4691, 'DICIONÁRIO CNAES'!$A:$B, 2, FALSE)</f>
        <v>Atividades ligadas ao patrimônio cultural e ambiental</v>
      </c>
      <c r="E4691" s="4">
        <v>487.58745212999997</v>
      </c>
      <c r="F4691" s="4">
        <v>3231609.68481</v>
      </c>
    </row>
    <row r="4692" spans="1:6" x14ac:dyDescent="0.3">
      <c r="A4692" s="3" t="s">
        <v>30</v>
      </c>
      <c r="B4692" s="7" t="str">
        <f>VLOOKUP(VALUE(A4692), 'DICIONÁRIO UF'!$A:$B, 2, FALSE)</f>
        <v>Distrito Federal</v>
      </c>
      <c r="C4692" s="3">
        <v>93011</v>
      </c>
      <c r="D4692" s="5" t="str">
        <f>VLOOKUP(C4692, 'DICIONÁRIO CNAES'!$A:$B, 2, FALSE)</f>
        <v>Atividades esportivas</v>
      </c>
      <c r="E4692" s="4">
        <v>2722.1217830300002</v>
      </c>
      <c r="F4692" s="4">
        <v>5514370.79129175</v>
      </c>
    </row>
    <row r="4693" spans="1:6" x14ac:dyDescent="0.3">
      <c r="A4693" s="3" t="s">
        <v>30</v>
      </c>
      <c r="B4693" s="7" t="str">
        <f>VLOOKUP(VALUE(A4693), 'DICIONÁRIO UF'!$A:$B, 2, FALSE)</f>
        <v>Distrito Federal</v>
      </c>
      <c r="C4693" s="3">
        <v>93012</v>
      </c>
      <c r="D4693" s="5" t="str">
        <f>VLOOKUP(C4693, 'DICIONÁRIO CNAES'!$A:$B, 2, FALSE)</f>
        <v>Atividades de condicionamento físico</v>
      </c>
      <c r="E4693" s="4">
        <v>10036.13800701</v>
      </c>
      <c r="F4693" s="4">
        <v>19435952.777651999</v>
      </c>
    </row>
    <row r="4694" spans="1:6" x14ac:dyDescent="0.3">
      <c r="A4694" s="3" t="s">
        <v>30</v>
      </c>
      <c r="B4694" s="7" t="str">
        <f>VLOOKUP(VALUE(A4694), 'DICIONÁRIO UF'!$A:$B, 2, FALSE)</f>
        <v>Distrito Federal</v>
      </c>
      <c r="C4694" s="3">
        <v>93020</v>
      </c>
      <c r="D4694" s="5" t="str">
        <f>VLOOKUP(C4694, 'DICIONÁRIO CNAES'!$A:$B, 2, FALSE)</f>
        <v>Atividades de recreação e lazer</v>
      </c>
      <c r="E4694" s="4">
        <v>3012.5369444100002</v>
      </c>
      <c r="F4694" s="4">
        <v>1988855.4497499999</v>
      </c>
    </row>
    <row r="4695" spans="1:6" x14ac:dyDescent="0.3">
      <c r="A4695" s="3" t="s">
        <v>30</v>
      </c>
      <c r="B4695" s="7" t="str">
        <f>VLOOKUP(VALUE(A4695), 'DICIONÁRIO UF'!$A:$B, 2, FALSE)</f>
        <v>Distrito Federal</v>
      </c>
      <c r="C4695" s="3">
        <v>94010</v>
      </c>
      <c r="D4695" s="5" t="str">
        <f>VLOOKUP(C4695, 'DICIONÁRIO CNAES'!$A:$B, 2, FALSE)</f>
        <v>Atividades de organizações associativas patronais, empresariais e profissionais</v>
      </c>
      <c r="E4695" s="4">
        <v>3691.24034828</v>
      </c>
      <c r="F4695" s="4">
        <v>26264382.229162</v>
      </c>
    </row>
    <row r="4696" spans="1:6" x14ac:dyDescent="0.3">
      <c r="A4696" s="3" t="s">
        <v>30</v>
      </c>
      <c r="B4696" s="7" t="str">
        <f>VLOOKUP(VALUE(A4696), 'DICIONÁRIO UF'!$A:$B, 2, FALSE)</f>
        <v>Distrito Federal</v>
      </c>
      <c r="C4696" s="3">
        <v>94020</v>
      </c>
      <c r="D4696" s="5" t="str">
        <f>VLOOKUP(C4696, 'DICIONÁRIO CNAES'!$A:$B, 2, FALSE)</f>
        <v>Atividades de organizações sindicais</v>
      </c>
      <c r="E4696" s="4">
        <v>875.54052191999995</v>
      </c>
      <c r="F4696" s="4">
        <v>6044727.5807959996</v>
      </c>
    </row>
    <row r="4697" spans="1:6" x14ac:dyDescent="0.3">
      <c r="A4697" s="3" t="s">
        <v>30</v>
      </c>
      <c r="B4697" s="7" t="str">
        <f>VLOOKUP(VALUE(A4697), 'DICIONÁRIO UF'!$A:$B, 2, FALSE)</f>
        <v>Distrito Federal</v>
      </c>
      <c r="C4697" s="3">
        <v>94091</v>
      </c>
      <c r="D4697" s="5" t="str">
        <f>VLOOKUP(C4697, 'DICIONÁRIO CNAES'!$A:$B, 2, FALSE)</f>
        <v>Atividades de organizações religiosas e filosóficas</v>
      </c>
      <c r="E4697" s="4">
        <v>4354.6048848600003</v>
      </c>
      <c r="F4697" s="4">
        <v>15174719.899279</v>
      </c>
    </row>
    <row r="4698" spans="1:6" x14ac:dyDescent="0.3">
      <c r="A4698" s="3" t="s">
        <v>30</v>
      </c>
      <c r="B4698" s="7" t="str">
        <f>VLOOKUP(VALUE(A4698), 'DICIONÁRIO UF'!$A:$B, 2, FALSE)</f>
        <v>Distrito Federal</v>
      </c>
      <c r="C4698" s="3">
        <v>94099</v>
      </c>
      <c r="D4698" s="5" t="str">
        <f>VLOOKUP(C4698, 'DICIONÁRIO CNAES'!$A:$B, 2, FALSE)</f>
        <v xml:space="preserve">Outras atividades associativas não especificadas anteriormente </v>
      </c>
      <c r="E4698" s="4">
        <v>1658.0699700600001</v>
      </c>
      <c r="F4698" s="4">
        <v>2896304.4286755198</v>
      </c>
    </row>
    <row r="4699" spans="1:6" x14ac:dyDescent="0.3">
      <c r="A4699" s="3" t="s">
        <v>30</v>
      </c>
      <c r="B4699" s="7" t="str">
        <f>VLOOKUP(VALUE(A4699), 'DICIONÁRIO UF'!$A:$B, 2, FALSE)</f>
        <v>Distrito Federal</v>
      </c>
      <c r="C4699" s="3">
        <v>95010</v>
      </c>
      <c r="D4699" s="5" t="str">
        <f>VLOOKUP(C4699, 'DICIONÁRIO CNAES'!$A:$B, 2, FALSE)</f>
        <v>Reparação e manutenção de equipamentos de informática e comunicação</v>
      </c>
      <c r="E4699" s="4">
        <v>3212.04307371</v>
      </c>
      <c r="F4699" s="4">
        <v>9670183.6008540001</v>
      </c>
    </row>
    <row r="4700" spans="1:6" x14ac:dyDescent="0.3">
      <c r="A4700" s="3" t="s">
        <v>30</v>
      </c>
      <c r="B4700" s="7" t="str">
        <f>VLOOKUP(VALUE(A4700), 'DICIONÁRIO UF'!$A:$B, 2, FALSE)</f>
        <v>Distrito Federal</v>
      </c>
      <c r="C4700" s="3">
        <v>95030</v>
      </c>
      <c r="D4700" s="5" t="str">
        <f>VLOOKUP(C4700, 'DICIONÁRIO CNAES'!$A:$B, 2, FALSE)</f>
        <v>Reparação e manutenção de objetos e equipamentos pessoais e domésticos</v>
      </c>
      <c r="E4700" s="4">
        <v>8114.9730863200002</v>
      </c>
      <c r="F4700" s="4">
        <v>15509966.929838</v>
      </c>
    </row>
    <row r="4701" spans="1:6" x14ac:dyDescent="0.3">
      <c r="A4701" s="3" t="s">
        <v>30</v>
      </c>
      <c r="B4701" s="7" t="str">
        <f>VLOOKUP(VALUE(A4701), 'DICIONÁRIO UF'!$A:$B, 2, FALSE)</f>
        <v>Distrito Federal</v>
      </c>
      <c r="C4701" s="3">
        <v>96010</v>
      </c>
      <c r="D4701" s="5" t="str">
        <f>VLOOKUP(C4701, 'DICIONÁRIO CNAES'!$A:$B, 2, FALSE)</f>
        <v>Lavanderias, tinturarias e toalheiros</v>
      </c>
      <c r="E4701" s="4">
        <v>357.73006318</v>
      </c>
      <c r="F4701" s="4">
        <v>715460.12635999999</v>
      </c>
    </row>
    <row r="4702" spans="1:6" x14ac:dyDescent="0.3">
      <c r="A4702" s="3" t="s">
        <v>30</v>
      </c>
      <c r="B4702" s="7" t="str">
        <f>VLOOKUP(VALUE(A4702), 'DICIONÁRIO UF'!$A:$B, 2, FALSE)</f>
        <v>Distrito Federal</v>
      </c>
      <c r="C4702" s="3">
        <v>96020</v>
      </c>
      <c r="D4702" s="5" t="str">
        <f>VLOOKUP(C4702, 'DICIONÁRIO CNAES'!$A:$B, 2, FALSE)</f>
        <v>Cabeleireiros e outras atividades de tratamento de beleza</v>
      </c>
      <c r="E4702" s="4">
        <v>38389.544078860003</v>
      </c>
      <c r="F4702" s="4">
        <v>54251125.4273265</v>
      </c>
    </row>
    <row r="4703" spans="1:6" x14ac:dyDescent="0.3">
      <c r="A4703" s="3" t="s">
        <v>30</v>
      </c>
      <c r="B4703" s="7" t="str">
        <f>VLOOKUP(VALUE(A4703), 'DICIONÁRIO UF'!$A:$B, 2, FALSE)</f>
        <v>Distrito Federal</v>
      </c>
      <c r="C4703" s="3">
        <v>96090</v>
      </c>
      <c r="D4703" s="5" t="str">
        <f>VLOOKUP(C4703, 'DICIONÁRIO CNAES'!$A:$B, 2, FALSE)</f>
        <v>Outras atividades de serviços pessoais</v>
      </c>
      <c r="E4703" s="4">
        <v>11070.82090488</v>
      </c>
      <c r="F4703" s="4">
        <v>29449036.052639201</v>
      </c>
    </row>
    <row r="4704" spans="1:6" x14ac:dyDescent="0.3">
      <c r="A4704" s="3" t="s">
        <v>30</v>
      </c>
      <c r="B4704" s="7" t="str">
        <f>VLOOKUP(VALUE(A4704), 'DICIONÁRIO UF'!$A:$B, 2, FALSE)</f>
        <v>Distrito Federal</v>
      </c>
      <c r="C4704" s="3">
        <v>97000</v>
      </c>
      <c r="D4704" s="5" t="str">
        <f>VLOOKUP(C4704, 'DICIONÁRIO CNAES'!$A:$B, 2, FALSE)</f>
        <v>Serviços domésticos</v>
      </c>
      <c r="E4704" s="4">
        <v>106084.77109764</v>
      </c>
      <c r="F4704" s="4">
        <v>135813436.85483721</v>
      </c>
    </row>
    <row r="4705" spans="1:6" x14ac:dyDescent="0.3">
      <c r="A4705" s="3" t="s">
        <v>30</v>
      </c>
      <c r="B4705" s="7" t="str">
        <f>VLOOKUP(VALUE(A4705), 'DICIONÁRIO UF'!$A:$B, 2, FALSE)</f>
        <v>Distrito Federal</v>
      </c>
      <c r="C4705" s="3">
        <v>99000</v>
      </c>
      <c r="D4705" s="5" t="str">
        <f>VLOOKUP(C4705, 'DICIONÁRIO CNAES'!$A:$B, 2, FALSE)</f>
        <v>Organismos internacionais e outras instituições extraterritoriais</v>
      </c>
      <c r="E4705" s="4">
        <v>1678.0629522700001</v>
      </c>
      <c r="F4705" s="4">
        <v>28453505.41358</v>
      </c>
    </row>
  </sheetData>
  <autoFilter ref="A2:F2" xr:uid="{7B66A7EC-0359-4065-B5B6-F4B30BCEFA49}"/>
  <mergeCells count="1">
    <mergeCell ref="E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4287-25E0-46F9-87FD-C024E7140EE9}">
  <dimension ref="A1:B331"/>
  <sheetViews>
    <sheetView zoomScale="70" zoomScaleNormal="70" workbookViewId="0">
      <selection activeCell="L326" sqref="L326"/>
    </sheetView>
  </sheetViews>
  <sheetFormatPr defaultRowHeight="14.4" x14ac:dyDescent="0.3"/>
  <cols>
    <col min="1" max="1" width="6.5546875" bestFit="1" customWidth="1"/>
    <col min="2" max="2" width="144.21875" bestFit="1" customWidth="1"/>
  </cols>
  <sheetData>
    <row r="1" spans="1:2" x14ac:dyDescent="0.3">
      <c r="A1" s="12" t="s">
        <v>33</v>
      </c>
      <c r="B1" s="12" t="s">
        <v>34</v>
      </c>
    </row>
    <row r="2" spans="1:2" x14ac:dyDescent="0.3">
      <c r="A2" s="13">
        <v>1101</v>
      </c>
      <c r="B2" s="14" t="s">
        <v>35</v>
      </c>
    </row>
    <row r="3" spans="1:2" x14ac:dyDescent="0.3">
      <c r="A3" s="13">
        <v>1102</v>
      </c>
      <c r="B3" s="14" t="s">
        <v>36</v>
      </c>
    </row>
    <row r="4" spans="1:2" x14ac:dyDescent="0.3">
      <c r="A4" s="13">
        <v>1103</v>
      </c>
      <c r="B4" s="14" t="s">
        <v>37</v>
      </c>
    </row>
    <row r="5" spans="1:2" x14ac:dyDescent="0.3">
      <c r="A5" s="13">
        <v>1104</v>
      </c>
      <c r="B5" s="14" t="s">
        <v>38</v>
      </c>
    </row>
    <row r="6" spans="1:2" x14ac:dyDescent="0.3">
      <c r="A6" s="13">
        <v>1105</v>
      </c>
      <c r="B6" s="14" t="s">
        <v>39</v>
      </c>
    </row>
    <row r="7" spans="1:2" x14ac:dyDescent="0.3">
      <c r="A7" s="13">
        <v>1106</v>
      </c>
      <c r="B7" s="14" t="s">
        <v>40</v>
      </c>
    </row>
    <row r="8" spans="1:2" x14ac:dyDescent="0.3">
      <c r="A8" s="13">
        <v>1107</v>
      </c>
      <c r="B8" s="14" t="s">
        <v>41</v>
      </c>
    </row>
    <row r="9" spans="1:2" x14ac:dyDescent="0.3">
      <c r="A9" s="13">
        <v>1108</v>
      </c>
      <c r="B9" s="14" t="s">
        <v>42</v>
      </c>
    </row>
    <row r="10" spans="1:2" x14ac:dyDescent="0.3">
      <c r="A10" s="13">
        <v>1109</v>
      </c>
      <c r="B10" s="14" t="s">
        <v>43</v>
      </c>
    </row>
    <row r="11" spans="1:2" x14ac:dyDescent="0.3">
      <c r="A11" s="13">
        <v>1110</v>
      </c>
      <c r="B11" s="14" t="s">
        <v>44</v>
      </c>
    </row>
    <row r="12" spans="1:2" x14ac:dyDescent="0.3">
      <c r="A12" s="13">
        <v>1111</v>
      </c>
      <c r="B12" s="14" t="s">
        <v>45</v>
      </c>
    </row>
    <row r="13" spans="1:2" x14ac:dyDescent="0.3">
      <c r="A13" s="13">
        <v>1112</v>
      </c>
      <c r="B13" s="14" t="s">
        <v>46</v>
      </c>
    </row>
    <row r="14" spans="1:2" x14ac:dyDescent="0.3">
      <c r="A14" s="13">
        <v>1113</v>
      </c>
      <c r="B14" s="14" t="s">
        <v>47</v>
      </c>
    </row>
    <row r="15" spans="1:2" x14ac:dyDescent="0.3">
      <c r="A15" s="13">
        <v>1114</v>
      </c>
      <c r="B15" s="14" t="s">
        <v>48</v>
      </c>
    </row>
    <row r="16" spans="1:2" x14ac:dyDescent="0.3">
      <c r="A16" s="13">
        <v>1115</v>
      </c>
      <c r="B16" s="14" t="s">
        <v>49</v>
      </c>
    </row>
    <row r="17" spans="1:2" x14ac:dyDescent="0.3">
      <c r="A17" s="13">
        <v>1116</v>
      </c>
      <c r="B17" s="14" t="s">
        <v>50</v>
      </c>
    </row>
    <row r="18" spans="1:2" x14ac:dyDescent="0.3">
      <c r="A18" s="13">
        <v>1117</v>
      </c>
      <c r="B18" s="14" t="s">
        <v>51</v>
      </c>
    </row>
    <row r="19" spans="1:2" x14ac:dyDescent="0.3">
      <c r="A19" s="13">
        <v>1118</v>
      </c>
      <c r="B19" s="14" t="s">
        <v>52</v>
      </c>
    </row>
    <row r="20" spans="1:2" x14ac:dyDescent="0.3">
      <c r="A20" s="13">
        <v>1119</v>
      </c>
      <c r="B20" s="14" t="s">
        <v>53</v>
      </c>
    </row>
    <row r="21" spans="1:2" x14ac:dyDescent="0.3">
      <c r="A21" s="13">
        <v>1201</v>
      </c>
      <c r="B21" s="14" t="s">
        <v>54</v>
      </c>
    </row>
    <row r="22" spans="1:2" x14ac:dyDescent="0.3">
      <c r="A22" s="13">
        <v>1202</v>
      </c>
      <c r="B22" s="14" t="s">
        <v>55</v>
      </c>
    </row>
    <row r="23" spans="1:2" x14ac:dyDescent="0.3">
      <c r="A23" s="13">
        <v>1203</v>
      </c>
      <c r="B23" s="14" t="s">
        <v>56</v>
      </c>
    </row>
    <row r="24" spans="1:2" x14ac:dyDescent="0.3">
      <c r="A24" s="13">
        <v>1204</v>
      </c>
      <c r="B24" s="14" t="s">
        <v>57</v>
      </c>
    </row>
    <row r="25" spans="1:2" x14ac:dyDescent="0.3">
      <c r="A25" s="13">
        <v>1205</v>
      </c>
      <c r="B25" s="14" t="s">
        <v>58</v>
      </c>
    </row>
    <row r="26" spans="1:2" x14ac:dyDescent="0.3">
      <c r="A26" s="13">
        <v>1206</v>
      </c>
      <c r="B26" s="14" t="s">
        <v>59</v>
      </c>
    </row>
    <row r="27" spans="1:2" x14ac:dyDescent="0.3">
      <c r="A27" s="13">
        <v>1207</v>
      </c>
      <c r="B27" s="14" t="s">
        <v>60</v>
      </c>
    </row>
    <row r="28" spans="1:2" x14ac:dyDescent="0.3">
      <c r="A28" s="15">
        <v>1208</v>
      </c>
      <c r="B28" s="16" t="s">
        <v>61</v>
      </c>
    </row>
    <row r="29" spans="1:2" x14ac:dyDescent="0.3">
      <c r="A29" s="15">
        <v>1209</v>
      </c>
      <c r="B29" s="16" t="s">
        <v>62</v>
      </c>
    </row>
    <row r="30" spans="1:2" x14ac:dyDescent="0.3">
      <c r="A30" s="13">
        <v>1401</v>
      </c>
      <c r="B30" s="14" t="s">
        <v>63</v>
      </c>
    </row>
    <row r="31" spans="1:2" x14ac:dyDescent="0.3">
      <c r="A31" s="13">
        <v>1402</v>
      </c>
      <c r="B31" s="14" t="s">
        <v>64</v>
      </c>
    </row>
    <row r="32" spans="1:2" x14ac:dyDescent="0.3">
      <c r="A32" s="13">
        <v>1500</v>
      </c>
      <c r="B32" s="14" t="s">
        <v>65</v>
      </c>
    </row>
    <row r="33" spans="1:2" x14ac:dyDescent="0.3">
      <c r="A33" s="15">
        <v>1999</v>
      </c>
      <c r="B33" s="16" t="s">
        <v>66</v>
      </c>
    </row>
    <row r="34" spans="1:2" x14ac:dyDescent="0.3">
      <c r="A34" s="17"/>
      <c r="B34" s="18" t="s">
        <v>67</v>
      </c>
    </row>
    <row r="35" spans="1:2" x14ac:dyDescent="0.3">
      <c r="A35" s="13">
        <v>2000</v>
      </c>
      <c r="B35" s="14" t="s">
        <v>68</v>
      </c>
    </row>
    <row r="36" spans="1:2" x14ac:dyDescent="0.3">
      <c r="A36" s="17"/>
      <c r="B36" s="18" t="s">
        <v>69</v>
      </c>
    </row>
    <row r="37" spans="1:2" x14ac:dyDescent="0.3">
      <c r="A37" s="13">
        <v>3001</v>
      </c>
      <c r="B37" s="14" t="s">
        <v>70</v>
      </c>
    </row>
    <row r="38" spans="1:2" x14ac:dyDescent="0.3">
      <c r="A38" s="13">
        <v>3002</v>
      </c>
      <c r="B38" s="14" t="s">
        <v>71</v>
      </c>
    </row>
    <row r="39" spans="1:2" x14ac:dyDescent="0.3">
      <c r="A39" s="19"/>
      <c r="B39" s="20" t="s">
        <v>72</v>
      </c>
    </row>
    <row r="40" spans="1:2" x14ac:dyDescent="0.3">
      <c r="A40" s="17"/>
      <c r="B40" s="18" t="s">
        <v>73</v>
      </c>
    </row>
    <row r="41" spans="1:2" x14ac:dyDescent="0.3">
      <c r="A41" s="21">
        <v>5000</v>
      </c>
      <c r="B41" s="22" t="s">
        <v>74</v>
      </c>
    </row>
    <row r="42" spans="1:2" x14ac:dyDescent="0.3">
      <c r="A42" s="17"/>
      <c r="B42" s="18" t="s">
        <v>75</v>
      </c>
    </row>
    <row r="43" spans="1:2" x14ac:dyDescent="0.3">
      <c r="A43" s="21">
        <v>6000</v>
      </c>
      <c r="B43" s="22" t="s">
        <v>76</v>
      </c>
    </row>
    <row r="44" spans="1:2" x14ac:dyDescent="0.3">
      <c r="A44" s="17"/>
      <c r="B44" s="18" t="s">
        <v>77</v>
      </c>
    </row>
    <row r="45" spans="1:2" x14ac:dyDescent="0.3">
      <c r="A45" s="21">
        <v>7001</v>
      </c>
      <c r="B45" s="22" t="s">
        <v>78</v>
      </c>
    </row>
    <row r="46" spans="1:2" x14ac:dyDescent="0.3">
      <c r="A46" s="21">
        <v>7002</v>
      </c>
      <c r="B46" s="22" t="s">
        <v>79</v>
      </c>
    </row>
    <row r="47" spans="1:2" x14ac:dyDescent="0.3">
      <c r="A47" s="17"/>
      <c r="B47" s="18" t="s">
        <v>80</v>
      </c>
    </row>
    <row r="48" spans="1:2" x14ac:dyDescent="0.3">
      <c r="A48" s="21">
        <v>8001</v>
      </c>
      <c r="B48" s="22" t="s">
        <v>81</v>
      </c>
    </row>
    <row r="49" spans="1:2" x14ac:dyDescent="0.3">
      <c r="A49" s="21">
        <v>8002</v>
      </c>
      <c r="B49" s="22" t="s">
        <v>82</v>
      </c>
    </row>
    <row r="50" spans="1:2" x14ac:dyDescent="0.3">
      <c r="A50" s="21">
        <v>8009</v>
      </c>
      <c r="B50" s="22" t="s">
        <v>83</v>
      </c>
    </row>
    <row r="51" spans="1:2" x14ac:dyDescent="0.3">
      <c r="A51" s="17"/>
      <c r="B51" s="18" t="s">
        <v>84</v>
      </c>
    </row>
    <row r="52" spans="1:2" x14ac:dyDescent="0.3">
      <c r="A52" s="21">
        <v>9000</v>
      </c>
      <c r="B52" s="22" t="s">
        <v>85</v>
      </c>
    </row>
    <row r="53" spans="1:2" x14ac:dyDescent="0.3">
      <c r="A53" s="19"/>
      <c r="B53" s="20" t="s">
        <v>86</v>
      </c>
    </row>
    <row r="54" spans="1:2" x14ac:dyDescent="0.3">
      <c r="A54" s="17"/>
      <c r="B54" s="18" t="s">
        <v>87</v>
      </c>
    </row>
    <row r="55" spans="1:2" x14ac:dyDescent="0.3">
      <c r="A55" s="13">
        <v>10010</v>
      </c>
      <c r="B55" s="14" t="s">
        <v>88</v>
      </c>
    </row>
    <row r="56" spans="1:2" x14ac:dyDescent="0.3">
      <c r="A56" s="13">
        <v>10021</v>
      </c>
      <c r="B56" s="14" t="s">
        <v>89</v>
      </c>
    </row>
    <row r="57" spans="1:2" x14ac:dyDescent="0.3">
      <c r="A57" s="13">
        <v>10022</v>
      </c>
      <c r="B57" s="14" t="s">
        <v>90</v>
      </c>
    </row>
    <row r="58" spans="1:2" x14ac:dyDescent="0.3">
      <c r="A58" s="13">
        <v>10030</v>
      </c>
      <c r="B58" s="14" t="s">
        <v>91</v>
      </c>
    </row>
    <row r="59" spans="1:2" x14ac:dyDescent="0.3">
      <c r="A59" s="13">
        <v>10091</v>
      </c>
      <c r="B59" s="14" t="s">
        <v>92</v>
      </c>
    </row>
    <row r="60" spans="1:2" x14ac:dyDescent="0.3">
      <c r="A60" s="13">
        <v>10092</v>
      </c>
      <c r="B60" s="14" t="s">
        <v>93</v>
      </c>
    </row>
    <row r="61" spans="1:2" x14ac:dyDescent="0.3">
      <c r="A61" s="13">
        <v>10093</v>
      </c>
      <c r="B61" s="14" t="s">
        <v>94</v>
      </c>
    </row>
    <row r="62" spans="1:2" x14ac:dyDescent="0.3">
      <c r="A62" s="13">
        <v>10099</v>
      </c>
      <c r="B62" s="14" t="s">
        <v>95</v>
      </c>
    </row>
    <row r="63" spans="1:2" x14ac:dyDescent="0.3">
      <c r="A63" s="17"/>
      <c r="B63" s="18" t="s">
        <v>96</v>
      </c>
    </row>
    <row r="64" spans="1:2" x14ac:dyDescent="0.3">
      <c r="A64" s="13">
        <v>11000</v>
      </c>
      <c r="B64" s="14" t="s">
        <v>97</v>
      </c>
    </row>
    <row r="65" spans="1:2" x14ac:dyDescent="0.3">
      <c r="A65" s="17"/>
      <c r="B65" s="18" t="s">
        <v>98</v>
      </c>
    </row>
    <row r="66" spans="1:2" x14ac:dyDescent="0.3">
      <c r="A66" s="23">
        <v>12000</v>
      </c>
      <c r="B66" s="14" t="s">
        <v>99</v>
      </c>
    </row>
    <row r="67" spans="1:2" x14ac:dyDescent="0.3">
      <c r="A67" s="17"/>
      <c r="B67" s="18" t="s">
        <v>100</v>
      </c>
    </row>
    <row r="68" spans="1:2" x14ac:dyDescent="0.3">
      <c r="A68" s="23">
        <v>13001</v>
      </c>
      <c r="B68" s="14" t="s">
        <v>101</v>
      </c>
    </row>
    <row r="69" spans="1:2" x14ac:dyDescent="0.3">
      <c r="A69" s="23">
        <v>13002</v>
      </c>
      <c r="B69" s="14" t="s">
        <v>102</v>
      </c>
    </row>
    <row r="70" spans="1:2" x14ac:dyDescent="0.3">
      <c r="A70" s="17"/>
      <c r="B70" s="18" t="s">
        <v>103</v>
      </c>
    </row>
    <row r="71" spans="1:2" x14ac:dyDescent="0.3">
      <c r="A71" s="23">
        <v>14001</v>
      </c>
      <c r="B71" s="14" t="s">
        <v>104</v>
      </c>
    </row>
    <row r="72" spans="1:2" x14ac:dyDescent="0.3">
      <c r="A72" s="23">
        <v>14002</v>
      </c>
      <c r="B72" s="14" t="s">
        <v>105</v>
      </c>
    </row>
    <row r="73" spans="1:2" x14ac:dyDescent="0.3">
      <c r="A73" s="17"/>
      <c r="B73" s="24" t="s">
        <v>106</v>
      </c>
    </row>
    <row r="74" spans="1:2" x14ac:dyDescent="0.3">
      <c r="A74" s="13">
        <v>15011</v>
      </c>
      <c r="B74" s="14" t="s">
        <v>107</v>
      </c>
    </row>
    <row r="75" spans="1:2" x14ac:dyDescent="0.3">
      <c r="A75" s="13">
        <v>15012</v>
      </c>
      <c r="B75" s="14" t="s">
        <v>108</v>
      </c>
    </row>
    <row r="76" spans="1:2" x14ac:dyDescent="0.3">
      <c r="A76" s="13">
        <v>15020</v>
      </c>
      <c r="B76" s="14" t="s">
        <v>109</v>
      </c>
    </row>
    <row r="77" spans="1:2" x14ac:dyDescent="0.3">
      <c r="A77" s="17"/>
      <c r="B77" s="18" t="s">
        <v>110</v>
      </c>
    </row>
    <row r="78" spans="1:2" x14ac:dyDescent="0.3">
      <c r="A78" s="23">
        <v>16001</v>
      </c>
      <c r="B78" s="22" t="s">
        <v>111</v>
      </c>
    </row>
    <row r="79" spans="1:2" x14ac:dyDescent="0.3">
      <c r="A79" s="23">
        <v>16002</v>
      </c>
      <c r="B79" s="14" t="s">
        <v>112</v>
      </c>
    </row>
    <row r="80" spans="1:2" x14ac:dyDescent="0.3">
      <c r="A80" s="17"/>
      <c r="B80" s="18" t="s">
        <v>113</v>
      </c>
    </row>
    <row r="81" spans="1:2" x14ac:dyDescent="0.3">
      <c r="A81" s="13">
        <v>17001</v>
      </c>
      <c r="B81" s="14" t="s">
        <v>114</v>
      </c>
    </row>
    <row r="82" spans="1:2" x14ac:dyDescent="0.3">
      <c r="A82" s="13">
        <v>17002</v>
      </c>
      <c r="B82" s="14" t="s">
        <v>115</v>
      </c>
    </row>
    <row r="83" spans="1:2" x14ac:dyDescent="0.3">
      <c r="A83" s="17"/>
      <c r="B83" s="18" t="s">
        <v>116</v>
      </c>
    </row>
    <row r="84" spans="1:2" x14ac:dyDescent="0.3">
      <c r="A84" s="23">
        <v>18000</v>
      </c>
      <c r="B84" s="14" t="s">
        <v>117</v>
      </c>
    </row>
    <row r="85" spans="1:2" x14ac:dyDescent="0.3">
      <c r="A85" s="17"/>
      <c r="B85" s="18" t="s">
        <v>118</v>
      </c>
    </row>
    <row r="86" spans="1:2" x14ac:dyDescent="0.3">
      <c r="A86" s="13">
        <v>19010</v>
      </c>
      <c r="B86" s="14" t="s">
        <v>119</v>
      </c>
    </row>
    <row r="87" spans="1:2" x14ac:dyDescent="0.3">
      <c r="A87" s="13">
        <v>19020</v>
      </c>
      <c r="B87" s="14" t="s">
        <v>120</v>
      </c>
    </row>
    <row r="88" spans="1:2" x14ac:dyDescent="0.3">
      <c r="A88" s="13">
        <v>19030</v>
      </c>
      <c r="B88" s="14" t="s">
        <v>121</v>
      </c>
    </row>
    <row r="89" spans="1:2" x14ac:dyDescent="0.3">
      <c r="A89" s="17"/>
      <c r="B89" s="18" t="s">
        <v>122</v>
      </c>
    </row>
    <row r="90" spans="1:2" x14ac:dyDescent="0.3">
      <c r="A90" s="13">
        <v>20010</v>
      </c>
      <c r="B90" s="14" t="s">
        <v>123</v>
      </c>
    </row>
    <row r="91" spans="1:2" x14ac:dyDescent="0.3">
      <c r="A91" s="13">
        <v>20020</v>
      </c>
      <c r="B91" s="14" t="s">
        <v>124</v>
      </c>
    </row>
    <row r="92" spans="1:2" x14ac:dyDescent="0.3">
      <c r="A92" s="13">
        <v>20090</v>
      </c>
      <c r="B92" s="14" t="s">
        <v>125</v>
      </c>
    </row>
    <row r="93" spans="1:2" x14ac:dyDescent="0.3">
      <c r="A93" s="17"/>
      <c r="B93" s="18" t="s">
        <v>126</v>
      </c>
    </row>
    <row r="94" spans="1:2" x14ac:dyDescent="0.3">
      <c r="A94" s="13">
        <v>21000</v>
      </c>
      <c r="B94" s="14" t="s">
        <v>127</v>
      </c>
    </row>
    <row r="95" spans="1:2" x14ac:dyDescent="0.3">
      <c r="A95" s="17"/>
      <c r="B95" s="24" t="s">
        <v>128</v>
      </c>
    </row>
    <row r="96" spans="1:2" x14ac:dyDescent="0.3">
      <c r="A96" s="13">
        <v>22010</v>
      </c>
      <c r="B96" s="14" t="s">
        <v>129</v>
      </c>
    </row>
    <row r="97" spans="1:2" x14ac:dyDescent="0.3">
      <c r="A97" s="13">
        <v>22020</v>
      </c>
      <c r="B97" s="14" t="s">
        <v>130</v>
      </c>
    </row>
    <row r="98" spans="1:2" x14ac:dyDescent="0.3">
      <c r="A98" s="17"/>
      <c r="B98" s="18" t="s">
        <v>131</v>
      </c>
    </row>
    <row r="99" spans="1:2" x14ac:dyDescent="0.3">
      <c r="A99" s="13">
        <v>23010</v>
      </c>
      <c r="B99" s="14" t="s">
        <v>132</v>
      </c>
    </row>
    <row r="100" spans="1:2" x14ac:dyDescent="0.3">
      <c r="A100" s="13">
        <v>23091</v>
      </c>
      <c r="B100" s="14" t="s">
        <v>133</v>
      </c>
    </row>
    <row r="101" spans="1:2" x14ac:dyDescent="0.3">
      <c r="A101" s="13">
        <v>23099</v>
      </c>
      <c r="B101" s="14" t="s">
        <v>134</v>
      </c>
    </row>
    <row r="102" spans="1:2" x14ac:dyDescent="0.3">
      <c r="A102" s="17"/>
      <c r="B102" s="18" t="s">
        <v>135</v>
      </c>
    </row>
    <row r="103" spans="1:2" x14ac:dyDescent="0.3">
      <c r="A103" s="23">
        <v>24001</v>
      </c>
      <c r="B103" s="14" t="s">
        <v>136</v>
      </c>
    </row>
    <row r="104" spans="1:2" x14ac:dyDescent="0.3">
      <c r="A104" s="23">
        <v>24002</v>
      </c>
      <c r="B104" s="14" t="s">
        <v>137</v>
      </c>
    </row>
    <row r="105" spans="1:2" x14ac:dyDescent="0.3">
      <c r="A105" s="23">
        <v>24003</v>
      </c>
      <c r="B105" s="14" t="s">
        <v>138</v>
      </c>
    </row>
    <row r="106" spans="1:2" x14ac:dyDescent="0.3">
      <c r="A106" s="17"/>
      <c r="B106" s="18" t="s">
        <v>139</v>
      </c>
    </row>
    <row r="107" spans="1:2" x14ac:dyDescent="0.3">
      <c r="A107" s="23">
        <v>25001</v>
      </c>
      <c r="B107" s="14" t="s">
        <v>140</v>
      </c>
    </row>
    <row r="108" spans="1:2" x14ac:dyDescent="0.3">
      <c r="A108" s="23">
        <v>25002</v>
      </c>
      <c r="B108" s="14" t="s">
        <v>141</v>
      </c>
    </row>
    <row r="109" spans="1:2" x14ac:dyDescent="0.3">
      <c r="A109" s="17"/>
      <c r="B109" s="18" t="s">
        <v>142</v>
      </c>
    </row>
    <row r="110" spans="1:2" x14ac:dyDescent="0.3">
      <c r="A110" s="13">
        <v>26010</v>
      </c>
      <c r="B110" s="14" t="s">
        <v>143</v>
      </c>
    </row>
    <row r="111" spans="1:2" x14ac:dyDescent="0.3">
      <c r="A111" s="13">
        <v>26020</v>
      </c>
      <c r="B111" s="14" t="s">
        <v>144</v>
      </c>
    </row>
    <row r="112" spans="1:2" x14ac:dyDescent="0.3">
      <c r="A112" s="13">
        <v>26030</v>
      </c>
      <c r="B112" s="14" t="s">
        <v>145</v>
      </c>
    </row>
    <row r="113" spans="1:2" x14ac:dyDescent="0.3">
      <c r="A113" s="13">
        <v>26041</v>
      </c>
      <c r="B113" s="14" t="s">
        <v>146</v>
      </c>
    </row>
    <row r="114" spans="1:2" x14ac:dyDescent="0.3">
      <c r="A114" s="13">
        <v>26042</v>
      </c>
      <c r="B114" s="14" t="s">
        <v>147</v>
      </c>
    </row>
    <row r="115" spans="1:2" x14ac:dyDescent="0.3">
      <c r="A115" s="17"/>
      <c r="B115" s="18" t="s">
        <v>148</v>
      </c>
    </row>
    <row r="116" spans="1:2" x14ac:dyDescent="0.3">
      <c r="A116" s="13">
        <v>27010</v>
      </c>
      <c r="B116" s="14" t="s">
        <v>149</v>
      </c>
    </row>
    <row r="117" spans="1:2" x14ac:dyDescent="0.3">
      <c r="A117" s="13">
        <v>27090</v>
      </c>
      <c r="B117" s="14" t="s">
        <v>150</v>
      </c>
    </row>
    <row r="118" spans="1:2" x14ac:dyDescent="0.3">
      <c r="A118" s="17"/>
      <c r="B118" s="18" t="s">
        <v>151</v>
      </c>
    </row>
    <row r="119" spans="1:2" x14ac:dyDescent="0.3">
      <c r="A119" s="23">
        <v>28000</v>
      </c>
      <c r="B119" s="14" t="s">
        <v>152</v>
      </c>
    </row>
    <row r="120" spans="1:2" x14ac:dyDescent="0.3">
      <c r="A120" s="17"/>
      <c r="B120" s="24" t="s">
        <v>153</v>
      </c>
    </row>
    <row r="121" spans="1:2" x14ac:dyDescent="0.3">
      <c r="A121" s="23">
        <v>29001</v>
      </c>
      <c r="B121" s="14" t="s">
        <v>154</v>
      </c>
    </row>
    <row r="122" spans="1:2" x14ac:dyDescent="0.3">
      <c r="A122" s="23">
        <v>29002</v>
      </c>
      <c r="B122" s="14" t="s">
        <v>155</v>
      </c>
    </row>
    <row r="123" spans="1:2" x14ac:dyDescent="0.3">
      <c r="A123" s="23">
        <v>29003</v>
      </c>
      <c r="B123" s="14" t="s">
        <v>156</v>
      </c>
    </row>
    <row r="124" spans="1:2" x14ac:dyDescent="0.3">
      <c r="A124" s="17"/>
      <c r="B124" s="18" t="s">
        <v>157</v>
      </c>
    </row>
    <row r="125" spans="1:2" x14ac:dyDescent="0.3">
      <c r="A125" s="13">
        <v>30010</v>
      </c>
      <c r="B125" s="14" t="s">
        <v>158</v>
      </c>
    </row>
    <row r="126" spans="1:2" x14ac:dyDescent="0.3">
      <c r="A126" s="13">
        <v>30020</v>
      </c>
      <c r="B126" s="14" t="s">
        <v>159</v>
      </c>
    </row>
    <row r="127" spans="1:2" x14ac:dyDescent="0.3">
      <c r="A127" s="13">
        <v>30030</v>
      </c>
      <c r="B127" s="14" t="s">
        <v>160</v>
      </c>
    </row>
    <row r="128" spans="1:2" x14ac:dyDescent="0.3">
      <c r="A128" s="13">
        <v>30090</v>
      </c>
      <c r="B128" s="14" t="s">
        <v>161</v>
      </c>
    </row>
    <row r="129" spans="1:2" x14ac:dyDescent="0.3">
      <c r="A129" s="17"/>
      <c r="B129" s="18" t="s">
        <v>162</v>
      </c>
    </row>
    <row r="130" spans="1:2" x14ac:dyDescent="0.3">
      <c r="A130" s="13">
        <v>31000</v>
      </c>
      <c r="B130" s="14" t="s">
        <v>163</v>
      </c>
    </row>
    <row r="131" spans="1:2" x14ac:dyDescent="0.3">
      <c r="A131" s="17"/>
      <c r="B131" s="18" t="s">
        <v>164</v>
      </c>
    </row>
    <row r="132" spans="1:2" x14ac:dyDescent="0.3">
      <c r="A132" s="13">
        <v>32001</v>
      </c>
      <c r="B132" s="14" t="s">
        <v>165</v>
      </c>
    </row>
    <row r="133" spans="1:2" x14ac:dyDescent="0.3">
      <c r="A133" s="13">
        <v>32002</v>
      </c>
      <c r="B133" s="14" t="s">
        <v>166</v>
      </c>
    </row>
    <row r="134" spans="1:2" x14ac:dyDescent="0.3">
      <c r="A134" s="13">
        <v>32003</v>
      </c>
      <c r="B134" s="14" t="s">
        <v>167</v>
      </c>
    </row>
    <row r="135" spans="1:2" x14ac:dyDescent="0.3">
      <c r="A135" s="13">
        <v>32009</v>
      </c>
      <c r="B135" s="14" t="s">
        <v>168</v>
      </c>
    </row>
    <row r="136" spans="1:2" x14ac:dyDescent="0.3">
      <c r="A136" s="17"/>
      <c r="B136" s="18" t="s">
        <v>169</v>
      </c>
    </row>
    <row r="137" spans="1:2" x14ac:dyDescent="0.3">
      <c r="A137" s="23">
        <v>33001</v>
      </c>
      <c r="B137" s="14" t="s">
        <v>170</v>
      </c>
    </row>
    <row r="138" spans="1:2" x14ac:dyDescent="0.3">
      <c r="A138" s="23">
        <v>33002</v>
      </c>
      <c r="B138" s="14" t="s">
        <v>171</v>
      </c>
    </row>
    <row r="139" spans="1:2" x14ac:dyDescent="0.3">
      <c r="A139" s="19"/>
      <c r="B139" s="20" t="s">
        <v>172</v>
      </c>
    </row>
    <row r="140" spans="1:2" x14ac:dyDescent="0.3">
      <c r="A140" s="17"/>
      <c r="B140" s="18" t="s">
        <v>173</v>
      </c>
    </row>
    <row r="141" spans="1:2" x14ac:dyDescent="0.3">
      <c r="A141" s="13">
        <v>35010</v>
      </c>
      <c r="B141" s="14" t="s">
        <v>174</v>
      </c>
    </row>
    <row r="142" spans="1:2" x14ac:dyDescent="0.3">
      <c r="A142" s="13">
        <v>35021</v>
      </c>
      <c r="B142" s="14" t="s">
        <v>175</v>
      </c>
    </row>
    <row r="143" spans="1:2" x14ac:dyDescent="0.3">
      <c r="A143" s="13">
        <v>35022</v>
      </c>
      <c r="B143" s="14" t="s">
        <v>176</v>
      </c>
    </row>
    <row r="144" spans="1:2" x14ac:dyDescent="0.3">
      <c r="A144" s="19"/>
      <c r="B144" s="20" t="s">
        <v>177</v>
      </c>
    </row>
    <row r="145" spans="1:2" x14ac:dyDescent="0.3">
      <c r="A145" s="25"/>
      <c r="B145" s="18" t="s">
        <v>178</v>
      </c>
    </row>
    <row r="146" spans="1:2" x14ac:dyDescent="0.3">
      <c r="A146" s="23">
        <v>36000</v>
      </c>
      <c r="B146" s="14" t="s">
        <v>179</v>
      </c>
    </row>
    <row r="147" spans="1:2" x14ac:dyDescent="0.3">
      <c r="A147" s="25"/>
      <c r="B147" s="18" t="s">
        <v>180</v>
      </c>
    </row>
    <row r="148" spans="1:2" x14ac:dyDescent="0.3">
      <c r="A148" s="23">
        <v>37000</v>
      </c>
      <c r="B148" s="14" t="s">
        <v>181</v>
      </c>
    </row>
    <row r="149" spans="1:2" x14ac:dyDescent="0.3">
      <c r="A149" s="25"/>
      <c r="B149" s="18" t="s">
        <v>182</v>
      </c>
    </row>
    <row r="150" spans="1:2" x14ac:dyDescent="0.3">
      <c r="A150" s="23">
        <v>38000</v>
      </c>
      <c r="B150" s="14" t="s">
        <v>183</v>
      </c>
    </row>
    <row r="151" spans="1:2" x14ac:dyDescent="0.3">
      <c r="A151" s="25"/>
      <c r="B151" s="18" t="s">
        <v>184</v>
      </c>
    </row>
    <row r="152" spans="1:2" x14ac:dyDescent="0.3">
      <c r="A152" s="23">
        <v>39000</v>
      </c>
      <c r="B152" s="14" t="s">
        <v>185</v>
      </c>
    </row>
    <row r="153" spans="1:2" x14ac:dyDescent="0.3">
      <c r="A153" s="19"/>
      <c r="B153" s="20" t="s">
        <v>186</v>
      </c>
    </row>
    <row r="154" spans="1:2" x14ac:dyDescent="0.3">
      <c r="A154" s="25"/>
      <c r="B154" s="18" t="s">
        <v>187</v>
      </c>
    </row>
    <row r="155" spans="1:2" x14ac:dyDescent="0.3">
      <c r="A155" s="23">
        <v>41000</v>
      </c>
      <c r="B155" s="14" t="s">
        <v>188</v>
      </c>
    </row>
    <row r="156" spans="1:2" x14ac:dyDescent="0.3">
      <c r="A156" s="25"/>
      <c r="B156" s="18" t="s">
        <v>189</v>
      </c>
    </row>
    <row r="157" spans="1:2" x14ac:dyDescent="0.3">
      <c r="A157" s="23">
        <v>42000</v>
      </c>
      <c r="B157" s="14" t="s">
        <v>190</v>
      </c>
    </row>
    <row r="158" spans="1:2" x14ac:dyDescent="0.3">
      <c r="A158" s="25"/>
      <c r="B158" s="18" t="s">
        <v>191</v>
      </c>
    </row>
    <row r="159" spans="1:2" x14ac:dyDescent="0.3">
      <c r="A159" s="23">
        <v>43000</v>
      </c>
      <c r="B159" s="14" t="s">
        <v>192</v>
      </c>
    </row>
    <row r="160" spans="1:2" x14ac:dyDescent="0.3">
      <c r="A160" s="19"/>
      <c r="B160" s="20" t="s">
        <v>193</v>
      </c>
    </row>
    <row r="161" spans="1:2" x14ac:dyDescent="0.3">
      <c r="A161" s="25"/>
      <c r="B161" s="18" t="s">
        <v>194</v>
      </c>
    </row>
    <row r="162" spans="1:2" x14ac:dyDescent="0.3">
      <c r="A162" s="13">
        <v>45010</v>
      </c>
      <c r="B162" s="14" t="s">
        <v>195</v>
      </c>
    </row>
    <row r="163" spans="1:2" x14ac:dyDescent="0.3">
      <c r="A163" s="13">
        <v>45020</v>
      </c>
      <c r="B163" s="14" t="s">
        <v>196</v>
      </c>
    </row>
    <row r="164" spans="1:2" x14ac:dyDescent="0.3">
      <c r="A164" s="13">
        <v>45030</v>
      </c>
      <c r="B164" s="14" t="s">
        <v>197</v>
      </c>
    </row>
    <row r="165" spans="1:2" x14ac:dyDescent="0.3">
      <c r="A165" s="13">
        <v>45040</v>
      </c>
      <c r="B165" s="14" t="s">
        <v>198</v>
      </c>
    </row>
    <row r="166" spans="1:2" x14ac:dyDescent="0.3">
      <c r="A166" s="25"/>
      <c r="B166" s="24" t="s">
        <v>199</v>
      </c>
    </row>
    <row r="167" spans="1:2" x14ac:dyDescent="0.3">
      <c r="A167" s="13">
        <v>48010</v>
      </c>
      <c r="B167" s="14" t="s">
        <v>200</v>
      </c>
    </row>
    <row r="168" spans="1:2" x14ac:dyDescent="0.3">
      <c r="A168" s="13">
        <v>48020</v>
      </c>
      <c r="B168" s="14" t="s">
        <v>201</v>
      </c>
    </row>
    <row r="169" spans="1:2" x14ac:dyDescent="0.3">
      <c r="A169" s="13">
        <v>48030</v>
      </c>
      <c r="B169" s="14" t="s">
        <v>202</v>
      </c>
    </row>
    <row r="170" spans="1:2" x14ac:dyDescent="0.3">
      <c r="A170" s="13">
        <v>48041</v>
      </c>
      <c r="B170" s="14" t="s">
        <v>203</v>
      </c>
    </row>
    <row r="171" spans="1:2" x14ac:dyDescent="0.3">
      <c r="A171" s="13">
        <v>48042</v>
      </c>
      <c r="B171" s="14" t="s">
        <v>204</v>
      </c>
    </row>
    <row r="172" spans="1:2" x14ac:dyDescent="0.3">
      <c r="A172" s="13">
        <v>48050</v>
      </c>
      <c r="B172" s="14" t="s">
        <v>205</v>
      </c>
    </row>
    <row r="173" spans="1:2" x14ac:dyDescent="0.3">
      <c r="A173" s="13">
        <v>48060</v>
      </c>
      <c r="B173" s="14" t="s">
        <v>206</v>
      </c>
    </row>
    <row r="174" spans="1:2" x14ac:dyDescent="0.3">
      <c r="A174" s="13">
        <v>48071</v>
      </c>
      <c r="B174" s="14" t="s">
        <v>207</v>
      </c>
    </row>
    <row r="175" spans="1:2" x14ac:dyDescent="0.3">
      <c r="A175" s="13">
        <v>48072</v>
      </c>
      <c r="B175" s="14" t="s">
        <v>208</v>
      </c>
    </row>
    <row r="176" spans="1:2" x14ac:dyDescent="0.3">
      <c r="A176" s="13">
        <v>48073</v>
      </c>
      <c r="B176" s="14" t="s">
        <v>209</v>
      </c>
    </row>
    <row r="177" spans="1:2" x14ac:dyDescent="0.3">
      <c r="A177" s="13">
        <v>48074</v>
      </c>
      <c r="B177" s="14" t="s">
        <v>210</v>
      </c>
    </row>
    <row r="178" spans="1:2" x14ac:dyDescent="0.3">
      <c r="A178" s="13">
        <v>48075</v>
      </c>
      <c r="B178" s="14" t="s">
        <v>211</v>
      </c>
    </row>
    <row r="179" spans="1:2" x14ac:dyDescent="0.3">
      <c r="A179" s="13">
        <v>48076</v>
      </c>
      <c r="B179" s="14" t="s">
        <v>212</v>
      </c>
    </row>
    <row r="180" spans="1:2" x14ac:dyDescent="0.3">
      <c r="A180" s="13">
        <v>48077</v>
      </c>
      <c r="B180" s="14" t="s">
        <v>213</v>
      </c>
    </row>
    <row r="181" spans="1:2" x14ac:dyDescent="0.3">
      <c r="A181" s="13">
        <v>48078</v>
      </c>
      <c r="B181" s="14" t="s">
        <v>214</v>
      </c>
    </row>
    <row r="182" spans="1:2" x14ac:dyDescent="0.3">
      <c r="A182" s="13">
        <v>48079</v>
      </c>
      <c r="B182" s="14" t="s">
        <v>215</v>
      </c>
    </row>
    <row r="183" spans="1:2" x14ac:dyDescent="0.3">
      <c r="A183" s="13">
        <v>48080</v>
      </c>
      <c r="B183" s="14" t="s">
        <v>216</v>
      </c>
    </row>
    <row r="184" spans="1:2" x14ac:dyDescent="0.3">
      <c r="A184" s="13">
        <v>48090</v>
      </c>
      <c r="B184" s="14" t="s">
        <v>217</v>
      </c>
    </row>
    <row r="185" spans="1:2" x14ac:dyDescent="0.3">
      <c r="A185" s="13">
        <v>48100</v>
      </c>
      <c r="B185" s="14" t="s">
        <v>218</v>
      </c>
    </row>
    <row r="186" spans="1:2" x14ac:dyDescent="0.3">
      <c r="A186" s="19"/>
      <c r="B186" s="20" t="s">
        <v>219</v>
      </c>
    </row>
    <row r="187" spans="1:2" x14ac:dyDescent="0.3">
      <c r="A187" s="25"/>
      <c r="B187" s="18" t="s">
        <v>220</v>
      </c>
    </row>
    <row r="188" spans="1:2" x14ac:dyDescent="0.3">
      <c r="A188" s="13">
        <v>49010</v>
      </c>
      <c r="B188" s="14" t="s">
        <v>221</v>
      </c>
    </row>
    <row r="189" spans="1:2" x14ac:dyDescent="0.3">
      <c r="A189" s="13">
        <v>49030</v>
      </c>
      <c r="B189" s="14" t="s">
        <v>222</v>
      </c>
    </row>
    <row r="190" spans="1:2" x14ac:dyDescent="0.3">
      <c r="A190" s="13">
        <v>49040</v>
      </c>
      <c r="B190" s="14" t="s">
        <v>223</v>
      </c>
    </row>
    <row r="191" spans="1:2" x14ac:dyDescent="0.3">
      <c r="A191" s="13">
        <v>49090</v>
      </c>
      <c r="B191" s="26" t="s">
        <v>224</v>
      </c>
    </row>
    <row r="192" spans="1:2" x14ac:dyDescent="0.3">
      <c r="A192" s="25"/>
      <c r="B192" s="18" t="s">
        <v>225</v>
      </c>
    </row>
    <row r="193" spans="1:2" x14ac:dyDescent="0.3">
      <c r="A193" s="13">
        <v>50000</v>
      </c>
      <c r="B193" s="14" t="s">
        <v>226</v>
      </c>
    </row>
    <row r="194" spans="1:2" x14ac:dyDescent="0.3">
      <c r="A194" s="25"/>
      <c r="B194" s="18" t="s">
        <v>227</v>
      </c>
    </row>
    <row r="195" spans="1:2" x14ac:dyDescent="0.3">
      <c r="A195" s="23">
        <v>51000</v>
      </c>
      <c r="B195" s="14" t="s">
        <v>228</v>
      </c>
    </row>
    <row r="196" spans="1:2" x14ac:dyDescent="0.3">
      <c r="A196" s="25"/>
      <c r="B196" s="18" t="s">
        <v>229</v>
      </c>
    </row>
    <row r="197" spans="1:2" x14ac:dyDescent="0.3">
      <c r="A197" s="13">
        <v>52010</v>
      </c>
      <c r="B197" s="14" t="s">
        <v>230</v>
      </c>
    </row>
    <row r="198" spans="1:2" x14ac:dyDescent="0.3">
      <c r="A198" s="13">
        <v>52020</v>
      </c>
      <c r="B198" s="14" t="s">
        <v>231</v>
      </c>
    </row>
    <row r="199" spans="1:2" x14ac:dyDescent="0.3">
      <c r="A199" s="25"/>
      <c r="B199" s="18" t="s">
        <v>232</v>
      </c>
    </row>
    <row r="200" spans="1:2" x14ac:dyDescent="0.3">
      <c r="A200" s="13">
        <v>53001</v>
      </c>
      <c r="B200" s="14" t="s">
        <v>233</v>
      </c>
    </row>
    <row r="201" spans="1:2" x14ac:dyDescent="0.3">
      <c r="A201" s="13">
        <v>53002</v>
      </c>
      <c r="B201" s="14" t="s">
        <v>234</v>
      </c>
    </row>
    <row r="202" spans="1:2" x14ac:dyDescent="0.3">
      <c r="A202" s="19"/>
      <c r="B202" s="20" t="s">
        <v>235</v>
      </c>
    </row>
    <row r="203" spans="1:2" x14ac:dyDescent="0.3">
      <c r="A203" s="25"/>
      <c r="B203" s="18" t="s">
        <v>236</v>
      </c>
    </row>
    <row r="204" spans="1:2" x14ac:dyDescent="0.3">
      <c r="A204" s="13">
        <v>55000</v>
      </c>
      <c r="B204" s="14" t="s">
        <v>237</v>
      </c>
    </row>
    <row r="205" spans="1:2" x14ac:dyDescent="0.3">
      <c r="A205" s="25"/>
      <c r="B205" s="18" t="s">
        <v>238</v>
      </c>
    </row>
    <row r="206" spans="1:2" x14ac:dyDescent="0.3">
      <c r="A206" s="13">
        <v>56011</v>
      </c>
      <c r="B206" s="22" t="s">
        <v>239</v>
      </c>
    </row>
    <row r="207" spans="1:2" x14ac:dyDescent="0.3">
      <c r="A207" s="13">
        <v>56012</v>
      </c>
      <c r="B207" s="22" t="s">
        <v>240</v>
      </c>
    </row>
    <row r="208" spans="1:2" x14ac:dyDescent="0.3">
      <c r="A208" s="13">
        <v>56020</v>
      </c>
      <c r="B208" s="22" t="s">
        <v>241</v>
      </c>
    </row>
    <row r="209" spans="1:2" x14ac:dyDescent="0.3">
      <c r="A209" s="19"/>
      <c r="B209" s="20" t="s">
        <v>242</v>
      </c>
    </row>
    <row r="210" spans="1:2" x14ac:dyDescent="0.3">
      <c r="A210" s="25"/>
      <c r="B210" s="18" t="s">
        <v>243</v>
      </c>
    </row>
    <row r="211" spans="1:2" x14ac:dyDescent="0.3">
      <c r="A211" s="13">
        <v>58000</v>
      </c>
      <c r="B211" s="22" t="s">
        <v>244</v>
      </c>
    </row>
    <row r="212" spans="1:2" x14ac:dyDescent="0.3">
      <c r="A212" s="25"/>
      <c r="B212" s="18" t="s">
        <v>245</v>
      </c>
    </row>
    <row r="213" spans="1:2" x14ac:dyDescent="0.3">
      <c r="A213" s="13">
        <v>59000</v>
      </c>
      <c r="B213" s="22" t="s">
        <v>246</v>
      </c>
    </row>
    <row r="214" spans="1:2" x14ac:dyDescent="0.3">
      <c r="A214" s="25"/>
      <c r="B214" s="24" t="s">
        <v>247</v>
      </c>
    </row>
    <row r="215" spans="1:2" x14ac:dyDescent="0.3">
      <c r="A215" s="13">
        <v>60001</v>
      </c>
      <c r="B215" s="22" t="s">
        <v>248</v>
      </c>
    </row>
    <row r="216" spans="1:2" x14ac:dyDescent="0.3">
      <c r="A216" s="13">
        <v>60002</v>
      </c>
      <c r="B216" s="22" t="s">
        <v>249</v>
      </c>
    </row>
    <row r="217" spans="1:2" x14ac:dyDescent="0.3">
      <c r="A217" s="25"/>
      <c r="B217" s="18" t="s">
        <v>250</v>
      </c>
    </row>
    <row r="218" spans="1:2" x14ac:dyDescent="0.3">
      <c r="A218" s="13">
        <v>61000</v>
      </c>
      <c r="B218" s="22" t="s">
        <v>251</v>
      </c>
    </row>
    <row r="219" spans="1:2" x14ac:dyDescent="0.3">
      <c r="A219" s="25"/>
      <c r="B219" s="18" t="s">
        <v>252</v>
      </c>
    </row>
    <row r="220" spans="1:2" x14ac:dyDescent="0.3">
      <c r="A220" s="13">
        <v>62000</v>
      </c>
      <c r="B220" s="22" t="s">
        <v>253</v>
      </c>
    </row>
    <row r="221" spans="1:2" x14ac:dyDescent="0.3">
      <c r="A221" s="25"/>
      <c r="B221" s="18" t="s">
        <v>254</v>
      </c>
    </row>
    <row r="222" spans="1:2" x14ac:dyDescent="0.3">
      <c r="A222" s="13">
        <v>63000</v>
      </c>
      <c r="B222" s="22" t="s">
        <v>255</v>
      </c>
    </row>
    <row r="223" spans="1:2" x14ac:dyDescent="0.3">
      <c r="A223" s="19"/>
      <c r="B223" s="20" t="s">
        <v>256</v>
      </c>
    </row>
    <row r="224" spans="1:2" x14ac:dyDescent="0.3">
      <c r="A224" s="25"/>
      <c r="B224" s="18" t="s">
        <v>257</v>
      </c>
    </row>
    <row r="225" spans="1:2" x14ac:dyDescent="0.3">
      <c r="A225" s="13">
        <v>64000</v>
      </c>
      <c r="B225" s="22" t="s">
        <v>258</v>
      </c>
    </row>
    <row r="226" spans="1:2" x14ac:dyDescent="0.3">
      <c r="A226" s="25"/>
      <c r="B226" s="18" t="s">
        <v>259</v>
      </c>
    </row>
    <row r="227" spans="1:2" x14ac:dyDescent="0.3">
      <c r="A227" s="13">
        <v>65000</v>
      </c>
      <c r="B227" s="22" t="s">
        <v>260</v>
      </c>
    </row>
    <row r="228" spans="1:2" x14ac:dyDescent="0.3">
      <c r="A228" s="25"/>
      <c r="B228" s="18" t="s">
        <v>261</v>
      </c>
    </row>
    <row r="229" spans="1:2" x14ac:dyDescent="0.3">
      <c r="A229" s="13">
        <v>66001</v>
      </c>
      <c r="B229" s="22" t="s">
        <v>262</v>
      </c>
    </row>
    <row r="230" spans="1:2" x14ac:dyDescent="0.3">
      <c r="A230" s="13">
        <v>66002</v>
      </c>
      <c r="B230" s="22" t="s">
        <v>263</v>
      </c>
    </row>
    <row r="231" spans="1:2" x14ac:dyDescent="0.3">
      <c r="A231" s="19"/>
      <c r="B231" s="20" t="s">
        <v>264</v>
      </c>
    </row>
    <row r="232" spans="1:2" x14ac:dyDescent="0.3">
      <c r="A232" s="25"/>
      <c r="B232" s="18" t="s">
        <v>264</v>
      </c>
    </row>
    <row r="233" spans="1:2" x14ac:dyDescent="0.3">
      <c r="A233" s="13">
        <v>68000</v>
      </c>
      <c r="B233" s="22" t="s">
        <v>265</v>
      </c>
    </row>
    <row r="234" spans="1:2" x14ac:dyDescent="0.3">
      <c r="A234" s="19"/>
      <c r="B234" s="20" t="s">
        <v>266</v>
      </c>
    </row>
    <row r="235" spans="1:2" x14ac:dyDescent="0.3">
      <c r="A235" s="25"/>
      <c r="B235" s="18" t="s">
        <v>267</v>
      </c>
    </row>
    <row r="236" spans="1:2" x14ac:dyDescent="0.3">
      <c r="A236" s="13">
        <v>69000</v>
      </c>
      <c r="B236" s="22" t="s">
        <v>268</v>
      </c>
    </row>
    <row r="237" spans="1:2" x14ac:dyDescent="0.3">
      <c r="A237" s="17"/>
      <c r="B237" s="18" t="s">
        <v>269</v>
      </c>
    </row>
    <row r="238" spans="1:2" x14ac:dyDescent="0.3">
      <c r="A238" s="13">
        <v>70000</v>
      </c>
      <c r="B238" s="22" t="s">
        <v>270</v>
      </c>
    </row>
    <row r="239" spans="1:2" x14ac:dyDescent="0.3">
      <c r="A239" s="25"/>
      <c r="B239" s="18" t="s">
        <v>271</v>
      </c>
    </row>
    <row r="240" spans="1:2" x14ac:dyDescent="0.3">
      <c r="A240" s="13">
        <v>71000</v>
      </c>
      <c r="B240" s="22" t="s">
        <v>272</v>
      </c>
    </row>
    <row r="241" spans="1:2" x14ac:dyDescent="0.3">
      <c r="A241" s="25"/>
      <c r="B241" s="18" t="s">
        <v>273</v>
      </c>
    </row>
    <row r="242" spans="1:2" x14ac:dyDescent="0.3">
      <c r="A242" s="13">
        <v>72000</v>
      </c>
      <c r="B242" s="22" t="s">
        <v>274</v>
      </c>
    </row>
    <row r="243" spans="1:2" x14ac:dyDescent="0.3">
      <c r="A243" s="25"/>
      <c r="B243" s="18" t="s">
        <v>275</v>
      </c>
    </row>
    <row r="244" spans="1:2" x14ac:dyDescent="0.3">
      <c r="A244" s="13">
        <v>73010</v>
      </c>
      <c r="B244" s="22" t="s">
        <v>276</v>
      </c>
    </row>
    <row r="245" spans="1:2" x14ac:dyDescent="0.3">
      <c r="A245" s="23">
        <v>73020</v>
      </c>
      <c r="B245" s="22" t="s">
        <v>277</v>
      </c>
    </row>
    <row r="246" spans="1:2" x14ac:dyDescent="0.3">
      <c r="A246" s="25"/>
      <c r="B246" s="18" t="s">
        <v>278</v>
      </c>
    </row>
    <row r="247" spans="1:2" x14ac:dyDescent="0.3">
      <c r="A247" s="13">
        <v>74000</v>
      </c>
      <c r="B247" s="22" t="s">
        <v>279</v>
      </c>
    </row>
    <row r="248" spans="1:2" x14ac:dyDescent="0.3">
      <c r="A248" s="25"/>
      <c r="B248" s="18" t="s">
        <v>280</v>
      </c>
    </row>
    <row r="249" spans="1:2" x14ac:dyDescent="0.3">
      <c r="A249" s="13">
        <v>75000</v>
      </c>
      <c r="B249" s="22" t="s">
        <v>281</v>
      </c>
    </row>
    <row r="250" spans="1:2" x14ac:dyDescent="0.3">
      <c r="A250" s="19"/>
      <c r="B250" s="20" t="s">
        <v>282</v>
      </c>
    </row>
    <row r="251" spans="1:2" x14ac:dyDescent="0.3">
      <c r="A251" s="25"/>
      <c r="B251" s="18" t="s">
        <v>283</v>
      </c>
    </row>
    <row r="252" spans="1:2" x14ac:dyDescent="0.3">
      <c r="A252" s="13">
        <v>77010</v>
      </c>
      <c r="B252" s="22" t="s">
        <v>284</v>
      </c>
    </row>
    <row r="253" spans="1:2" x14ac:dyDescent="0.3">
      <c r="A253" s="13">
        <v>77020</v>
      </c>
      <c r="B253" s="22" t="s">
        <v>285</v>
      </c>
    </row>
    <row r="254" spans="1:2" x14ac:dyDescent="0.3">
      <c r="A254" s="25"/>
      <c r="B254" s="18" t="s">
        <v>286</v>
      </c>
    </row>
    <row r="255" spans="1:2" x14ac:dyDescent="0.3">
      <c r="A255" s="13">
        <v>78000</v>
      </c>
      <c r="B255" s="22" t="s">
        <v>287</v>
      </c>
    </row>
    <row r="256" spans="1:2" x14ac:dyDescent="0.3">
      <c r="A256" s="25"/>
      <c r="B256" s="18" t="s">
        <v>288</v>
      </c>
    </row>
    <row r="257" spans="1:2" x14ac:dyDescent="0.3">
      <c r="A257" s="13">
        <v>79000</v>
      </c>
      <c r="B257" s="22" t="s">
        <v>289</v>
      </c>
    </row>
    <row r="258" spans="1:2" x14ac:dyDescent="0.3">
      <c r="A258" s="25"/>
      <c r="B258" s="18" t="s">
        <v>290</v>
      </c>
    </row>
    <row r="259" spans="1:2" x14ac:dyDescent="0.3">
      <c r="A259" s="13">
        <v>80000</v>
      </c>
      <c r="B259" s="22" t="s">
        <v>291</v>
      </c>
    </row>
    <row r="260" spans="1:2" x14ac:dyDescent="0.3">
      <c r="A260" s="25"/>
      <c r="B260" s="18" t="s">
        <v>292</v>
      </c>
    </row>
    <row r="261" spans="1:2" x14ac:dyDescent="0.3">
      <c r="A261" s="13">
        <v>81011</v>
      </c>
      <c r="B261" s="22" t="s">
        <v>293</v>
      </c>
    </row>
    <row r="262" spans="1:2" x14ac:dyDescent="0.3">
      <c r="A262" s="13">
        <v>81012</v>
      </c>
      <c r="B262" s="22" t="s">
        <v>294</v>
      </c>
    </row>
    <row r="263" spans="1:2" x14ac:dyDescent="0.3">
      <c r="A263" s="13">
        <v>81020</v>
      </c>
      <c r="B263" s="22" t="s">
        <v>295</v>
      </c>
    </row>
    <row r="264" spans="1:2" x14ac:dyDescent="0.3">
      <c r="A264" s="25"/>
      <c r="B264" s="18" t="s">
        <v>296</v>
      </c>
    </row>
    <row r="265" spans="1:2" x14ac:dyDescent="0.3">
      <c r="A265" s="23">
        <v>82001</v>
      </c>
      <c r="B265" s="22" t="s">
        <v>297</v>
      </c>
    </row>
    <row r="266" spans="1:2" x14ac:dyDescent="0.3">
      <c r="A266" s="23">
        <v>82002</v>
      </c>
      <c r="B266" s="22" t="s">
        <v>298</v>
      </c>
    </row>
    <row r="267" spans="1:2" x14ac:dyDescent="0.3">
      <c r="A267" s="23">
        <v>82003</v>
      </c>
      <c r="B267" s="22" t="s">
        <v>299</v>
      </c>
    </row>
    <row r="268" spans="1:2" x14ac:dyDescent="0.3">
      <c r="A268" s="13">
        <v>82009</v>
      </c>
      <c r="B268" s="22" t="s">
        <v>300</v>
      </c>
    </row>
    <row r="269" spans="1:2" x14ac:dyDescent="0.3">
      <c r="A269" s="19"/>
      <c r="B269" s="20" t="s">
        <v>301</v>
      </c>
    </row>
    <row r="270" spans="1:2" x14ac:dyDescent="0.3">
      <c r="A270" s="25"/>
      <c r="B270" s="18" t="s">
        <v>301</v>
      </c>
    </row>
    <row r="271" spans="1:2" x14ac:dyDescent="0.3">
      <c r="A271" s="13">
        <v>84011</v>
      </c>
      <c r="B271" s="14" t="s">
        <v>302</v>
      </c>
    </row>
    <row r="272" spans="1:2" x14ac:dyDescent="0.3">
      <c r="A272" s="13">
        <v>84012</v>
      </c>
      <c r="B272" s="14" t="s">
        <v>303</v>
      </c>
    </row>
    <row r="273" spans="1:2" x14ac:dyDescent="0.3">
      <c r="A273" s="13">
        <v>84013</v>
      </c>
      <c r="B273" s="14" t="s">
        <v>304</v>
      </c>
    </row>
    <row r="274" spans="1:2" x14ac:dyDescent="0.3">
      <c r="A274" s="13">
        <v>84014</v>
      </c>
      <c r="B274" s="14" t="s">
        <v>305</v>
      </c>
    </row>
    <row r="275" spans="1:2" x14ac:dyDescent="0.3">
      <c r="A275" s="13">
        <v>84015</v>
      </c>
      <c r="B275" s="14" t="s">
        <v>306</v>
      </c>
    </row>
    <row r="276" spans="1:2" x14ac:dyDescent="0.3">
      <c r="A276" s="13">
        <v>84016</v>
      </c>
      <c r="B276" s="14" t="s">
        <v>307</v>
      </c>
    </row>
    <row r="277" spans="1:2" x14ac:dyDescent="0.3">
      <c r="A277" s="13">
        <v>84017</v>
      </c>
      <c r="B277" s="14" t="s">
        <v>308</v>
      </c>
    </row>
    <row r="278" spans="1:2" x14ac:dyDescent="0.3">
      <c r="A278" s="13">
        <v>84020</v>
      </c>
      <c r="B278" s="14" t="s">
        <v>309</v>
      </c>
    </row>
    <row r="279" spans="1:2" x14ac:dyDescent="0.3">
      <c r="A279" s="19"/>
      <c r="B279" s="20" t="s">
        <v>310</v>
      </c>
    </row>
    <row r="280" spans="1:2" x14ac:dyDescent="0.3">
      <c r="A280" s="25"/>
      <c r="B280" s="18" t="s">
        <v>310</v>
      </c>
    </row>
    <row r="281" spans="1:2" x14ac:dyDescent="0.3">
      <c r="A281" s="13">
        <v>85011</v>
      </c>
      <c r="B281" s="14" t="s">
        <v>311</v>
      </c>
    </row>
    <row r="282" spans="1:2" x14ac:dyDescent="0.3">
      <c r="A282" s="13">
        <v>85012</v>
      </c>
      <c r="B282" s="14" t="s">
        <v>312</v>
      </c>
    </row>
    <row r="283" spans="1:2" x14ac:dyDescent="0.3">
      <c r="A283" s="13">
        <v>85013</v>
      </c>
      <c r="B283" s="14" t="s">
        <v>313</v>
      </c>
    </row>
    <row r="284" spans="1:2" x14ac:dyDescent="0.3">
      <c r="A284" s="15">
        <v>85014</v>
      </c>
      <c r="B284" s="16" t="s">
        <v>314</v>
      </c>
    </row>
    <row r="285" spans="1:2" x14ac:dyDescent="0.3">
      <c r="A285" s="13">
        <v>85021</v>
      </c>
      <c r="B285" s="14" t="s">
        <v>315</v>
      </c>
    </row>
    <row r="286" spans="1:2" x14ac:dyDescent="0.3">
      <c r="A286" s="13">
        <v>85029</v>
      </c>
      <c r="B286" s="14" t="s">
        <v>316</v>
      </c>
    </row>
    <row r="287" spans="1:2" x14ac:dyDescent="0.3">
      <c r="A287" s="19"/>
      <c r="B287" s="20" t="s">
        <v>317</v>
      </c>
    </row>
    <row r="288" spans="1:2" x14ac:dyDescent="0.3">
      <c r="A288" s="25"/>
      <c r="B288" s="18" t="s">
        <v>318</v>
      </c>
    </row>
    <row r="289" spans="1:2" x14ac:dyDescent="0.3">
      <c r="A289" s="23">
        <v>86001</v>
      </c>
      <c r="B289" s="14" t="s">
        <v>319</v>
      </c>
    </row>
    <row r="290" spans="1:2" x14ac:dyDescent="0.3">
      <c r="A290" s="23">
        <v>86002</v>
      </c>
      <c r="B290" s="14" t="s">
        <v>320</v>
      </c>
    </row>
    <row r="291" spans="1:2" x14ac:dyDescent="0.3">
      <c r="A291" s="23">
        <v>86003</v>
      </c>
      <c r="B291" s="14" t="s">
        <v>321</v>
      </c>
    </row>
    <row r="292" spans="1:2" x14ac:dyDescent="0.3">
      <c r="A292" s="13">
        <v>86004</v>
      </c>
      <c r="B292" s="14" t="s">
        <v>322</v>
      </c>
    </row>
    <row r="293" spans="1:2" x14ac:dyDescent="0.3">
      <c r="A293" s="13">
        <v>86009</v>
      </c>
      <c r="B293" s="14" t="s">
        <v>323</v>
      </c>
    </row>
    <row r="294" spans="1:2" x14ac:dyDescent="0.3">
      <c r="A294" s="25"/>
      <c r="B294" s="18" t="s">
        <v>324</v>
      </c>
    </row>
    <row r="295" spans="1:2" x14ac:dyDescent="0.3">
      <c r="A295" s="23">
        <v>87000</v>
      </c>
      <c r="B295" s="14" t="s">
        <v>325</v>
      </c>
    </row>
    <row r="296" spans="1:2" x14ac:dyDescent="0.3">
      <c r="A296" s="25"/>
      <c r="B296" s="18" t="s">
        <v>326</v>
      </c>
    </row>
    <row r="297" spans="1:2" x14ac:dyDescent="0.3">
      <c r="A297" s="23">
        <v>88000</v>
      </c>
      <c r="B297" s="14" t="s">
        <v>327</v>
      </c>
    </row>
    <row r="298" spans="1:2" x14ac:dyDescent="0.3">
      <c r="A298" s="19"/>
      <c r="B298" s="27" t="s">
        <v>328</v>
      </c>
    </row>
    <row r="299" spans="1:2" x14ac:dyDescent="0.3">
      <c r="A299" s="25"/>
      <c r="B299" s="18" t="s">
        <v>329</v>
      </c>
    </row>
    <row r="300" spans="1:2" x14ac:dyDescent="0.3">
      <c r="A300" s="23">
        <v>90000</v>
      </c>
      <c r="B300" s="14" t="s">
        <v>330</v>
      </c>
    </row>
    <row r="301" spans="1:2" x14ac:dyDescent="0.3">
      <c r="A301" s="25"/>
      <c r="B301" s="18" t="s">
        <v>331</v>
      </c>
    </row>
    <row r="302" spans="1:2" x14ac:dyDescent="0.3">
      <c r="A302" s="23">
        <v>91000</v>
      </c>
      <c r="B302" s="22" t="s">
        <v>332</v>
      </c>
    </row>
    <row r="303" spans="1:2" x14ac:dyDescent="0.3">
      <c r="A303" s="25"/>
      <c r="B303" s="18" t="s">
        <v>333</v>
      </c>
    </row>
    <row r="304" spans="1:2" x14ac:dyDescent="0.3">
      <c r="A304" s="23">
        <v>92000</v>
      </c>
      <c r="B304" s="22" t="s">
        <v>334</v>
      </c>
    </row>
    <row r="305" spans="1:2" x14ac:dyDescent="0.3">
      <c r="A305" s="25"/>
      <c r="B305" s="18" t="s">
        <v>335</v>
      </c>
    </row>
    <row r="306" spans="1:2" x14ac:dyDescent="0.3">
      <c r="A306" s="13">
        <v>93011</v>
      </c>
      <c r="B306" s="22" t="s">
        <v>336</v>
      </c>
    </row>
    <row r="307" spans="1:2" x14ac:dyDescent="0.3">
      <c r="A307" s="13">
        <v>93012</v>
      </c>
      <c r="B307" s="22" t="s">
        <v>337</v>
      </c>
    </row>
    <row r="308" spans="1:2" x14ac:dyDescent="0.3">
      <c r="A308" s="13">
        <v>93020</v>
      </c>
      <c r="B308" s="22" t="s">
        <v>338</v>
      </c>
    </row>
    <row r="309" spans="1:2" x14ac:dyDescent="0.3">
      <c r="A309" s="19"/>
      <c r="B309" s="20" t="s">
        <v>339</v>
      </c>
    </row>
    <row r="310" spans="1:2" x14ac:dyDescent="0.3">
      <c r="A310" s="25"/>
      <c r="B310" s="18" t="s">
        <v>340</v>
      </c>
    </row>
    <row r="311" spans="1:2" x14ac:dyDescent="0.3">
      <c r="A311" s="13">
        <v>94010</v>
      </c>
      <c r="B311" s="22" t="s">
        <v>341</v>
      </c>
    </row>
    <row r="312" spans="1:2" x14ac:dyDescent="0.3">
      <c r="A312" s="13">
        <v>94020</v>
      </c>
      <c r="B312" s="22" t="s">
        <v>342</v>
      </c>
    </row>
    <row r="313" spans="1:2" x14ac:dyDescent="0.3">
      <c r="A313" s="13">
        <v>94091</v>
      </c>
      <c r="B313" s="22" t="s">
        <v>343</v>
      </c>
    </row>
    <row r="314" spans="1:2" x14ac:dyDescent="0.3">
      <c r="A314" s="13">
        <v>94099</v>
      </c>
      <c r="B314" s="22" t="s">
        <v>344</v>
      </c>
    </row>
    <row r="315" spans="1:2" x14ac:dyDescent="0.3">
      <c r="A315" s="25"/>
      <c r="B315" s="18" t="s">
        <v>345</v>
      </c>
    </row>
    <row r="316" spans="1:2" x14ac:dyDescent="0.3">
      <c r="A316" s="13">
        <v>95010</v>
      </c>
      <c r="B316" s="22" t="s">
        <v>346</v>
      </c>
    </row>
    <row r="317" spans="1:2" x14ac:dyDescent="0.3">
      <c r="A317" s="13">
        <v>95030</v>
      </c>
      <c r="B317" s="22" t="s">
        <v>347</v>
      </c>
    </row>
    <row r="318" spans="1:2" x14ac:dyDescent="0.3">
      <c r="A318" s="25"/>
      <c r="B318" s="18" t="s">
        <v>348</v>
      </c>
    </row>
    <row r="319" spans="1:2" x14ac:dyDescent="0.3">
      <c r="A319" s="13">
        <v>96010</v>
      </c>
      <c r="B319" s="14" t="s">
        <v>349</v>
      </c>
    </row>
    <row r="320" spans="1:2" x14ac:dyDescent="0.3">
      <c r="A320" s="13">
        <v>96020</v>
      </c>
      <c r="B320" s="14" t="s">
        <v>350</v>
      </c>
    </row>
    <row r="321" spans="1:2" x14ac:dyDescent="0.3">
      <c r="A321" s="13">
        <v>96030</v>
      </c>
      <c r="B321" s="14" t="s">
        <v>351</v>
      </c>
    </row>
    <row r="322" spans="1:2" x14ac:dyDescent="0.3">
      <c r="A322" s="13">
        <v>96090</v>
      </c>
      <c r="B322" s="14" t="s">
        <v>352</v>
      </c>
    </row>
    <row r="323" spans="1:2" x14ac:dyDescent="0.3">
      <c r="A323" s="19"/>
      <c r="B323" s="20" t="s">
        <v>353</v>
      </c>
    </row>
    <row r="324" spans="1:2" x14ac:dyDescent="0.3">
      <c r="A324" s="17"/>
      <c r="B324" s="18" t="s">
        <v>353</v>
      </c>
    </row>
    <row r="325" spans="1:2" x14ac:dyDescent="0.3">
      <c r="A325" s="23">
        <v>97000</v>
      </c>
      <c r="B325" s="22" t="s">
        <v>354</v>
      </c>
    </row>
    <row r="326" spans="1:2" x14ac:dyDescent="0.3">
      <c r="A326" s="19"/>
      <c r="B326" s="20" t="s">
        <v>355</v>
      </c>
    </row>
    <row r="327" spans="1:2" x14ac:dyDescent="0.3">
      <c r="A327" s="17"/>
      <c r="B327" s="18" t="s">
        <v>355</v>
      </c>
    </row>
    <row r="328" spans="1:2" x14ac:dyDescent="0.3">
      <c r="A328" s="23">
        <v>99000</v>
      </c>
      <c r="B328" s="22" t="s">
        <v>356</v>
      </c>
    </row>
    <row r="329" spans="1:2" x14ac:dyDescent="0.3">
      <c r="A329" s="19"/>
      <c r="B329" s="20" t="s">
        <v>357</v>
      </c>
    </row>
    <row r="330" spans="1:2" x14ac:dyDescent="0.3">
      <c r="A330" s="17"/>
      <c r="B330" s="24" t="s">
        <v>358</v>
      </c>
    </row>
    <row r="331" spans="1:2" x14ac:dyDescent="0.3">
      <c r="A331" s="13">
        <v>0</v>
      </c>
      <c r="B331" s="16" t="s">
        <v>358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1C6D-82CC-43CA-8AAC-BA5395FC49B9}">
  <dimension ref="A1:B28"/>
  <sheetViews>
    <sheetView workbookViewId="0">
      <selection activeCell="B2" sqref="B2:B28"/>
    </sheetView>
  </sheetViews>
  <sheetFormatPr defaultRowHeight="14.4" x14ac:dyDescent="0.3"/>
  <cols>
    <col min="2" max="2" width="17.6640625" bestFit="1" customWidth="1"/>
  </cols>
  <sheetData>
    <row r="1" spans="1:2" x14ac:dyDescent="0.3">
      <c r="A1" s="1" t="s">
        <v>385</v>
      </c>
      <c r="B1" s="1" t="s">
        <v>386</v>
      </c>
    </row>
    <row r="2" spans="1:2" x14ac:dyDescent="0.3">
      <c r="A2" s="9">
        <v>11</v>
      </c>
      <c r="B2" s="28" t="s">
        <v>32</v>
      </c>
    </row>
    <row r="3" spans="1:2" x14ac:dyDescent="0.3">
      <c r="A3" s="10">
        <v>12</v>
      </c>
      <c r="B3" s="8" t="s">
        <v>359</v>
      </c>
    </row>
    <row r="4" spans="1:2" x14ac:dyDescent="0.3">
      <c r="A4" s="11">
        <v>13</v>
      </c>
      <c r="B4" s="5" t="s">
        <v>360</v>
      </c>
    </row>
    <row r="5" spans="1:2" x14ac:dyDescent="0.3">
      <c r="A5" s="11">
        <v>14</v>
      </c>
      <c r="B5" s="5" t="s">
        <v>361</v>
      </c>
    </row>
    <row r="6" spans="1:2" x14ac:dyDescent="0.3">
      <c r="A6" s="11">
        <v>15</v>
      </c>
      <c r="B6" s="5" t="s">
        <v>362</v>
      </c>
    </row>
    <row r="7" spans="1:2" x14ac:dyDescent="0.3">
      <c r="A7" s="11">
        <v>16</v>
      </c>
      <c r="B7" s="5" t="s">
        <v>363</v>
      </c>
    </row>
    <row r="8" spans="1:2" x14ac:dyDescent="0.3">
      <c r="A8" s="11">
        <v>17</v>
      </c>
      <c r="B8" s="5" t="s">
        <v>364</v>
      </c>
    </row>
    <row r="9" spans="1:2" x14ac:dyDescent="0.3">
      <c r="A9" s="11">
        <v>21</v>
      </c>
      <c r="B9" s="5" t="s">
        <v>365</v>
      </c>
    </row>
    <row r="10" spans="1:2" x14ac:dyDescent="0.3">
      <c r="A10" s="11">
        <v>22</v>
      </c>
      <c r="B10" s="5" t="s">
        <v>366</v>
      </c>
    </row>
    <row r="11" spans="1:2" x14ac:dyDescent="0.3">
      <c r="A11" s="11">
        <v>23</v>
      </c>
      <c r="B11" s="5" t="s">
        <v>367</v>
      </c>
    </row>
    <row r="12" spans="1:2" x14ac:dyDescent="0.3">
      <c r="A12" s="11">
        <v>24</v>
      </c>
      <c r="B12" s="5" t="s">
        <v>368</v>
      </c>
    </row>
    <row r="13" spans="1:2" x14ac:dyDescent="0.3">
      <c r="A13" s="11">
        <v>25</v>
      </c>
      <c r="B13" s="5" t="s">
        <v>369</v>
      </c>
    </row>
    <row r="14" spans="1:2" x14ac:dyDescent="0.3">
      <c r="A14" s="11">
        <v>26</v>
      </c>
      <c r="B14" s="5" t="s">
        <v>370</v>
      </c>
    </row>
    <row r="15" spans="1:2" x14ac:dyDescent="0.3">
      <c r="A15" s="11">
        <v>27</v>
      </c>
      <c r="B15" s="5" t="s">
        <v>371</v>
      </c>
    </row>
    <row r="16" spans="1:2" x14ac:dyDescent="0.3">
      <c r="A16" s="11">
        <v>28</v>
      </c>
      <c r="B16" s="5" t="s">
        <v>372</v>
      </c>
    </row>
    <row r="17" spans="1:2" x14ac:dyDescent="0.3">
      <c r="A17" s="11">
        <v>29</v>
      </c>
      <c r="B17" s="5" t="s">
        <v>373</v>
      </c>
    </row>
    <row r="18" spans="1:2" x14ac:dyDescent="0.3">
      <c r="A18" s="11">
        <v>31</v>
      </c>
      <c r="B18" s="5" t="s">
        <v>374</v>
      </c>
    </row>
    <row r="19" spans="1:2" x14ac:dyDescent="0.3">
      <c r="A19" s="11">
        <v>32</v>
      </c>
      <c r="B19" s="5" t="s">
        <v>375</v>
      </c>
    </row>
    <row r="20" spans="1:2" x14ac:dyDescent="0.3">
      <c r="A20" s="11">
        <v>33</v>
      </c>
      <c r="B20" s="5" t="s">
        <v>376</v>
      </c>
    </row>
    <row r="21" spans="1:2" x14ac:dyDescent="0.3">
      <c r="A21" s="11">
        <v>35</v>
      </c>
      <c r="B21" s="5" t="s">
        <v>377</v>
      </c>
    </row>
    <row r="22" spans="1:2" x14ac:dyDescent="0.3">
      <c r="A22" s="11">
        <v>41</v>
      </c>
      <c r="B22" s="5" t="s">
        <v>378</v>
      </c>
    </row>
    <row r="23" spans="1:2" x14ac:dyDescent="0.3">
      <c r="A23" s="11">
        <v>42</v>
      </c>
      <c r="B23" s="5" t="s">
        <v>379</v>
      </c>
    </row>
    <row r="24" spans="1:2" x14ac:dyDescent="0.3">
      <c r="A24" s="11">
        <v>43</v>
      </c>
      <c r="B24" s="5" t="s">
        <v>380</v>
      </c>
    </row>
    <row r="25" spans="1:2" x14ac:dyDescent="0.3">
      <c r="A25" s="11">
        <v>50</v>
      </c>
      <c r="B25" s="5" t="s">
        <v>381</v>
      </c>
    </row>
    <row r="26" spans="1:2" x14ac:dyDescent="0.3">
      <c r="A26" s="11">
        <v>51</v>
      </c>
      <c r="B26" s="5" t="s">
        <v>382</v>
      </c>
    </row>
    <row r="27" spans="1:2" x14ac:dyDescent="0.3">
      <c r="A27" s="11">
        <v>52</v>
      </c>
      <c r="B27" s="5" t="s">
        <v>383</v>
      </c>
    </row>
    <row r="28" spans="1:2" x14ac:dyDescent="0.3">
      <c r="A28" s="11">
        <v>53</v>
      </c>
      <c r="B28" s="5" t="s">
        <v>384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a5c6fd-d8d0-494b-ba1b-23d685822031" xsi:nil="true"/>
    <lcf76f155ced4ddcb4097134ff3c332f xmlns="34dfa06b-708b-4911-bf3c-0b46020a31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D3CCC5818DA4095E6D65530546BB9" ma:contentTypeVersion="12" ma:contentTypeDescription="Crie um novo documento." ma:contentTypeScope="" ma:versionID="bcd39f2c2514a58564ed921c312c4785">
  <xsd:schema xmlns:xsd="http://www.w3.org/2001/XMLSchema" xmlns:xs="http://www.w3.org/2001/XMLSchema" xmlns:p="http://schemas.microsoft.com/office/2006/metadata/properties" xmlns:ns2="34dfa06b-708b-4911-bf3c-0b46020a3169" xmlns:ns3="58a5c6fd-d8d0-494b-ba1b-23d685822031" targetNamespace="http://schemas.microsoft.com/office/2006/metadata/properties" ma:root="true" ma:fieldsID="8f4669e63d43d03fd1418a9696324294" ns2:_="" ns3:_="">
    <xsd:import namespace="34dfa06b-708b-4911-bf3c-0b46020a3169"/>
    <xsd:import namespace="58a5c6fd-d8d0-494b-ba1b-23d685822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fa06b-708b-4911-bf3c-0b46020a31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2970e29-ff6a-4bc8-b0ca-68e6388e55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5c6fd-d8d0-494b-ba1b-23d685822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4a89fd-edda-439e-8c35-c1ac7f2fc339}" ma:internalName="TaxCatchAll" ma:showField="CatchAllData" ma:web="58a5c6fd-d8d0-494b-ba1b-23d685822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4984F-8A48-4BE7-8199-D4C94DEB9E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C80029-326F-4F9F-AED4-3F343325B43A}">
  <ds:schemaRefs>
    <ds:schemaRef ds:uri="http://schemas.microsoft.com/office/2006/metadata/properties"/>
    <ds:schemaRef ds:uri="http://schemas.microsoft.com/office/infopath/2007/PartnerControls"/>
    <ds:schemaRef ds:uri="58a5c6fd-d8d0-494b-ba1b-23d685822031"/>
    <ds:schemaRef ds:uri="34dfa06b-708b-4911-bf3c-0b46020a3169"/>
  </ds:schemaRefs>
</ds:datastoreItem>
</file>

<file path=customXml/itemProps3.xml><?xml version="1.0" encoding="utf-8"?>
<ds:datastoreItem xmlns:ds="http://schemas.openxmlformats.org/officeDocument/2006/customXml" ds:itemID="{B4FC1F12-411A-4252-B087-3BB2B9C68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fa06b-708b-4911-bf3c-0b46020a3169"/>
    <ds:schemaRef ds:uri="58a5c6fd-d8d0-494b-ba1b-23d685822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VALOR NOMINAL - TODOS OS TRAB</vt:lpstr>
      <vt:lpstr>DICIONÁRIO CNAES</vt:lpstr>
      <vt:lpstr>DICIONÁRIO 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Pinheiro Reis Da Conceicao</dc:creator>
  <cp:lastModifiedBy>jonathas goulart</cp:lastModifiedBy>
  <dcterms:created xsi:type="dcterms:W3CDTF">2026-02-03T15:18:19Z</dcterms:created>
  <dcterms:modified xsi:type="dcterms:W3CDTF">2026-02-04T17:03:19Z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2026-02-03T15:53:39Z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8cb57b17-d31d-4256-9b3d-b0bd8f89d81c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  <property fmtid="{D5CDD505-2E9C-101B-9397-08002B2CF9AE}" pid="10" name="ContentTypeId">
    <vt:lpwstr>0x010100679D3CCC5818DA4095E6D65530546BB9</vt:lpwstr>
  </property>
  <property fmtid="{D5CDD505-2E9C-101B-9397-08002B2CF9AE}" pid="11" name="MediaServiceImageTags">
    <vt:lpwstr/>
  </property>
</Properties>
</file>